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OBrien\Models\EPS\US States\State Data\CO\fuels\IiFPfOaGL\"/>
    </mc:Choice>
  </mc:AlternateContent>
  <xr:revisionPtr revIDLastSave="0" documentId="8_{5FE99ED5-C3A9-4A0B-9123-776F47ABA03E}" xr6:coauthVersionLast="47" xr6:coauthVersionMax="47" xr10:uidLastSave="{00000000-0000-0000-0000-000000000000}"/>
  <bookViews>
    <workbookView xWindow="-23910" yWindow="2310" windowWidth="21600" windowHeight="12435" xr2:uid="{00000000-000D-0000-FFFF-FFFF00000000}"/>
  </bookViews>
  <sheets>
    <sheet name="About" sheetId="1" r:id="rId1"/>
    <sheet name="natural gas" sheetId="2" r:id="rId2"/>
    <sheet name="crude oil" sheetId="3" r:id="rId3"/>
    <sheet name="IiFPfOaG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AE18" i="4" s="1"/>
  <c r="K18" i="4" l="1"/>
  <c r="V4" i="4"/>
  <c r="B4" i="4"/>
  <c r="Y4" i="4"/>
  <c r="R18" i="4"/>
  <c r="AB4" i="4"/>
  <c r="H4" i="4"/>
  <c r="V18" i="4"/>
  <c r="I4" i="4"/>
  <c r="AE4" i="4"/>
  <c r="W18" i="4"/>
  <c r="J4" i="4"/>
  <c r="B18" i="4"/>
  <c r="X18" i="4"/>
  <c r="Y18" i="4"/>
  <c r="L18" i="4"/>
  <c r="T18" i="4"/>
  <c r="M4" i="4"/>
  <c r="AA18" i="4"/>
  <c r="S4" i="4"/>
  <c r="U4" i="4"/>
  <c r="O18" i="4"/>
  <c r="X4" i="4"/>
  <c r="D4" i="4"/>
  <c r="E4" i="4"/>
  <c r="F4" i="4"/>
  <c r="AC4" i="4"/>
  <c r="AD4" i="4"/>
  <c r="L4" i="4"/>
  <c r="E18" i="4"/>
  <c r="N4" i="4"/>
  <c r="F18" i="4"/>
  <c r="AB18" i="4"/>
  <c r="J18" i="4"/>
  <c r="M18" i="4"/>
  <c r="P18" i="4"/>
  <c r="Z4" i="4"/>
  <c r="U18" i="4"/>
  <c r="Z18" i="4"/>
  <c r="O4" i="4"/>
  <c r="G18" i="4"/>
  <c r="AC18" i="4"/>
  <c r="R4" i="4"/>
  <c r="N18" i="4"/>
  <c r="Q18" i="4"/>
  <c r="AA4" i="4"/>
  <c r="G4" i="4"/>
  <c r="K4" i="4"/>
  <c r="D18" i="4"/>
  <c r="P4" i="4"/>
  <c r="H18" i="4"/>
  <c r="AD18" i="4"/>
  <c r="T4" i="4"/>
  <c r="W4" i="4"/>
  <c r="C4" i="4"/>
  <c r="S18" i="4"/>
  <c r="C18" i="4"/>
  <c r="Q4" i="4"/>
  <c r="I18" i="4"/>
</calcChain>
</file>

<file path=xl/sharedStrings.xml><?xml version="1.0" encoding="utf-8"?>
<sst xmlns="http://schemas.openxmlformats.org/spreadsheetml/2006/main" count="230" uniqueCount="128">
  <si>
    <t>Fuel (BTU)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</si>
  <si>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</si>
  <si>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</si>
  <si>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</si>
  <si>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</si>
  <si>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</si>
  <si>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</si>
  <si>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</si>
  <si>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</si>
  <si>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</si>
  <si>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</si>
  <si>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</si>
  <si>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</si>
  <si>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</si>
  <si>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</si>
  <si>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</si>
  <si>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</si>
  <si>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</si>
  <si>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</si>
  <si>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</si>
  <si>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</si>
  <si>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</si>
  <si>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IiFPfOaGLS Increase in Fuel Production from Oil and Gas Lease Sales</t>
  </si>
  <si>
    <t>Alabama</t>
  </si>
  <si>
    <t>AL</t>
  </si>
  <si>
    <t>Alaska</t>
  </si>
  <si>
    <t>AK</t>
  </si>
  <si>
    <t>Arizona</t>
  </si>
  <si>
    <t>AZ</t>
  </si>
  <si>
    <t>State drop-down: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</si>
  <si>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</si>
  <si>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</si>
  <si>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</si>
  <si>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</si>
  <si>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</si>
  <si>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</si>
  <si>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</si>
  <si>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</si>
  <si>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</si>
  <si>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</si>
  <si>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</si>
  <si>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</si>
  <si>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</si>
  <si>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</si>
  <si>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</si>
  <si>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</si>
  <si>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</si>
  <si>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</si>
  <si>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</si>
  <si>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</si>
  <si>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</si>
  <si>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</si>
  <si>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</si>
  <si>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</si>
  <si>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</si>
  <si>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</si>
  <si>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</si>
  <si>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</si>
  <si>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</si>
  <si>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</si>
  <si>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</si>
  <si>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</si>
  <si>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</si>
  <si>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</si>
  <si>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</si>
  <si>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</si>
  <si>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</si>
  <si>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</si>
  <si>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</si>
  <si>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</si>
  <si>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</si>
  <si>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</si>
  <si>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</si>
  <si>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</si>
  <si>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</si>
  <si>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</si>
  <si>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</si>
  <si>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</si>
  <si>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</si>
  <si>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</si>
  <si>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</si>
  <si>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</si>
  <si>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</si>
  <si>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</si>
  <si>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</si>
  <si>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</si>
  <si>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</si>
  <si>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</si>
  <si>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</si>
  <si>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</si>
  <si>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</si>
  <si>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</si>
  <si>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</si>
  <si>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</si>
  <si>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</si>
  <si>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</si>
  <si>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</si>
  <si>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</si>
  <si>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</si>
  <si>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</si>
  <si>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</si>
  <si>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</si>
  <si>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</si>
  <si>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</si>
  <si>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</si>
  <si>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</si>
  <si>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</si>
  <si>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</si>
  <si>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</si>
  <si>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</si>
  <si>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</si>
  <si>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</si>
  <si>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</si>
  <si>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</si>
  <si>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</si>
  <si>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</si>
  <si>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</si>
  <si>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</si>
  <si>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</si>
  <si>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</si>
  <si>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</si>
  <si>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</si>
  <si>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</si>
  <si>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</si>
  <si>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District</t>
  </si>
  <si>
    <t>DC</t>
  </si>
  <si>
    <t>State</t>
  </si>
  <si>
    <t>Change in natural gas and crude oil production under the January 2025 Frozen Policies counterfactual, relative to the OBBBA Baseline. Values are NEGATIVE: the frozen-policy world leases less and therefore produces less. Offshore only - onshore leasing is not modelled. Gulf production is allocated to states by BOEM active lease count (TX 427, MS 2, AL 11, LA remainder, of 2206). Includes actual-sale calibration for BBG1, BBG2, BBG3 and BBC1. Built from OilGasLeasing_Calculations_States_406.xlsx; see plan.md and decisions.md in the 'Jan 2025 Frozen Policy Scenario - States' project folder. Revised 2026-08-28: OFFSHORE_POLICY_SCENARIO J38:J64 now apply the BBG1 actual-sale multiplier to future GOA lease sales (2027-2040), reducing the offshore signal to ~55% of the prior values by 2050.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</si>
</sst>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G4" sqref="G4"/>
    </sheetView>
  </sheetViews>
  <sheetFormatPr defaultRowHeight="15" x14ac:dyDescent="0.25"/>
  <sheetData>
    <row r="1" spans="1:8" x14ac:dyDescent="0.25">
      <c r="A1" t="s">
        <v>22</v>
      </c>
      <c r="B1" s="2" t="s">
        <v>34</v>
      </c>
      <c r="C1" s="1">
        <v>46262</v>
      </c>
      <c r="G1" s="2" t="s">
        <v>23</v>
      </c>
      <c r="H1" s="2" t="s">
        <v>24</v>
      </c>
    </row>
    <row r="2" spans="1:8" x14ac:dyDescent="0.25">
      <c r="B2" t="str">
        <f>INDEX(H:H,MATCH(B1,G:G,0))</f>
        <v>CO</v>
      </c>
      <c r="G2" s="2" t="s">
        <v>25</v>
      </c>
      <c r="H2" s="2" t="s">
        <v>26</v>
      </c>
    </row>
    <row r="3" spans="1:8" x14ac:dyDescent="0.25">
      <c r="A3" t="s">
        <v>127</v>
      </c>
      <c r="G3" s="2" t="s">
        <v>27</v>
      </c>
      <c r="H3" s="2" t="s">
        <v>28</v>
      </c>
    </row>
    <row r="4" spans="1:8" x14ac:dyDescent="0.25">
      <c r="G4" s="2"/>
      <c r="H4" s="2"/>
    </row>
    <row r="5" spans="1:8" x14ac:dyDescent="0.25">
      <c r="A5" t="s">
        <v>29</v>
      </c>
      <c r="G5" s="2" t="s">
        <v>30</v>
      </c>
      <c r="H5" s="2" t="s">
        <v>31</v>
      </c>
    </row>
    <row r="6" spans="1:8" x14ac:dyDescent="0.25">
      <c r="G6" s="2" t="s">
        <v>32</v>
      </c>
      <c r="H6" s="2" t="s">
        <v>33</v>
      </c>
    </row>
    <row r="7" spans="1:8" x14ac:dyDescent="0.25">
      <c r="G7" s="2" t="s">
        <v>34</v>
      </c>
      <c r="H7" s="2" t="s">
        <v>35</v>
      </c>
    </row>
    <row r="8" spans="1:8" x14ac:dyDescent="0.25">
      <c r="G8" s="2" t="s">
        <v>36</v>
      </c>
      <c r="H8" s="2" t="s">
        <v>37</v>
      </c>
    </row>
    <row r="9" spans="1:8" x14ac:dyDescent="0.25">
      <c r="G9" s="2" t="s">
        <v>38</v>
      </c>
      <c r="H9" s="2" t="s">
        <v>39</v>
      </c>
    </row>
    <row r="10" spans="1:8" x14ac:dyDescent="0.25">
      <c r="G10" s="2" t="s">
        <v>40</v>
      </c>
      <c r="H10" s="2" t="s">
        <v>41</v>
      </c>
    </row>
    <row r="11" spans="1:8" x14ac:dyDescent="0.25">
      <c r="G11" s="2" t="s">
        <v>42</v>
      </c>
      <c r="H11" s="2" t="s">
        <v>43</v>
      </c>
    </row>
    <row r="12" spans="1:8" x14ac:dyDescent="0.25">
      <c r="G12" s="2" t="s">
        <v>44</v>
      </c>
      <c r="H12" s="2" t="s">
        <v>45</v>
      </c>
    </row>
    <row r="13" spans="1:8" x14ac:dyDescent="0.25">
      <c r="G13" s="2" t="s">
        <v>46</v>
      </c>
      <c r="H13" s="2" t="s">
        <v>47</v>
      </c>
    </row>
    <row r="14" spans="1:8" x14ac:dyDescent="0.25">
      <c r="G14" s="2" t="s">
        <v>48</v>
      </c>
      <c r="H14" s="2" t="s">
        <v>49</v>
      </c>
    </row>
    <row r="15" spans="1:8" x14ac:dyDescent="0.25">
      <c r="G15" s="2" t="s">
        <v>50</v>
      </c>
      <c r="H15" s="2" t="s">
        <v>51</v>
      </c>
    </row>
    <row r="16" spans="1:8" x14ac:dyDescent="0.25">
      <c r="G16" s="2" t="s">
        <v>52</v>
      </c>
      <c r="H16" s="2" t="s">
        <v>53</v>
      </c>
    </row>
    <row r="17" spans="7:8" x14ac:dyDescent="0.25">
      <c r="G17" s="2" t="s">
        <v>54</v>
      </c>
      <c r="H17" s="2" t="s">
        <v>55</v>
      </c>
    </row>
    <row r="18" spans="7:8" x14ac:dyDescent="0.25">
      <c r="G18" s="2" t="s">
        <v>56</v>
      </c>
      <c r="H18" s="2" t="s">
        <v>57</v>
      </c>
    </row>
    <row r="19" spans="7:8" x14ac:dyDescent="0.25">
      <c r="G19" s="2" t="s">
        <v>58</v>
      </c>
      <c r="H19" s="2" t="s">
        <v>59</v>
      </c>
    </row>
    <row r="20" spans="7:8" x14ac:dyDescent="0.25">
      <c r="G20" s="2" t="s">
        <v>60</v>
      </c>
      <c r="H20" s="2" t="s">
        <v>61</v>
      </c>
    </row>
    <row r="21" spans="7:8" x14ac:dyDescent="0.25">
      <c r="G21" s="2" t="s">
        <v>62</v>
      </c>
      <c r="H21" s="2" t="s">
        <v>63</v>
      </c>
    </row>
    <row r="22" spans="7:8" x14ac:dyDescent="0.25">
      <c r="G22" s="2" t="s">
        <v>64</v>
      </c>
      <c r="H22" s="2" t="s">
        <v>65</v>
      </c>
    </row>
    <row r="23" spans="7:8" x14ac:dyDescent="0.25">
      <c r="G23" s="2" t="s">
        <v>66</v>
      </c>
      <c r="H23" s="2" t="s">
        <v>67</v>
      </c>
    </row>
    <row r="24" spans="7:8" x14ac:dyDescent="0.25">
      <c r="G24" s="2" t="s">
        <v>68</v>
      </c>
      <c r="H24" s="2" t="s">
        <v>69</v>
      </c>
    </row>
    <row r="25" spans="7:8" x14ac:dyDescent="0.25">
      <c r="G25" s="2" t="s">
        <v>70</v>
      </c>
      <c r="H25" s="2" t="s">
        <v>71</v>
      </c>
    </row>
    <row r="26" spans="7:8" x14ac:dyDescent="0.25">
      <c r="G26" s="2" t="s">
        <v>72</v>
      </c>
      <c r="H26" s="2" t="s">
        <v>73</v>
      </c>
    </row>
    <row r="27" spans="7:8" x14ac:dyDescent="0.25">
      <c r="G27" s="2" t="s">
        <v>74</v>
      </c>
      <c r="H27" s="2" t="s">
        <v>75</v>
      </c>
    </row>
    <row r="28" spans="7:8" x14ac:dyDescent="0.25">
      <c r="G28" s="2" t="s">
        <v>76</v>
      </c>
      <c r="H28" s="2" t="s">
        <v>77</v>
      </c>
    </row>
    <row r="29" spans="7:8" x14ac:dyDescent="0.25">
      <c r="G29" s="2" t="s">
        <v>78</v>
      </c>
      <c r="H29" s="2" t="s">
        <v>79</v>
      </c>
    </row>
    <row r="30" spans="7:8" x14ac:dyDescent="0.25">
      <c r="G30" s="2" t="s">
        <v>80</v>
      </c>
      <c r="H30" s="2" t="s">
        <v>81</v>
      </c>
    </row>
    <row r="31" spans="7:8" x14ac:dyDescent="0.25">
      <c r="G31" s="2" t="s">
        <v>82</v>
      </c>
      <c r="H31" s="2" t="s">
        <v>83</v>
      </c>
    </row>
    <row r="32" spans="7:8" x14ac:dyDescent="0.25">
      <c r="G32" s="2" t="s">
        <v>84</v>
      </c>
      <c r="H32" s="2" t="s">
        <v>85</v>
      </c>
    </row>
    <row r="33" spans="7:8" x14ac:dyDescent="0.25">
      <c r="G33" s="2" t="s">
        <v>86</v>
      </c>
      <c r="H33" s="2" t="s">
        <v>87</v>
      </c>
    </row>
    <row r="34" spans="7:8" x14ac:dyDescent="0.25">
      <c r="G34" s="2" t="s">
        <v>88</v>
      </c>
      <c r="H34" s="2" t="s">
        <v>89</v>
      </c>
    </row>
    <row r="35" spans="7:8" x14ac:dyDescent="0.25">
      <c r="G35" s="2" t="s">
        <v>90</v>
      </c>
      <c r="H35" s="2" t="s">
        <v>91</v>
      </c>
    </row>
    <row r="36" spans="7:8" x14ac:dyDescent="0.25">
      <c r="G36" s="2" t="s">
        <v>92</v>
      </c>
      <c r="H36" s="2" t="s">
        <v>93</v>
      </c>
    </row>
    <row r="37" spans="7:8" x14ac:dyDescent="0.25">
      <c r="G37" s="2" t="s">
        <v>94</v>
      </c>
      <c r="H37" s="2" t="s">
        <v>95</v>
      </c>
    </row>
    <row r="38" spans="7:8" x14ac:dyDescent="0.25">
      <c r="G38" s="2" t="s">
        <v>96</v>
      </c>
      <c r="H38" s="2" t="s">
        <v>97</v>
      </c>
    </row>
    <row r="39" spans="7:8" x14ac:dyDescent="0.25">
      <c r="G39" s="2" t="s">
        <v>98</v>
      </c>
      <c r="H39" s="2" t="s">
        <v>99</v>
      </c>
    </row>
    <row r="40" spans="7:8" x14ac:dyDescent="0.25">
      <c r="G40" s="2" t="s">
        <v>100</v>
      </c>
      <c r="H40" s="2" t="s">
        <v>101</v>
      </c>
    </row>
    <row r="41" spans="7:8" x14ac:dyDescent="0.25">
      <c r="G41" s="2" t="s">
        <v>102</v>
      </c>
      <c r="H41" s="2" t="s">
        <v>103</v>
      </c>
    </row>
    <row r="42" spans="7:8" x14ac:dyDescent="0.25">
      <c r="G42" s="2" t="s">
        <v>104</v>
      </c>
      <c r="H42" s="2" t="s">
        <v>105</v>
      </c>
    </row>
    <row r="43" spans="7:8" x14ac:dyDescent="0.25">
      <c r="G43" s="2" t="s">
        <v>106</v>
      </c>
      <c r="H43" s="2" t="s">
        <v>107</v>
      </c>
    </row>
    <row r="44" spans="7:8" x14ac:dyDescent="0.25">
      <c r="G44" s="2" t="s">
        <v>108</v>
      </c>
      <c r="H44" s="2" t="s">
        <v>109</v>
      </c>
    </row>
    <row r="45" spans="7:8" x14ac:dyDescent="0.25">
      <c r="G45" s="2" t="s">
        <v>110</v>
      </c>
      <c r="H45" s="2" t="s">
        <v>111</v>
      </c>
    </row>
    <row r="46" spans="7:8" x14ac:dyDescent="0.25">
      <c r="G46" s="2" t="s">
        <v>112</v>
      </c>
      <c r="H46" s="2" t="s">
        <v>113</v>
      </c>
    </row>
    <row r="47" spans="7:8" x14ac:dyDescent="0.25">
      <c r="G47" s="2" t="s">
        <v>114</v>
      </c>
      <c r="H47" s="2" t="s">
        <v>115</v>
      </c>
    </row>
    <row r="48" spans="7:8" x14ac:dyDescent="0.25">
      <c r="G48" s="2" t="s">
        <v>116</v>
      </c>
      <c r="H48" s="2" t="s">
        <v>117</v>
      </c>
    </row>
    <row r="49" spans="7:8" x14ac:dyDescent="0.25">
      <c r="G49" s="2" t="s">
        <v>118</v>
      </c>
      <c r="H49" s="2" t="s">
        <v>119</v>
      </c>
    </row>
    <row r="50" spans="7:8" x14ac:dyDescent="0.25">
      <c r="G50" s="2" t="s">
        <v>120</v>
      </c>
      <c r="H50" s="2" t="s">
        <v>121</v>
      </c>
    </row>
    <row r="51" spans="7:8" x14ac:dyDescent="0.25">
      <c r="G51" s="2" t="s">
        <v>122</v>
      </c>
      <c r="H51" s="2" t="s">
        <v>123</v>
      </c>
    </row>
    <row r="52" spans="7:8" x14ac:dyDescent="0.25">
      <c r="G52" s="2" t="s">
        <v>124</v>
      </c>
      <c r="H52" s="2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51"/>
  <sheetViews>
    <sheetView zoomScale="70" zoomScaleNormal="70" workbookViewId="0">
      <selection activeCell="K2" sqref="K2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-16069796680.651485</v>
      </c>
      <c r="L2">
        <v>-22394377108.570332</v>
      </c>
      <c r="M2">
        <v>-58244369634.623055</v>
      </c>
      <c r="N2">
        <v>-98058933724.380417</v>
      </c>
      <c r="O2">
        <v>-136204868280.36894</v>
      </c>
      <c r="P2">
        <v>-186104555889.43283</v>
      </c>
      <c r="Q2">
        <v>-216328439448.34616</v>
      </c>
      <c r="R2">
        <v>-264097086464.20828</v>
      </c>
      <c r="S2">
        <v>-295374750308.79132</v>
      </c>
      <c r="T2">
        <v>-349471529167.10565</v>
      </c>
      <c r="U2">
        <v>-395287032931.11194</v>
      </c>
      <c r="V2">
        <v>-464248463674.89941</v>
      </c>
      <c r="W2">
        <v>-515973279212.65558</v>
      </c>
      <c r="X2">
        <v>-590468396319.78003</v>
      </c>
      <c r="Y2">
        <v>-649471794723.7428</v>
      </c>
      <c r="Z2">
        <v>-714318097056.19507</v>
      </c>
      <c r="AA2">
        <v>-743134035358.14355</v>
      </c>
      <c r="AB2">
        <v>-784375194063.34045</v>
      </c>
      <c r="AC2">
        <v>-791036930957.99182</v>
      </c>
      <c r="AD2">
        <v>-802011585944.94702</v>
      </c>
      <c r="AE2">
        <v>-796401205337.7533</v>
      </c>
      <c r="AF2">
        <v>-798980652787.7345</v>
      </c>
      <c r="AG2">
        <v>-779372006646.79456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-724997724527.34412</v>
      </c>
      <c r="N3">
        <v>-1418601083962.0391</v>
      </c>
      <c r="O3">
        <v>-1568318742802.5271</v>
      </c>
      <c r="P3">
        <v>-2804354957437.9048</v>
      </c>
      <c r="Q3">
        <v>-3655293180359.3569</v>
      </c>
      <c r="R3">
        <v>-4274785600284.4028</v>
      </c>
      <c r="S3">
        <v>-4866386160943.3682</v>
      </c>
      <c r="T3">
        <v>-5533483927868.7061</v>
      </c>
      <c r="U3">
        <v>-5880392198370.3574</v>
      </c>
      <c r="V3">
        <v>-6135734053264.1299</v>
      </c>
      <c r="W3">
        <v>-6585583707891.4365</v>
      </c>
      <c r="X3">
        <v>-7245966457265.416</v>
      </c>
      <c r="Y3">
        <v>-7983571444118.2412</v>
      </c>
      <c r="Z3">
        <v>-8593374327870.2969</v>
      </c>
      <c r="AA3">
        <v>-9158178325756.3633</v>
      </c>
      <c r="AB3">
        <v>-9662376972284.7949</v>
      </c>
      <c r="AC3">
        <v>-9990359687289.5488</v>
      </c>
      <c r="AD3">
        <v>-9922149281423.4063</v>
      </c>
      <c r="AE3">
        <v>-10017136330665.67</v>
      </c>
      <c r="AF3">
        <v>-9892583643636.623</v>
      </c>
      <c r="AG3">
        <v>-9403903463956.5176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-2579932812548.582</v>
      </c>
      <c r="L19">
        <v>-3595315452157.3721</v>
      </c>
      <c r="M19">
        <v>-9350868797703.9004</v>
      </c>
      <c r="N19">
        <v>-15742916087023.07</v>
      </c>
      <c r="O19">
        <v>-21867072489375.602</v>
      </c>
      <c r="P19">
        <v>-29878240518249.219</v>
      </c>
      <c r="Q19">
        <v>-34730547642343.328</v>
      </c>
      <c r="R19">
        <v>-42399586790525.625</v>
      </c>
      <c r="S19">
        <v>-47421073549574.289</v>
      </c>
      <c r="T19">
        <v>-56106065500828.156</v>
      </c>
      <c r="U19">
        <v>-63461536377849.617</v>
      </c>
      <c r="V19">
        <v>-74532980622715.125</v>
      </c>
      <c r="W19">
        <v>-82837164644504.609</v>
      </c>
      <c r="X19">
        <v>-94797017081884.875</v>
      </c>
      <c r="Y19">
        <v>-104269744498375.34</v>
      </c>
      <c r="Z19">
        <v>-114680523581930.98</v>
      </c>
      <c r="AA19">
        <v>-119306791494771.84</v>
      </c>
      <c r="AB19">
        <v>-125927872065078.48</v>
      </c>
      <c r="AC19">
        <v>-126997383642892.27</v>
      </c>
      <c r="AD19">
        <v>-128759314616252.09</v>
      </c>
      <c r="AE19">
        <v>-127858593511498.22</v>
      </c>
      <c r="AF19">
        <v>-128272712074831.36</v>
      </c>
      <c r="AG19">
        <v>-125124633067112.84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-2921781214.6691093</v>
      </c>
      <c r="L25">
        <v>-4071704928.8315473</v>
      </c>
      <c r="M25">
        <v>-10589885388.113281</v>
      </c>
      <c r="N25">
        <v>-17828897040.800488</v>
      </c>
      <c r="O25">
        <v>-24764521505.517578</v>
      </c>
      <c r="P25">
        <v>-33837191979.897457</v>
      </c>
      <c r="Q25">
        <v>-39332443536.062363</v>
      </c>
      <c r="R25">
        <v>-48017652084.399773</v>
      </c>
      <c r="S25">
        <v>-53704500056.142723</v>
      </c>
      <c r="T25">
        <v>-63540278030.381111</v>
      </c>
      <c r="U25">
        <v>-71870369623.835068</v>
      </c>
      <c r="V25">
        <v>-84408811577.253281</v>
      </c>
      <c r="W25">
        <v>-93813323493.206635</v>
      </c>
      <c r="X25">
        <v>-107357890239.96233</v>
      </c>
      <c r="Y25">
        <v>-118085780858.86348</v>
      </c>
      <c r="Z25">
        <v>-129876017646.58092</v>
      </c>
      <c r="AA25">
        <v>-135115279156.02957</v>
      </c>
      <c r="AB25">
        <v>-142613671647.88065</v>
      </c>
      <c r="AC25">
        <v>-143824896537.81323</v>
      </c>
      <c r="AD25">
        <v>-145820288353.62845</v>
      </c>
      <c r="AE25">
        <v>-144800219152.31589</v>
      </c>
      <c r="AF25">
        <v>-145269209597.76587</v>
      </c>
      <c r="AG25">
        <v>-141704001208.50464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-623800289330.82788</v>
      </c>
      <c r="L44">
        <v>-869309002305.32227</v>
      </c>
      <c r="M44">
        <v>-2260940530362.1538</v>
      </c>
      <c r="N44">
        <v>-3806469518209.9912</v>
      </c>
      <c r="O44">
        <v>-5287225341428.8779</v>
      </c>
      <c r="P44">
        <v>-7224240487708.0527</v>
      </c>
      <c r="Q44">
        <v>-8397476694949.3682</v>
      </c>
      <c r="R44">
        <v>-10251768720019.5</v>
      </c>
      <c r="S44">
        <v>-11465910761986.529</v>
      </c>
      <c r="T44">
        <v>-13565849359486.766</v>
      </c>
      <c r="U44">
        <v>-15344323914689.576</v>
      </c>
      <c r="V44">
        <v>-18021281271743.699</v>
      </c>
      <c r="W44">
        <v>-20029144565800.379</v>
      </c>
      <c r="X44">
        <v>-22920909566231.535</v>
      </c>
      <c r="Y44">
        <v>-25211314213367.09</v>
      </c>
      <c r="Z44">
        <v>-27728529767545.02</v>
      </c>
      <c r="AA44">
        <v>-28847112099811.703</v>
      </c>
      <c r="AB44">
        <v>-30448018896822.465</v>
      </c>
      <c r="AC44">
        <v>-30706615410823.832</v>
      </c>
      <c r="AD44">
        <v>-31132631563499.203</v>
      </c>
      <c r="AE44">
        <v>-30914846789020.219</v>
      </c>
      <c r="AF44">
        <v>-31014976249124.008</v>
      </c>
      <c r="AG44">
        <v>-30253804258016.504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G51"/>
  <sheetViews>
    <sheetView zoomScale="70" zoomScaleNormal="70" workbookViewId="0">
      <selection activeCell="B43" sqref="A40:B43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-68131187895.377068</v>
      </c>
      <c r="L2">
        <v>-94945539442.987411</v>
      </c>
      <c r="M2">
        <v>-246938910944.75479</v>
      </c>
      <c r="N2">
        <v>-415740893998.92865</v>
      </c>
      <c r="O2">
        <v>-577468381055.91626</v>
      </c>
      <c r="P2">
        <v>-789028306795.78271</v>
      </c>
      <c r="Q2">
        <v>-917168639284.19177</v>
      </c>
      <c r="R2">
        <v>-1119693582817.762</v>
      </c>
      <c r="S2">
        <v>-1252301632233.1733</v>
      </c>
      <c r="T2">
        <v>-1481655984262.282</v>
      </c>
      <c r="U2">
        <v>-1675900177732.6792</v>
      </c>
      <c r="V2">
        <v>-1968276259951.2629</v>
      </c>
      <c r="W2">
        <v>-2187574188623.8364</v>
      </c>
      <c r="X2">
        <v>-2503411465334.623</v>
      </c>
      <c r="Y2">
        <v>-2753568433901.9731</v>
      </c>
      <c r="Z2">
        <v>-3028497588036.9233</v>
      </c>
      <c r="AA2">
        <v>-3150668648806.814</v>
      </c>
      <c r="AB2">
        <v>-3325518971346.9448</v>
      </c>
      <c r="AC2">
        <v>-3353762766654.2856</v>
      </c>
      <c r="AD2">
        <v>-3400292059828.4302</v>
      </c>
      <c r="AE2">
        <v>-3376505704412.1807</v>
      </c>
      <c r="AF2">
        <v>-3387441799147.7466</v>
      </c>
      <c r="AG2">
        <v>-3304306935580.312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-10830244247839.18</v>
      </c>
      <c r="N3">
        <v>-21191509586563.898</v>
      </c>
      <c r="O3">
        <v>-23428039107417.559</v>
      </c>
      <c r="P3">
        <v>-41892337202150.063</v>
      </c>
      <c r="Q3">
        <v>-54603920262731.07</v>
      </c>
      <c r="R3">
        <v>-63858093055959.094</v>
      </c>
      <c r="S3">
        <v>-72695608474745.094</v>
      </c>
      <c r="T3">
        <v>-82660924928254.734</v>
      </c>
      <c r="U3">
        <v>-87843149884309.328</v>
      </c>
      <c r="V3">
        <v>-91657526897697.516</v>
      </c>
      <c r="W3">
        <v>-98377522657126.984</v>
      </c>
      <c r="X3">
        <v>-108242528064478.41</v>
      </c>
      <c r="Y3">
        <v>-119261103565868.09</v>
      </c>
      <c r="Z3">
        <v>-128370531017350.2</v>
      </c>
      <c r="AA3">
        <v>-136807750945523.09</v>
      </c>
      <c r="AB3">
        <v>-144339629055751.41</v>
      </c>
      <c r="AC3">
        <v>-149239138105778.81</v>
      </c>
      <c r="AD3">
        <v>-148220189589414.41</v>
      </c>
      <c r="AE3">
        <v>-149639136034171.81</v>
      </c>
      <c r="AF3">
        <v>-147778528784502.5</v>
      </c>
      <c r="AG3">
        <v>-140478470417472.8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-10938152529384.967</v>
      </c>
      <c r="L19">
        <v>-15243074786937.469</v>
      </c>
      <c r="M19">
        <v>-39644919702584.844</v>
      </c>
      <c r="N19">
        <v>-66745310800191.422</v>
      </c>
      <c r="O19">
        <v>-92709923722250.031</v>
      </c>
      <c r="P19">
        <v>-126674908163759.28</v>
      </c>
      <c r="Q19">
        <v>-147247256088716.47</v>
      </c>
      <c r="R19">
        <v>-179761715205106.06</v>
      </c>
      <c r="S19">
        <v>-201051334774889.84</v>
      </c>
      <c r="T19">
        <v>-237873133473380.97</v>
      </c>
      <c r="U19">
        <v>-269058155806901.41</v>
      </c>
      <c r="V19">
        <v>-315997806824902.81</v>
      </c>
      <c r="W19">
        <v>-351205092464518.25</v>
      </c>
      <c r="X19">
        <v>-401911331616449.63</v>
      </c>
      <c r="Y19">
        <v>-442072895842807.75</v>
      </c>
      <c r="Z19">
        <v>-486211521861200.63</v>
      </c>
      <c r="AA19">
        <v>-505825530344802.88</v>
      </c>
      <c r="AB19">
        <v>-533896954854428.06</v>
      </c>
      <c r="AC19">
        <v>-538431367810133.5</v>
      </c>
      <c r="AD19">
        <v>-545901434332454.88</v>
      </c>
      <c r="AE19">
        <v>-542082643090174.06</v>
      </c>
      <c r="AF19">
        <v>-543838383390447.06</v>
      </c>
      <c r="AG19">
        <v>-530491458930439.38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-12387488708.25211</v>
      </c>
      <c r="L25">
        <v>-17262825353.270149</v>
      </c>
      <c r="M25">
        <v>-44897983808.136078</v>
      </c>
      <c r="N25">
        <v>-75589253454.350372</v>
      </c>
      <c r="O25">
        <v>-104994251101.07597</v>
      </c>
      <c r="P25">
        <v>-143459692144.69037</v>
      </c>
      <c r="Q25">
        <v>-166757934415.30646</v>
      </c>
      <c r="R25">
        <v>-203580651421.41214</v>
      </c>
      <c r="S25">
        <v>-227691205860.57666</v>
      </c>
      <c r="T25">
        <v>-269391997138.59555</v>
      </c>
      <c r="U25">
        <v>-304709123224.12292</v>
      </c>
      <c r="V25">
        <v>-357868410900.22992</v>
      </c>
      <c r="W25">
        <v>-397740761567.97028</v>
      </c>
      <c r="X25">
        <v>-455165720969.93054</v>
      </c>
      <c r="Y25">
        <v>-500648806163.99451</v>
      </c>
      <c r="Z25">
        <v>-550635925097.61951</v>
      </c>
      <c r="AA25">
        <v>-572848845237.60376</v>
      </c>
      <c r="AB25">
        <v>-604639812972.17212</v>
      </c>
      <c r="AC25">
        <v>-609775048482.59631</v>
      </c>
      <c r="AD25">
        <v>-618234919968.80786</v>
      </c>
      <c r="AE25">
        <v>-613910128074.94312</v>
      </c>
      <c r="AF25">
        <v>-615898508935.95422</v>
      </c>
      <c r="AG25">
        <v>-600783079196.42151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-2644728839211.4219</v>
      </c>
      <c r="L44">
        <v>-3685613212923.166</v>
      </c>
      <c r="M44">
        <v>-9585719543037.2148</v>
      </c>
      <c r="N44">
        <v>-16138305612503.824</v>
      </c>
      <c r="O44">
        <v>-22416272610079.695</v>
      </c>
      <c r="P44">
        <v>-30628644272890.832</v>
      </c>
      <c r="Q44">
        <v>-35602818997668.133</v>
      </c>
      <c r="R44">
        <v>-43464469078471.266</v>
      </c>
      <c r="S44">
        <v>-48612072451233.25</v>
      </c>
      <c r="T44">
        <v>-57515191389090.383</v>
      </c>
      <c r="U44">
        <v>-65055397808350.43</v>
      </c>
      <c r="V44">
        <v>-76404905727199</v>
      </c>
      <c r="W44">
        <v>-84917652594761.703</v>
      </c>
      <c r="X44">
        <v>-97177881427080.297</v>
      </c>
      <c r="Y44">
        <v>-106888520116012.89</v>
      </c>
      <c r="Z44">
        <v>-117560770008342.34</v>
      </c>
      <c r="AA44">
        <v>-122303228458228.05</v>
      </c>
      <c r="AB44">
        <v>-129090600069558.7</v>
      </c>
      <c r="AC44">
        <v>-130186972851034.45</v>
      </c>
      <c r="AD44">
        <v>-131993155413339.89</v>
      </c>
      <c r="AE44">
        <v>-131069812344000.13</v>
      </c>
      <c r="AF44">
        <v>-131494331657826.11</v>
      </c>
      <c r="AG44">
        <v>-128267187408435.83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22"/>
  <sheetViews>
    <sheetView workbookViewId="0">
      <selection activeCell="I4" sqref="I4"/>
    </sheetView>
  </sheetViews>
  <sheetFormatPr defaultRowHeight="15" x14ac:dyDescent="0.25"/>
  <cols>
    <col min="10" max="10" width="12" bestFit="1" customWidth="1"/>
  </cols>
  <sheetData>
    <row r="1" spans="1:31" x14ac:dyDescent="0.25">
      <c r="A1" t="s">
        <v>0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</v>
      </c>
      <c r="B4" s="3">
        <f>SUMIFS('natural gas'!D:D,'natural gas'!$B:$B,About!$B$2)</f>
        <v>0</v>
      </c>
      <c r="C4" s="3">
        <f>SUMIFS('natural gas'!E:E,'natural gas'!$B:$B,About!$B$2)</f>
        <v>0</v>
      </c>
      <c r="D4" s="3">
        <f>SUMIFS('natural gas'!F:F,'natural gas'!$B:$B,About!$B$2)</f>
        <v>0</v>
      </c>
      <c r="E4" s="3">
        <f>SUMIFS('natural gas'!G:G,'natural gas'!$B:$B,About!$B$2)</f>
        <v>0</v>
      </c>
      <c r="F4" s="3">
        <f>SUMIFS('natural gas'!H:H,'natural gas'!$B:$B,About!$B$2)</f>
        <v>0</v>
      </c>
      <c r="G4" s="3">
        <f>SUMIFS('natural gas'!I:I,'natural gas'!$B:$B,About!$B$2)</f>
        <v>0</v>
      </c>
      <c r="H4" s="3">
        <f>SUMIFS('natural gas'!J:J,'natural gas'!$B:$B,About!$B$2)</f>
        <v>0</v>
      </c>
      <c r="I4" s="3">
        <f>SUMIFS('natural gas'!K:K,'natural gas'!$B:$B,About!$B$2)</f>
        <v>0</v>
      </c>
      <c r="J4" s="3">
        <f>SUMIFS('natural gas'!L:L,'natural gas'!$B:$B,About!$B$2)</f>
        <v>0</v>
      </c>
      <c r="K4" s="3">
        <f>SUMIFS('natural gas'!M:M,'natural gas'!$B:$B,About!$B$2)</f>
        <v>0</v>
      </c>
      <c r="L4" s="3">
        <f>SUMIFS('natural gas'!N:N,'natural gas'!$B:$B,About!$B$2)</f>
        <v>0</v>
      </c>
      <c r="M4" s="3">
        <f>SUMIFS('natural gas'!O:O,'natural gas'!$B:$B,About!$B$2)</f>
        <v>0</v>
      </c>
      <c r="N4" s="3">
        <f>SUMIFS('natural gas'!P:P,'natural gas'!$B:$B,About!$B$2)</f>
        <v>0</v>
      </c>
      <c r="O4" s="3">
        <f>SUMIFS('natural gas'!Q:Q,'natural gas'!$B:$B,About!$B$2)</f>
        <v>0</v>
      </c>
      <c r="P4" s="3">
        <f>SUMIFS('natural gas'!R:R,'natural gas'!$B:$B,About!$B$2)</f>
        <v>0</v>
      </c>
      <c r="Q4" s="3">
        <f>SUMIFS('natural gas'!S:S,'natural gas'!$B:$B,About!$B$2)</f>
        <v>0</v>
      </c>
      <c r="R4" s="3">
        <f>SUMIFS('natural gas'!T:T,'natural gas'!$B:$B,About!$B$2)</f>
        <v>0</v>
      </c>
      <c r="S4" s="3">
        <f>SUMIFS('natural gas'!U:U,'natural gas'!$B:$B,About!$B$2)</f>
        <v>0</v>
      </c>
      <c r="T4" s="3">
        <f>SUMIFS('natural gas'!V:V,'natural gas'!$B:$B,About!$B$2)</f>
        <v>0</v>
      </c>
      <c r="U4" s="3">
        <f>SUMIFS('natural gas'!W:W,'natural gas'!$B:$B,About!$B$2)</f>
        <v>0</v>
      </c>
      <c r="V4" s="3">
        <f>SUMIFS('natural gas'!X:X,'natural gas'!$B:$B,About!$B$2)</f>
        <v>0</v>
      </c>
      <c r="W4" s="3">
        <f>SUMIFS('natural gas'!Y:Y,'natural gas'!$B:$B,About!$B$2)</f>
        <v>0</v>
      </c>
      <c r="X4" s="3">
        <f>SUMIFS('natural gas'!Z:Z,'natural gas'!$B:$B,About!$B$2)</f>
        <v>0</v>
      </c>
      <c r="Y4" s="3">
        <f>SUMIFS('natural gas'!AA:AA,'natural gas'!$B:$B,About!$B$2)</f>
        <v>0</v>
      </c>
      <c r="Z4" s="3">
        <f>SUMIFS('natural gas'!AB:AB,'natural gas'!$B:$B,About!$B$2)</f>
        <v>0</v>
      </c>
      <c r="AA4" s="3">
        <f>SUMIFS('natural gas'!AC:AC,'natural gas'!$B:$B,About!$B$2)</f>
        <v>0</v>
      </c>
      <c r="AB4" s="3">
        <f>SUMIFS('natural gas'!AD:AD,'natural gas'!$B:$B,About!$B$2)</f>
        <v>0</v>
      </c>
      <c r="AC4" s="3">
        <f>SUMIFS('natural gas'!AE:AE,'natural gas'!$B:$B,About!$B$2)</f>
        <v>0</v>
      </c>
      <c r="AD4" s="3">
        <f>SUMIFS('natural gas'!AF:AF,'natural gas'!$B:$B,About!$B$2)</f>
        <v>0</v>
      </c>
      <c r="AE4" s="3">
        <f>SUMIFS('natural gas'!AG:AG,'natural gas'!$B:$B,About!$B$2)</f>
        <v>0</v>
      </c>
    </row>
    <row r="5" spans="1:3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17</v>
      </c>
      <c r="B18" s="3">
        <f>SUMIFS('crude oil'!D:D,'crude oil'!$B:$B,About!$B$2)</f>
        <v>0</v>
      </c>
      <c r="C18" s="3">
        <f>SUMIFS('crude oil'!E:E,'crude oil'!$B:$B,About!$B$2)</f>
        <v>0</v>
      </c>
      <c r="D18" s="3">
        <f>SUMIFS('crude oil'!F:F,'crude oil'!$B:$B,About!$B$2)</f>
        <v>0</v>
      </c>
      <c r="E18" s="3">
        <f>SUMIFS('crude oil'!G:G,'crude oil'!$B:$B,About!$B$2)</f>
        <v>0</v>
      </c>
      <c r="F18" s="3">
        <f>SUMIFS('crude oil'!H:H,'crude oil'!$B:$B,About!$B$2)</f>
        <v>0</v>
      </c>
      <c r="G18" s="3">
        <f>SUMIFS('crude oil'!I:I,'crude oil'!$B:$B,About!$B$2)</f>
        <v>0</v>
      </c>
      <c r="H18" s="3">
        <f>SUMIFS('crude oil'!J:J,'crude oil'!$B:$B,About!$B$2)</f>
        <v>0</v>
      </c>
      <c r="I18" s="3">
        <f>SUMIFS('crude oil'!K:K,'crude oil'!$B:$B,About!$B$2)</f>
        <v>0</v>
      </c>
      <c r="J18" s="3">
        <f>SUMIFS('crude oil'!L:L,'crude oil'!$B:$B,About!$B$2)</f>
        <v>0</v>
      </c>
      <c r="K18" s="3">
        <f>SUMIFS('crude oil'!M:M,'crude oil'!$B:$B,About!$B$2)</f>
        <v>0</v>
      </c>
      <c r="L18" s="3">
        <f>SUMIFS('crude oil'!N:N,'crude oil'!$B:$B,About!$B$2)</f>
        <v>0</v>
      </c>
      <c r="M18" s="3">
        <f>SUMIFS('crude oil'!O:O,'crude oil'!$B:$B,About!$B$2)</f>
        <v>0</v>
      </c>
      <c r="N18" s="3">
        <f>SUMIFS('crude oil'!P:P,'crude oil'!$B:$B,About!$B$2)</f>
        <v>0</v>
      </c>
      <c r="O18" s="3">
        <f>SUMIFS('crude oil'!Q:Q,'crude oil'!$B:$B,About!$B$2)</f>
        <v>0</v>
      </c>
      <c r="P18" s="3">
        <f>SUMIFS('crude oil'!R:R,'crude oil'!$B:$B,About!$B$2)</f>
        <v>0</v>
      </c>
      <c r="Q18" s="3">
        <f>SUMIFS('crude oil'!S:S,'crude oil'!$B:$B,About!$B$2)</f>
        <v>0</v>
      </c>
      <c r="R18" s="3">
        <f>SUMIFS('crude oil'!T:T,'crude oil'!$B:$B,About!$B$2)</f>
        <v>0</v>
      </c>
      <c r="S18" s="3">
        <f>SUMIFS('crude oil'!U:U,'crude oil'!$B:$B,About!$B$2)</f>
        <v>0</v>
      </c>
      <c r="T18" s="3">
        <f>SUMIFS('crude oil'!V:V,'crude oil'!$B:$B,About!$B$2)</f>
        <v>0</v>
      </c>
      <c r="U18" s="3">
        <f>SUMIFS('crude oil'!W:W,'crude oil'!$B:$B,About!$B$2)</f>
        <v>0</v>
      </c>
      <c r="V18" s="3">
        <f>SUMIFS('crude oil'!X:X,'crude oil'!$B:$B,About!$B$2)</f>
        <v>0</v>
      </c>
      <c r="W18" s="3">
        <f>SUMIFS('crude oil'!Y:Y,'crude oil'!$B:$B,About!$B$2)</f>
        <v>0</v>
      </c>
      <c r="X18" s="3">
        <f>SUMIFS('crude oil'!Z:Z,'crude oil'!$B:$B,About!$B$2)</f>
        <v>0</v>
      </c>
      <c r="Y18" s="3">
        <f>SUMIFS('crude oil'!AA:AA,'crude oil'!$B:$B,About!$B$2)</f>
        <v>0</v>
      </c>
      <c r="Z18" s="3">
        <f>SUMIFS('crude oil'!AB:AB,'crude oil'!$B:$B,About!$B$2)</f>
        <v>0</v>
      </c>
      <c r="AA18" s="3">
        <f>SUMIFS('crude oil'!AC:AC,'crude oil'!$B:$B,About!$B$2)</f>
        <v>0</v>
      </c>
      <c r="AB18" s="3">
        <f>SUMIFS('crude oil'!AD:AD,'crude oil'!$B:$B,About!$B$2)</f>
        <v>0</v>
      </c>
      <c r="AC18" s="3">
        <f>SUMIFS('crude oil'!AE:AE,'crude oil'!$B:$B,About!$B$2)</f>
        <v>0</v>
      </c>
      <c r="AD18" s="3">
        <f>SUMIFS('crude oil'!AF:AF,'crude oil'!$B:$B,About!$B$2)</f>
        <v>0</v>
      </c>
      <c r="AE18" s="3">
        <f>SUMIFS('crude oil'!AG:AG,'crude oil'!$B:$B,About!$B$2)</f>
        <v>0</v>
      </c>
    </row>
    <row r="19" spans="1:3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natural gas</vt:lpstr>
      <vt:lpstr>crude oil</vt:lpstr>
      <vt:lpstr>IiFPfOaGL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O'Brien</dc:creator>
  <cp:lastModifiedBy>Dan O'Brien</cp:lastModifiedBy>
  <dcterms:created xsi:type="dcterms:W3CDTF">2024-09-24T14:58:15Z</dcterms:created>
  <dcterms:modified xsi:type="dcterms:W3CDTF">2026-08-28T21:11:50Z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0x010100EEF16B4832CC58469954CEE5069400E4</vt:lpwstr>
  </property>
</Properties>
</file>