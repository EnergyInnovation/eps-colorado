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bout" sheetId="1" state="visible" r:id="rId1"/>
    <sheet name="Keys" sheetId="2" state="visible" r:id="rId2"/>
    <sheet name="1_DCS_numerator_by_BEA" sheetId="3" state="visible" r:id="rId3"/>
    <sheet name="2_DCS_denominator_by_BEA" sheetId="4" state="visible" r:id="rId4"/>
    <sheet name="3_ESoP_RoUS_exports_by_BEA" sheetId="5" state="visible" r:id="rId5"/>
    <sheet name="4_ESoP_intl_exports_by_BEA" sheetId="6" state="visible" r:id="rId6"/>
    <sheet name="5_Exp_total_by_BEA" sheetId="7" state="visible" r:id="rId7"/>
    <sheet name="Src_Stateior_SoI_DomUse" sheetId="8" state="visible" r:id="rId8"/>
    <sheet name="Src_Stateior_SoI_TotUse" sheetId="9" state="visible" r:id="rId9"/>
    <sheet name="Src_Disagg_EIA_coal" sheetId="10" state="visible" r:id="rId10"/>
    <sheet name="Src_Disagg_heuristics" sheetId="11" state="visible" r:id="rId11"/>
    <sheet name="Crosswalk_BEA_to_ISIC" sheetId="12" state="visible" r:id="rId12"/>
    <sheet name="State_disagg_splits" sheetId="13" state="visible" r:id="rId13"/>
    <sheet name="NAICS_to_ISIC_Key" sheetId="14" state="visible" r:id="rId14"/>
    <sheet name="6_Calc_DCS_num_ISIC" sheetId="15" state="visible" r:id="rId15"/>
    <sheet name="7_Calc_DCS_den_ISIC" sheetId="16" state="visible" r:id="rId16"/>
    <sheet name="8_Calc_Exp_ISIC" sheetId="17" state="visible" r:id="rId17"/>
    <sheet name="9_Output_by_ISIC" sheetId="18" state="visible" r:id="rId18"/>
    <sheet name="9b_DCS_overrides" sheetId="19" state="visible" r:id="rId19"/>
    <sheet name="9c_ESoP_overrides" sheetId="20" state="visible" r:id="rId20"/>
    <sheet name="10_Calc_DCS_ratio" sheetId="21" state="visible" r:id="rId21"/>
    <sheet name="11_Calc_ESoP_ratio" sheetId="22" state="visible" r:id="rId22"/>
    <sheet name="BDCSoCbIC" sheetId="23" state="visible" r:id="rId23"/>
    <sheet name="BESoP" sheetId="24" state="visible" r:id="rId24"/>
  </sheets>
  <calcPr calcId="191029" fullCalcOnLoad="1"/>
</workbook>
</file>

<file path=xl/sharedStrings.xml><?xml version="1.0" encoding="utf-8"?>
<sst xmlns="http://schemas.openxmlformats.org/spreadsheetml/2006/main" count="613" uniqueCount="613">
  <si>
    <t xml:space="preserve">BDCSoCbIC - BAU Domestic Content Share by ISIC Code</t>
  </si>
  <si>
    <t xml:space="preserve"/>
  </si>
  <si>
    <t xml:space="preserve">State: Colorado (CO)    Base year: 2019    Pipeline: EPS IO Pipeline — stateior-based</t>
  </si>
  <si>
    <t xml:space="preserve">Deflator: 2019 USD -&gt; 2012 USD = 1.12266 (BEA chained GDP price index; 2012 = 100.000, 2019 = 112.266)</t>
  </si>
  <si>
    <t xml:space="preserve">=========================================================</t>
  </si>
  <si>
    <t xml:space="preserve">Methodology</t>
  </si>
  <si>
    <t xml:space="preserve">For each 42-ISIC commodity i, domestic content share =</t>
  </si>
  <si>
    <t xml:space="preserve">    DCS(i) = SoI-produced-consumed-in-SoI(i)</t>
  </si>
  <si>
    <t xml:space="preserve">             / total-consumed-in-SoI(i)</t>
  </si>
  <si>
    <t xml:space="preserve">where:</t>
  </si>
  <si>
    <t xml:space="preserve">  numerator   = rowSums(DomesticUse[i/US-&lt;ST&gt;, j/US-&lt;ST&gt;])</t>
  </si>
  <si>
    <t xml:space="preserve">  denominator = rowSums(Use[i/US-&lt;ST&gt;, j/US-&lt;ST&gt;]) +</t>
  </si>
  <si>
    <t xml:space="preserve">                rowSums(Use[i/RoUS, j/US-&lt;ST&gt;])</t>
  </si>
  <si>
    <t xml:space="preserve">The denominator captures total consumption of commodity i in the</t>
  </si>
  <si>
    <t xml:space="preserve">state from all sources: in-state production, out-of-state US</t>
  </si>
  <si>
    <t xml:space="preserve">production, and international imports (implicit in Use).</t>
  </si>
  <si>
    <t xml:space="preserve">EIA-anchored override (coal, ISIC 05): stateior's pooled trade</t>
  </si>
  <si>
    <t xml:space="preserve">allocation creates fictitious interstate cross-hauling that badly</t>
  </si>
  <si>
    <t xml:space="preserve">mis-states coal domestic content (both directions, e.g. TN 0.565 vs</t>
  </si>
  <si>
    <t xml:space="preserve">~0.04 true; WY 0.627 vs ~1.0). DCS[05] is therefore replaced by the</t>
  </si>
  <si>
    <t xml:space="preserve">physical commodity balance min(production, consumption)/consumption</t>
  </si>
  <si>
    <t xml:space="preserve">(own-use-first) from EIA-7A production + SEDS CLTCP consumption, both</t>
  </si>
  <si>
    <t xml:space="preserve">in short tons of the same vintage. The override value + source appear</t>
  </si>
  <si>
    <t xml:space="preserve">on the 9b_DCS_EIA_override tab and are applied by formula in the final</t>
  </si>
  <si>
    <t xml:space="preserve">DCS column. See notes/energy_dcs_override.md (incl. limitations, e.g.</t>
  </si>
  <si>
    <t xml:space="preserve">met-vs-steam coal mix in AL-type states).</t>
  </si>
  <si>
    <t xml:space="preserve">Values are fractions in [0, 1]. Unchanged from output; no deflator.</t>
  </si>
  <si>
    <t xml:space="preserve">Notes</t>
  </si>
  <si>
    <t xml:space="preserve">This pipeline replaces the legacy LQ-based state IO regionalization with</t>
  </si>
  <si>
    <t xml:space="preserve">EPA stateior's FAF + RPC two-region methodology. Key improvements:</t>
  </si>
  <si>
    <t xml:space="preserve">  - Interstate trade flows are now explicit (SoI&lt;-&gt;RoUS two-region Use</t>
  </si>
  <si>
    <t xml:space="preserve">    table), rather than derived from single-region SLQ caps at 1.0.</t>
  </si>
  <si>
    <t xml:space="preserve">  - Domestic Content Share (DCS) now captures real interstate trade; no</t>
  </si>
  <si>
    <t xml:space="preserve">    longer forced to 1.0 when LQ &gt;= 1.</t>
  </si>
  <si>
    <t xml:space="preserve">  - Export Share (ESoP) captures BOTH international and interstate</t>
  </si>
  <si>
    <t xml:space="preserve">    exports, not only international net exports.</t>
  </si>
  <si>
    <t xml:space="preserve">  - State-specific disaggregation ratios (coal, cement, pharma/chem,</t>
  </si>
  <si>
    <t xml:space="preserve">    metals) use EIA / Census / GHGRP data where available, replacing</t>
  </si>
  <si>
    <t xml:space="preserve">    national-average ratios.</t>
  </si>
  <si>
    <t xml:space="preserve">  - BEA sector 81 (Other services) correctly routes to ISIC 90T96 per</t>
  </si>
  <si>
    <t xml:space="preserve">    NAICS 2017 -&gt; ISIC Rev 4 Census concordance.</t>
  </si>
  <si>
    <t xml:space="preserve">All monetary values are in 2012 USD (chained), matching EPS convention.</t>
  </si>
  <si>
    <t xml:space="preserve">Conversion factor: 2019 USD / 1.12266 = 2012 USD.</t>
  </si>
  <si>
    <t xml:space="preserve">Data sources</t>
  </si>
  <si>
    <t xml:space="preserve">EPA stateior (v0.4.0)</t>
  </si>
  <si>
    <t xml:space="preserve">  Two-region MRIO accounts by state (State of Interest vs RoUS)</t>
  </si>
  <si>
    <t xml:space="preserve">  https://github.com/USEPA/stateior</t>
  </si>
  <si>
    <t xml:space="preserve">EPA useeior (latest (2026))</t>
  </si>
  <si>
    <t xml:space="preserve">  Build toolkit for USEEIO / state IO models; BEA data loaders</t>
  </si>
  <si>
    <t xml:space="preserve">  https://github.com/USEPA/useeior</t>
  </si>
  <si>
    <t xml:space="preserve">US BEA Input-Output Accounts (2019 Summary)</t>
  </si>
  <si>
    <t xml:space="preserve">  National Make/Use tables (via useeior)</t>
  </si>
  <si>
    <t xml:space="preserve">  https://www.bea.gov/industry/input-output-accounts-data</t>
  </si>
  <si>
    <t xml:space="preserve">US BEA GDP by Industry (2019)</t>
  </si>
  <si>
    <t xml:space="preserve">  National industry value-added, output, compensation; state-level via FAF regionalization in stateior</t>
  </si>
  <si>
    <t xml:space="preserve">  https://apps.bea.gov/iTable/</t>
  </si>
  <si>
    <t xml:space="preserve">FHWA FAF5 (Freight Analysis Framework) (2017 base)</t>
  </si>
  <si>
    <t xml:space="preserve">  Commodity-flow data used by stateior for goods trade between states</t>
  </si>
  <si>
    <t xml:space="preserve">  https://faf.ornl.gov/faf5/</t>
  </si>
  <si>
    <t xml:space="preserve">US Census Annual Survey of Manufactures (2017)</t>
  </si>
  <si>
    <t xml:space="preserve">  State x 4-digit NAICS value added (for 331/327/325 disagg)</t>
  </si>
  <si>
    <t xml:space="preserve">  https://www.census.gov/programs-surveys/asm.html</t>
  </si>
  <si>
    <t xml:space="preserve">EIA Annual Coal Report (Form EIA-7A) (2019)</t>
  </si>
  <si>
    <t xml:space="preserve">  State coal production tonnage + reported value (for 212 disagg)</t>
  </si>
  <si>
    <t xml:space="preserve">  https://www.eia.gov/coal/annual/</t>
  </si>
  <si>
    <t xml:space="preserve">EPA GHGRP FLIGHT (2019)</t>
  </si>
  <si>
    <t xml:space="preserve">  Facility-level emissions, Subparts H (cement), Q (iron/steel), F (aluminum) (for 327/331 disagg gap-fill)</t>
  </si>
  <si>
    <t xml:space="preserve">  https://ghgdata.epa.gov/ghgp/</t>
  </si>
  <si>
    <t xml:space="preserve">USGS Minerals Yearbook (2019)</t>
  </si>
  <si>
    <t xml:space="preserve">  State-level cement + stone production (for 327 gap-fill)</t>
  </si>
  <si>
    <t xml:space="preserve">  https://www.usgs.gov/centers/national-minerals-information-center/minerals-yearbook-metals-and-minerals</t>
  </si>
  <si>
    <t xml:space="preserve">BLS QCEW (2019)</t>
  </si>
  <si>
    <t xml:space="preserve">  State x 4-digit NAICS employment (employment + disagg gap-fill)</t>
  </si>
  <si>
    <t xml:space="preserve">  https://www.bls.gov/cew/</t>
  </si>
  <si>
    <t xml:space="preserve">Migration plan (v0.2)</t>
  </si>
  <si>
    <t xml:space="preserve">  Design document for this pipeline: Migration Plan - stateior adoption.md</t>
  </si>
  <si>
    <t xml:space="preserve">  (local repo)</t>
  </si>
  <si>
    <t xml:space="preserve">This workbook</t>
  </si>
  <si>
    <t xml:space="preserve">Both outputs are FORMULA-DERIVED from the per-BEA intermediate tabs:</t>
  </si>
  <si>
    <t xml:space="preserve">aggregate to 42 ISIC via the Crosswalk tab, ratio with the Keys epsilon</t>
  </si>
  <si>
    <t xml:space="preserve">floor, clamp to [0,1]. Edit an intermediate cell and they recompute.</t>
  </si>
  <si>
    <t xml:space="preserve">Note: the four per-BEA intermediates (tabs 1-4) are pipeline VALUES -</t>
  </si>
  <si>
    <t xml:space="preserve">they row-sum the TWO-REGION Use/DomesticUse tables (SoI + RoUS blocks),</t>
  </si>
  <si>
    <t xml:space="preserve">but only the SoI blocks are embedded here, so they cannot be reproduced</t>
  </si>
  <si>
    <t xml:space="preserve">in-sheet. The Src_ Use tabs are context/provenance. 9_Output_by_ISIC is</t>
  </si>
  <si>
    <t xml:space="preserve">also a pipeline value (= BObIC output row: 2012 USD, incl. OCS</t>
  </si>
  <si>
    <t xml:space="preserve">attribution for LA/TX/AL/MS).</t>
  </si>
  <si>
    <t xml:space="preserve">Tabs:</t>
  </si>
  <si>
    <t xml:space="preserve">  - About / Keys</t>
  </si>
  <si>
    <t xml:space="preserve">  - 1_DCS_numerator_by_BEA / 2_DCS_denominator_by_BEA (pipeline values)</t>
  </si>
  <si>
    <t xml:space="preserve">  - 3_ESoP_RoUS_exports_by_BEA / 4_ESoP_intl_exports_by_BEA (pipeline values)</t>
  </si>
  <si>
    <t xml:space="preserve">  - 5_Exp_total_by_BEA = tab3 + tab4 (formulas)</t>
  </si>
  <si>
    <t xml:space="preserve">  - Src_Stateior_SoI_DomUse / _TotUse (context)</t>
  </si>
  <si>
    <t xml:space="preserve">  - Crosswalk / splits / NAICS key</t>
  </si>
  <si>
    <t xml:space="preserve">  - 6/7_Calc_* - crosswalk-aggregate DCS num + den (nominal; units cancel)</t>
  </si>
  <si>
    <t xml:space="preserve">  - 8_Calc_Exp_ISIC - aggregate exports AND deflate to 2012 USD, so the</t>
  </si>
  <si>
    <t xml:space="preserve">    ESoP ratio is unit-consistent with its denominator</t>
  </si>
  <si>
    <t xml:space="preserve">  - 9_Output_by_ISIC - ESoP denominator (pipeline value, 2012 USD; matches BObIC.csv)</t>
  </si>
  <si>
    <t xml:space="preserve">  - 9b_DCS_overrides / 9c_ESoP_overrides - EIA-anchored energy balances</t>
  </si>
  <si>
    <t xml:space="preserve">    (coal 05, oil&amp;gas 06) + the 36T39 physical-locality assumption</t>
  </si>
  <si>
    <t xml:space="preserve">    (DCS=1, ESoP=0); each row carries its source/rationale</t>
  </si>
  <si>
    <t xml:space="preserve">  - 10_Calc_DCS_ratio / 11_Calc_ESoP_ratio - ratio + epsilon floor + clamp;</t>
  </si>
  <si>
    <t xml:space="preserve">    final columns apply the overrides where present</t>
  </si>
  <si>
    <t xml:space="preserve">  - BDCSoCbIC / BESoP - final fraction rows (match the CSVs)</t>
  </si>
  <si>
    <t xml:space="preserve">category</t>
  </si>
  <si>
    <t xml:space="preserve">key</t>
  </si>
  <si>
    <t xml:space="preserve">value</t>
  </si>
  <si>
    <t xml:space="preserve">description</t>
  </si>
  <si>
    <t xml:space="preserve">deflator</t>
  </si>
  <si>
    <t xml:space="preserve">deflator_nominal_to_2012</t>
  </si>
  <si>
    <t xml:space="preserve">Divide nominal 2019 USD by this to get 2012 USD. BEA chained GDP price index; 2012 = 100.000, 2019 = 112.266</t>
  </si>
  <si>
    <t xml:space="preserve">year</t>
  </si>
  <si>
    <t xml:space="preserve">base_year</t>
  </si>
  <si>
    <t xml:space="preserve">stateior base year; nominal-USD vintage of the source tabs</t>
  </si>
  <si>
    <t xml:space="preserve">numeric</t>
  </si>
  <si>
    <t xml:space="preserve">epsilon_div_floor</t>
  </si>
  <si>
    <t xml:space="preserve">Denominator floor for ratio outputs (DCS, ESoP): x/MAX(den, epsilon) avoids div-by-zero; mirrors pmax(den, 1e-9) in the R pipeline</t>
  </si>
  <si>
    <t xml:space="preserve">fogp_denom_floor_usd</t>
  </si>
  <si>
    <t xml:space="preserve">FoGP-entity denominator floor: total purchases per category floored at $1 (mirrors pmax(total, 1)); near-zero totals give near-zero fractions</t>
  </si>
  <si>
    <t xml:space="preserve">BEA_Summary_code</t>
  </si>
  <si>
    <t xml:space="preserve">SoI_supply_to_SoI_USD</t>
  </si>
  <si>
    <t xml:space="preserve">111CA</t>
  </si>
  <si>
    <t xml:space="preserve">113FF</t>
  </si>
  <si>
    <t xml:space="preserve">211</t>
  </si>
  <si>
    <t xml:space="preserve">212</t>
  </si>
  <si>
    <t xml:space="preserve">213</t>
  </si>
  <si>
    <t xml:space="preserve">22</t>
  </si>
  <si>
    <t xml:space="preserve">23</t>
  </si>
  <si>
    <t xml:space="preserve">321</t>
  </si>
  <si>
    <t xml:space="preserve">327</t>
  </si>
  <si>
    <t xml:space="preserve">331</t>
  </si>
  <si>
    <t xml:space="preserve">332</t>
  </si>
  <si>
    <t xml:space="preserve">333</t>
  </si>
  <si>
    <t xml:space="preserve">334</t>
  </si>
  <si>
    <t xml:space="preserve">335</t>
  </si>
  <si>
    <t xml:space="preserve">3361MV</t>
  </si>
  <si>
    <t xml:space="preserve">3364OT</t>
  </si>
  <si>
    <t xml:space="preserve">337</t>
  </si>
  <si>
    <t xml:space="preserve">339</t>
  </si>
  <si>
    <t xml:space="preserve">311FT</t>
  </si>
  <si>
    <t xml:space="preserve">313TT</t>
  </si>
  <si>
    <t xml:space="preserve">315AL</t>
  </si>
  <si>
    <t xml:space="preserve">322</t>
  </si>
  <si>
    <t xml:space="preserve">323</t>
  </si>
  <si>
    <t xml:space="preserve">324</t>
  </si>
  <si>
    <t xml:space="preserve">325</t>
  </si>
  <si>
    <t xml:space="preserve">326</t>
  </si>
  <si>
    <t xml:space="preserve">42</t>
  </si>
  <si>
    <t xml:space="preserve">441</t>
  </si>
  <si>
    <t xml:space="preserve">445</t>
  </si>
  <si>
    <t xml:space="preserve">452</t>
  </si>
  <si>
    <t xml:space="preserve">4A0</t>
  </si>
  <si>
    <t xml:space="preserve">481</t>
  </si>
  <si>
    <t xml:space="preserve">482</t>
  </si>
  <si>
    <t xml:space="preserve">483</t>
  </si>
  <si>
    <t xml:space="preserve">484</t>
  </si>
  <si>
    <t xml:space="preserve">485</t>
  </si>
  <si>
    <t xml:space="preserve">486</t>
  </si>
  <si>
    <t xml:space="preserve">487OS</t>
  </si>
  <si>
    <t xml:space="preserve">493</t>
  </si>
  <si>
    <t xml:space="preserve">511</t>
  </si>
  <si>
    <t xml:space="preserve">512</t>
  </si>
  <si>
    <t xml:space="preserve">513</t>
  </si>
  <si>
    <t xml:space="preserve">514</t>
  </si>
  <si>
    <t xml:space="preserve">521CI</t>
  </si>
  <si>
    <t xml:space="preserve">523</t>
  </si>
  <si>
    <t xml:space="preserve">524</t>
  </si>
  <si>
    <t xml:space="preserve">525</t>
  </si>
  <si>
    <t xml:space="preserve">HS</t>
  </si>
  <si>
    <t xml:space="preserve">ORE</t>
  </si>
  <si>
    <t xml:space="preserve">532RL</t>
  </si>
  <si>
    <t xml:space="preserve">5411</t>
  </si>
  <si>
    <t xml:space="preserve">5415</t>
  </si>
  <si>
    <t xml:space="preserve">5412OP</t>
  </si>
  <si>
    <t xml:space="preserve">55</t>
  </si>
  <si>
    <t xml:space="preserve">561</t>
  </si>
  <si>
    <t xml:space="preserve">562</t>
  </si>
  <si>
    <t xml:space="preserve">61</t>
  </si>
  <si>
    <t xml:space="preserve">621</t>
  </si>
  <si>
    <t xml:space="preserve">622</t>
  </si>
  <si>
    <t xml:space="preserve">623</t>
  </si>
  <si>
    <t xml:space="preserve">624</t>
  </si>
  <si>
    <t xml:space="preserve">711AS</t>
  </si>
  <si>
    <t xml:space="preserve">713</t>
  </si>
  <si>
    <t xml:space="preserve">721</t>
  </si>
  <si>
    <t xml:space="preserve">722</t>
  </si>
  <si>
    <t xml:space="preserve">81</t>
  </si>
  <si>
    <t xml:space="preserve">GFGD</t>
  </si>
  <si>
    <t xml:space="preserve">GFGN</t>
  </si>
  <si>
    <t xml:space="preserve">GFE</t>
  </si>
  <si>
    <t xml:space="preserve">GSLG</t>
  </si>
  <si>
    <t xml:space="preserve">GSLE</t>
  </si>
  <si>
    <t xml:space="preserve">Used</t>
  </si>
  <si>
    <t xml:space="preserve">Other</t>
  </si>
  <si>
    <t xml:space="preserve">total_supply_in_SoI_USD</t>
  </si>
  <si>
    <t xml:space="preserve">exports_to_RoUS_USD</t>
  </si>
  <si>
    <t xml:space="preserve">exports_intl_USD</t>
  </si>
  <si>
    <t xml:space="preserve">exports_total_USD (= RoUS + intl)</t>
  </si>
  <si>
    <t xml:space="preserve">State-of-Interest Domestic Use matrix at BEA Summary resolution, from</t>
  </si>
  <si>
    <t xml:space="preserve">EPA stateior. Rows = commodities, columns = industries + final demand</t>
  </si>
  <si>
    <t xml:space="preserve">categories (F01* PCE, F02* investment, F06* fed nondefense, F07* fed</t>
  </si>
  <si>
    <t xml:space="preserve">defense, F10* state and local, F040 intl exports, F050 intl imports).</t>
  </si>
  <si>
    <t xml:space="preserve">Values in nominal 2019 USD. This is the raw input used to compute</t>
  </si>
  <si>
    <t xml:space="preserve">DCS, ESoP, government/household expenditures, and Leontief coefficients.</t>
  </si>
  <si>
    <t xml:space="preserve">commodity</t>
  </si>
  <si>
    <t xml:space="preserve">F010</t>
  </si>
  <si>
    <t xml:space="preserve">F02S</t>
  </si>
  <si>
    <t xml:space="preserve">F02E</t>
  </si>
  <si>
    <t xml:space="preserve">F02N</t>
  </si>
  <si>
    <t xml:space="preserve">F02R</t>
  </si>
  <si>
    <t xml:space="preserve">F030</t>
  </si>
  <si>
    <t xml:space="preserve">F040</t>
  </si>
  <si>
    <t xml:space="preserve">F050</t>
  </si>
  <si>
    <t xml:space="preserve">F06C</t>
  </si>
  <si>
    <t xml:space="preserve">F06S</t>
  </si>
  <si>
    <t xml:space="preserve">F06E</t>
  </si>
  <si>
    <t xml:space="preserve">F06N</t>
  </si>
  <si>
    <t xml:space="preserve">F07C</t>
  </si>
  <si>
    <t xml:space="preserve">F07S</t>
  </si>
  <si>
    <t xml:space="preserve">F07E</t>
  </si>
  <si>
    <t xml:space="preserve">F07N</t>
  </si>
  <si>
    <t xml:space="preserve">F10C</t>
  </si>
  <si>
    <t xml:space="preserve">F10S</t>
  </si>
  <si>
    <t xml:space="preserve">F10E</t>
  </si>
  <si>
    <t xml:space="preserve">F10N</t>
  </si>
  <si>
    <t xml:space="preserve">State-of-Interest Total Use matrix at BEA Summary resolution, from</t>
  </si>
  <si>
    <t xml:space="preserve">Raw EIA Annual Coal Report (Form EIA-7A) 2019 state production values,</t>
  </si>
  <si>
    <t xml:space="preserve">used as the numerator for the 212 BEA mining disagg split (05 coal vs</t>
  </si>
  <si>
    <t xml:space="preserve">07T08 other mining). Source:</t>
  </si>
  <si>
    <t xml:space="preserve">THIS STATE: CO</t>
  </si>
  <si>
    <t xml:space="preserve">state</t>
  </si>
  <si>
    <t xml:space="preserve">short_tons</t>
  </si>
  <si>
    <t xml:space="preserve">short_tons_units</t>
  </si>
  <si>
    <t xml:space="preserve">value_usd</t>
  </si>
  <si>
    <t xml:space="preserve">source_notes</t>
  </si>
  <si>
    <t xml:space="preserve">AL</t>
  </si>
  <si>
    <t xml:space="preserve">short tons</t>
  </si>
  <si>
    <t xml:space="preserve">EIA Annual Coal Report 2019; AL avg ~$50/ton bituminous</t>
  </si>
  <si>
    <t xml:space="preserve">AK</t>
  </si>
  <si>
    <t xml:space="preserve">EIA Annual Coal Report 2019; AK Usibelli ~$40/ton subbit</t>
  </si>
  <si>
    <t xml:space="preserve">AZ</t>
  </si>
  <si>
    <t xml:space="preserve">EIA Annual Coal Report 2019; Kayenta mine closed 2019; partial year</t>
  </si>
  <si>
    <t xml:space="preserve">AR</t>
  </si>
  <si>
    <t xml:space="preserve">CA</t>
  </si>
  <si>
    <t xml:space="preserve">CO</t>
  </si>
  <si>
    <t xml:space="preserve">EIA ~$31/ton</t>
  </si>
  <si>
    <t xml:space="preserve">CT</t>
  </si>
  <si>
    <t xml:space="preserve">DE</t>
  </si>
  <si>
    <t xml:space="preserve">DC</t>
  </si>
  <si>
    <t xml:space="preserve">FL</t>
  </si>
  <si>
    <t xml:space="preserve">GA</t>
  </si>
  <si>
    <t xml:space="preserve">HI</t>
  </si>
  <si>
    <t xml:space="preserve">ID</t>
  </si>
  <si>
    <t xml:space="preserve">IL</t>
  </si>
  <si>
    <t xml:space="preserve">IL Basin avg ~$42/ton</t>
  </si>
  <si>
    <t xml:space="preserve">IN</t>
  </si>
  <si>
    <t xml:space="preserve">IA</t>
  </si>
  <si>
    <t xml:space="preserve">KS</t>
  </si>
  <si>
    <t xml:space="preserve">KY</t>
  </si>
  <si>
    <t xml:space="preserve">KY split East (Central App ~$58/ton) + West (IL Basin ~$40/ton)</t>
  </si>
  <si>
    <t xml:space="preserve">LA</t>
  </si>
  <si>
    <t xml:space="preserve">lignite ~$22/ton</t>
  </si>
  <si>
    <t xml:space="preserve">ME</t>
  </si>
  <si>
    <t xml:space="preserve">MD</t>
  </si>
  <si>
    <t xml:space="preserve">NA Appalachia ~$55/ton</t>
  </si>
  <si>
    <t xml:space="preserve">MA</t>
  </si>
  <si>
    <t xml:space="preserve">MI</t>
  </si>
  <si>
    <t xml:space="preserve">MN</t>
  </si>
  <si>
    <t xml:space="preserve">MS</t>
  </si>
  <si>
    <t xml:space="preserve">lignite</t>
  </si>
  <si>
    <t xml:space="preserve">MO</t>
  </si>
  <si>
    <t xml:space="preserve">MT</t>
  </si>
  <si>
    <t xml:space="preserve">PRB subbit ~$14/ton + some bituminous</t>
  </si>
  <si>
    <t xml:space="preserve">NE</t>
  </si>
  <si>
    <t xml:space="preserve">NV</t>
  </si>
  <si>
    <t xml:space="preserve">NH</t>
  </si>
  <si>
    <t xml:space="preserve">NJ</t>
  </si>
  <si>
    <t xml:space="preserve">NM</t>
  </si>
  <si>
    <t xml:space="preserve">San Juan + McKinley ~$24/ton</t>
  </si>
  <si>
    <t xml:space="preserve">NY</t>
  </si>
  <si>
    <t xml:space="preserve">NC</t>
  </si>
  <si>
    <t xml:space="preserve">ND</t>
  </si>
  <si>
    <t xml:space="preserve">lignite ~$20/ton</t>
  </si>
  <si>
    <t xml:space="preserve">OH</t>
  </si>
  <si>
    <t xml:space="preserve">Central App/NA ~$52/ton</t>
  </si>
  <si>
    <t xml:space="preserve">OK</t>
  </si>
  <si>
    <t xml:space="preserve">OR</t>
  </si>
  <si>
    <t xml:space="preserve">PA</t>
  </si>
  <si>
    <t xml:space="preserve">anthracite + NA Appalachia; avg ~$60/ton</t>
  </si>
  <si>
    <t xml:space="preserve">RI</t>
  </si>
  <si>
    <t xml:space="preserve">SC</t>
  </si>
  <si>
    <t xml:space="preserve">SD</t>
  </si>
  <si>
    <t xml:space="preserve">TN</t>
  </si>
  <si>
    <t xml:space="preserve">Central App small; ~$55/ton</t>
  </si>
  <si>
    <t xml:space="preserve">TX</t>
  </si>
  <si>
    <t xml:space="preserve">UT</t>
  </si>
  <si>
    <t xml:space="preserve">~$30/ton</t>
  </si>
  <si>
    <t xml:space="preserve">VT</t>
  </si>
  <si>
    <t xml:space="preserve">VA</t>
  </si>
  <si>
    <t xml:space="preserve">Central App ~$54/ton</t>
  </si>
  <si>
    <t xml:space="preserve">WA</t>
  </si>
  <si>
    <t xml:space="preserve">Centralia closed 2020</t>
  </si>
  <si>
    <t xml:space="preserve">WV</t>
  </si>
  <si>
    <t xml:space="preserve">Central App + NA ~$54/ton avg; largest-after-WY</t>
  </si>
  <si>
    <t xml:space="preserve">WI</t>
  </si>
  <si>
    <t xml:space="preserve">WY</t>
  </si>
  <si>
    <t xml:space="preserve">PRB subbit ~$13/ton</t>
  </si>
  <si>
    <t xml:space="preserve">Hand-curated heuristic tables used as layer-3 fallback for BEA 327</t>
  </si>
  <si>
    <t xml:space="preserve">(nonmetallic) / 331 (primary metals) / 325 (chemicals) disaggregation</t>
  </si>
  <si>
    <t xml:space="preserve">when Census ASM is suppressed and GHGRP lacks coverage.</t>
  </si>
  <si>
    <t xml:space="preserve">Sources:</t>
  </si>
  <si>
    <t xml:space="preserve">  - cement-heavy state list: GHGRP Subpart H 2019 facility presence</t>
  </si>
  <si>
    <t xml:space="preserve">    + USGS Minerals Yearbook 2019 cement production rankings</t>
  </si>
  <si>
    <t xml:space="preserve">  - glass-heavy state list: Census ASM 2017 NAICS 3272 top-6 states</t>
  </si>
  <si>
    <t xml:space="preserve">  - steel_share: Census ASM 2017 NAICS 331 VA breakdown (2021 SUSB</t>
  </si>
  <si>
    <t xml:space="preserve">    supplement where suppressed) + industry knowledge</t>
  </si>
  <si>
    <t xml:space="preserve">  - pharma_share: Census ASM 2017 NAICS 325 VA breakdown +</t>
  </si>
  <si>
    <t xml:space="preserve">    BLS QCEW 2019 NAICS 3254 employment share</t>
  </si>
  <si>
    <t xml:space="preserve">See R/build_state_overrides.R for the applied logic.</t>
  </si>
  <si>
    <t xml:space="preserve">327 cement-heavy states</t>
  </si>
  <si>
    <t xml:space="preserve">TX, CA, MO, AL, PA, FL, MI, IN, IL, GA, OH, SC, KS, OK, IA, AR, CO, UT</t>
  </si>
  <si>
    <t xml:space="preserve">327 glass-heavy states</t>
  </si>
  <si>
    <t xml:space="preserve">OH, PA, NY, IN, WV, NC</t>
  </si>
  <si>
    <t xml:space="preserve">331 / 325 heuristic split shares (used only where Census ASM / GHGRP unavailable):</t>
  </si>
  <si>
    <t xml:space="preserve">331_steel_share (-&gt; ISIC 241)</t>
  </si>
  <si>
    <t xml:space="preserve">331_other_share (-&gt; ISIC 242)</t>
  </si>
  <si>
    <t xml:space="preserve">325_pharma_share (-&gt; ISIC 21)</t>
  </si>
  <si>
    <t xml:space="preserve">325_chem_share (-&gt; ISIC 20)</t>
  </si>
  <si>
    <t xml:space="preserve">BEA Summary (post-disagg) -&gt; 42-ISIC crosswalk, applied to state CO.</t>
  </si>
  <si>
    <t xml:space="preserve">Rows with allocation_weight != 1.0 represent BEA sectors that are split</t>
  </si>
  <si>
    <t xml:space="preserve">across multiple ISIC codes (e.g. BEA 22 utilities -&gt; 351/352T353/36T39).</t>
  </si>
  <si>
    <t xml:space="preserve">State-specific overrides are loaded from crosswalks/state_overrides/&lt;ST&gt;/splits.csv.</t>
  </si>
  <si>
    <t xml:space="preserve">BEA_code</t>
  </si>
  <si>
    <t xml:space="preserve">BEA_name</t>
  </si>
  <si>
    <t xml:space="preserve">ISIC_code</t>
  </si>
  <si>
    <t xml:space="preserve">ISIC_name</t>
  </si>
  <si>
    <t xml:space="preserve">allocation_weight</t>
  </si>
  <si>
    <t xml:space="preserve">notes</t>
  </si>
  <si>
    <t xml:space="preserve">source</t>
  </si>
  <si>
    <t xml:space="preserve">Farms</t>
  </si>
  <si>
    <t xml:space="preserve">01T03</t>
  </si>
  <si>
    <t xml:space="preserve">Agriculture, forestry, fishing</t>
  </si>
  <si>
    <t xml:space="preserve">Forestry, fishing, related</t>
  </si>
  <si>
    <t xml:space="preserve">Oil and gas extraction</t>
  </si>
  <si>
    <t xml:space="preserve">06</t>
  </si>
  <si>
    <t xml:space="preserve">Extraction of crude petroleum and natural gas</t>
  </si>
  <si>
    <t xml:space="preserve">Support activities for mining</t>
  </si>
  <si>
    <t xml:space="preserve">09</t>
  </si>
  <si>
    <t xml:space="preserve">Mining support service activities</t>
  </si>
  <si>
    <t xml:space="preserve">Utilities</t>
  </si>
  <si>
    <t xml:space="preserve">351</t>
  </si>
  <si>
    <t xml:space="preserve">Electricity</t>
  </si>
  <si>
    <t xml:space="preserve">BEA 2012 Detail: electric ~72% of 22 output</t>
  </si>
  <si>
    <t xml:space="preserve">352T353</t>
  </si>
  <si>
    <t xml:space="preserve">Gas, steam, AC</t>
  </si>
  <si>
    <t xml:space="preserve">BEA Detail: gas distribution ~20%</t>
  </si>
  <si>
    <t xml:space="preserve">36T39</t>
  </si>
  <si>
    <t xml:space="preserve">Water, sewerage, waste</t>
  </si>
  <si>
    <t xml:space="preserve">BEA Detail: water/sewage ~8%</t>
  </si>
  <si>
    <t xml:space="preserve">Construction</t>
  </si>
  <si>
    <t xml:space="preserve">41T43</t>
  </si>
  <si>
    <t xml:space="preserve">Food, beverage, tobacco</t>
  </si>
  <si>
    <t xml:space="preserve">10T12</t>
  </si>
  <si>
    <t xml:space="preserve">Food, beverages, tobacco</t>
  </si>
  <si>
    <t xml:space="preserve">Textile mills and textile product mills</t>
  </si>
  <si>
    <t xml:space="preserve">13T15</t>
  </si>
  <si>
    <t xml:space="preserve">Textiles, apparel, leather</t>
  </si>
  <si>
    <t xml:space="preserve">Apparel and leather</t>
  </si>
  <si>
    <t xml:space="preserve">Wood products</t>
  </si>
  <si>
    <t xml:space="preserve">16</t>
  </si>
  <si>
    <t xml:space="preserve">Wood and products of wood and cork</t>
  </si>
  <si>
    <t xml:space="preserve">Paper products</t>
  </si>
  <si>
    <t xml:space="preserve">17T18</t>
  </si>
  <si>
    <t xml:space="preserve">Paper products and printing</t>
  </si>
  <si>
    <t xml:space="preserve">Printing and related</t>
  </si>
  <si>
    <t xml:space="preserve">Petroleum and coal products</t>
  </si>
  <si>
    <t xml:space="preserve">19</t>
  </si>
  <si>
    <t xml:space="preserve">Coke and refined petroleum products</t>
  </si>
  <si>
    <t xml:space="preserve">BEA 2024 Detail: 324110 refineries + 324121/324122 asphalt = ~96.1% of 324 output ($601,241M / $625,936M)</t>
  </si>
  <si>
    <t xml:space="preserve">241</t>
  </si>
  <si>
    <t xml:space="preserve">Iron and steel (incl. coal coking)</t>
  </si>
  <si>
    <t xml:space="preserve">EPS modeling convention: route NAICS 324190 (Other petroleum and coal products mfg, includes coal coking) to 241 to consolidate coke with iron and steel; matches eps-us national model</t>
  </si>
  <si>
    <t xml:space="preserve">Plastics and rubber products</t>
  </si>
  <si>
    <t xml:space="preserve">Rubber and plastics products</t>
  </si>
  <si>
    <t xml:space="preserve">Fabricated metal products</t>
  </si>
  <si>
    <t xml:space="preserve">25</t>
  </si>
  <si>
    <t xml:space="preserve">Machinery</t>
  </si>
  <si>
    <t xml:space="preserve">28</t>
  </si>
  <si>
    <t xml:space="preserve">Machinery and equipment n.e.c.</t>
  </si>
  <si>
    <t xml:space="preserve">Computer and electronic products</t>
  </si>
  <si>
    <t xml:space="preserve">26</t>
  </si>
  <si>
    <t xml:space="preserve">Computer, electronic and optical products</t>
  </si>
  <si>
    <t xml:space="preserve">Electrical equipment, appliances</t>
  </si>
  <si>
    <t xml:space="preserve">27</t>
  </si>
  <si>
    <t xml:space="preserve">Electrical equipment</t>
  </si>
  <si>
    <t xml:space="preserve">Motor vehicles, bodies, trailers, parts</t>
  </si>
  <si>
    <t xml:space="preserve">29</t>
  </si>
  <si>
    <t xml:space="preserve">Motor vehicles, trailers, semi-trailers</t>
  </si>
  <si>
    <t xml:space="preserve">Other transportation equipment</t>
  </si>
  <si>
    <t xml:space="preserve">30</t>
  </si>
  <si>
    <t xml:space="preserve">Other transport equipment</t>
  </si>
  <si>
    <t xml:space="preserve">Furniture and related products</t>
  </si>
  <si>
    <t xml:space="preserve">31T33</t>
  </si>
  <si>
    <t xml:space="preserve">Furniture; other manufacturing; repair</t>
  </si>
  <si>
    <t xml:space="preserve">Miscellaneous manufacturing</t>
  </si>
  <si>
    <t xml:space="preserve">Wholesale trade</t>
  </si>
  <si>
    <t xml:space="preserve">45T47</t>
  </si>
  <si>
    <t xml:space="preserve">Wholesale and retail trade</t>
  </si>
  <si>
    <t xml:space="preserve">Motor vehicle and parts dealers</t>
  </si>
  <si>
    <t xml:space="preserve">Food and beverage stores</t>
  </si>
  <si>
    <t xml:space="preserve">General merchandise stores</t>
  </si>
  <si>
    <t xml:space="preserve">Other retail</t>
  </si>
  <si>
    <t xml:space="preserve">Air transportation</t>
  </si>
  <si>
    <t xml:space="preserve">49T53</t>
  </si>
  <si>
    <t xml:space="preserve">Transportation and storage</t>
  </si>
  <si>
    <t xml:space="preserve">Rail transportation</t>
  </si>
  <si>
    <t xml:space="preserve">Water transportation</t>
  </si>
  <si>
    <t xml:space="preserve">Truck transportation</t>
  </si>
  <si>
    <t xml:space="preserve">Transit and ground passenger</t>
  </si>
  <si>
    <t xml:space="preserve">Pipeline transportation</t>
  </si>
  <si>
    <t xml:space="preserve">Gas, steam, AC (incl. pipelines per EPS energy-side convention)</t>
  </si>
  <si>
    <t xml:space="preserve">Reclassified from 49T53 (staff decision 2026-07-16): EPS 352T353 = 'energy pipelines and gas processing'; industrial-energy side sources pipeline fuel (AEO T36 / NAICS 486) here, so IO dollars follow. NOTE: diverges from eps-us national io-model (tags 486 -&gt; 49T53); national files to be corrected separately.</t>
  </si>
  <si>
    <t xml:space="preserve">Other transportation and support</t>
  </si>
  <si>
    <t xml:space="preserve">Warehousing and storage</t>
  </si>
  <si>
    <t xml:space="preserve">Publishing industries (incl software)</t>
  </si>
  <si>
    <t xml:space="preserve">58T60</t>
  </si>
  <si>
    <t xml:space="preserve">Publishing, audiovisual, broadcasting</t>
  </si>
  <si>
    <t xml:space="preserve">Motion picture and sound recording</t>
  </si>
  <si>
    <t xml:space="preserve">Broadcasting and telecom</t>
  </si>
  <si>
    <t xml:space="preserve">Placeholder ~25/75 broadcast/telecom per \u00a74.6</t>
  </si>
  <si>
    <t xml:space="preserve">Telecommunications</t>
  </si>
  <si>
    <t xml:space="preserve">Data processing, hosting, other info</t>
  </si>
  <si>
    <t xml:space="preserve">62T63</t>
  </si>
  <si>
    <t xml:space="preserve">IT and other information services</t>
  </si>
  <si>
    <t xml:space="preserve">Federal Reserve banks, credit intermediation</t>
  </si>
  <si>
    <t xml:space="preserve">64T66</t>
  </si>
  <si>
    <t xml:space="preserve">Finance and insurance</t>
  </si>
  <si>
    <t xml:space="preserve">Securities, commodity contracts, investments</t>
  </si>
  <si>
    <t xml:space="preserve">Insurance carriers and related</t>
  </si>
  <si>
    <t xml:space="preserve">Funds, trusts, other financial vehicles</t>
  </si>
  <si>
    <t xml:space="preserve">Housing (owner-occupied)</t>
  </si>
  <si>
    <t xml:space="preserve">68</t>
  </si>
  <si>
    <t xml:space="preserve">Real estate activities</t>
  </si>
  <si>
    <t xml:space="preserve">Other real estate</t>
  </si>
  <si>
    <t xml:space="preserve">Rental and leasing (excl real estate)</t>
  </si>
  <si>
    <t xml:space="preserve">69T82</t>
  </si>
  <si>
    <t xml:space="preserve">Prof/admin/support services</t>
  </si>
  <si>
    <t xml:space="preserve">ISIC 77 not in 42-ISIC; \u00a74.7</t>
  </si>
  <si>
    <t xml:space="preserve">Legal services</t>
  </si>
  <si>
    <t xml:space="preserve">Misc professional, scientific, technical services</t>
  </si>
  <si>
    <t xml:space="preserve">Computer systems design</t>
  </si>
  <si>
    <t xml:space="preserve">Resolves \u00a74.7 at stateior's Summary resolution</t>
  </si>
  <si>
    <t xml:space="preserve">Management of companies and enterprises</t>
  </si>
  <si>
    <t xml:space="preserve">Administrative and support services</t>
  </si>
  <si>
    <t xml:space="preserve">Waste management and remediation</t>
  </si>
  <si>
    <t xml:space="preserve">Water supply; sewerage; waste mgmt</t>
  </si>
  <si>
    <t xml:space="preserve">Educational services</t>
  </si>
  <si>
    <t xml:space="preserve">85</t>
  </si>
  <si>
    <t xml:space="preserve">Education</t>
  </si>
  <si>
    <t xml:space="preserve">Ambulatory health care</t>
  </si>
  <si>
    <t xml:space="preserve">86T88</t>
  </si>
  <si>
    <t xml:space="preserve">Human health and social work</t>
  </si>
  <si>
    <t xml:space="preserve">Hospitals</t>
  </si>
  <si>
    <t xml:space="preserve">Nursing and residential care</t>
  </si>
  <si>
    <t xml:space="preserve">Social assistance</t>
  </si>
  <si>
    <t xml:space="preserve">Performing arts, spectator sports, museums</t>
  </si>
  <si>
    <t xml:space="preserve">90T96</t>
  </si>
  <si>
    <t xml:space="preserve">Arts, entertainment and other services</t>
  </si>
  <si>
    <t xml:space="preserve">Amusements, gambling, recreation</t>
  </si>
  <si>
    <t xml:space="preserve">Accommodation</t>
  </si>
  <si>
    <t xml:space="preserve">55T56</t>
  </si>
  <si>
    <t xml:space="preserve">Accommodation and food services</t>
  </si>
  <si>
    <t xml:space="preserve">Food services and drinking places</t>
  </si>
  <si>
    <t xml:space="preserve">Other services (ex government)</t>
  </si>
  <si>
    <t xml:space="preserve">Federal general government - defense</t>
  </si>
  <si>
    <t xml:space="preserve">84</t>
  </si>
  <si>
    <t xml:space="preserve">Public administration and defense</t>
  </si>
  <si>
    <t xml:space="preserve">Federal general government - nondefense</t>
  </si>
  <si>
    <t xml:space="preserve">Federal government enterprises</t>
  </si>
  <si>
    <t xml:space="preserve">State and local general government</t>
  </si>
  <si>
    <t xml:space="preserve">State and local government enterprises</t>
  </si>
  <si>
    <t xml:space="preserve">Mining, except oil and gas</t>
  </si>
  <si>
    <t xml:space="preserve">05</t>
  </si>
  <si>
    <t xml:space="preserve">Mining of coal and lignite</t>
  </si>
  <si>
    <t xml:space="preserve">coal/(coal+nonfuel) mine-value share, 2012 USD: EIA coal 2019 $294M + USGS T3 nonfuel 2021 $1536M -&gt; coal share 0.161 (applied to stateior 212 $2221M)</t>
  </si>
  <si>
    <t xml:space="preserve">07T08</t>
  </si>
  <si>
    <t xml:space="preserve">Other mining and quarrying</t>
  </si>
  <si>
    <t xml:space="preserve">Nonmetallic minerals</t>
  </si>
  <si>
    <t xml:space="preserve">231</t>
  </si>
  <si>
    <t xml:space="preserve">Glass</t>
  </si>
  <si>
    <t xml:space="preserve">HEURISTIC (GHGRP Subpart H cement state list + glass industry profile; Census ASM suppressed or missing)</t>
  </si>
  <si>
    <t xml:space="preserve">239</t>
  </si>
  <si>
    <t xml:space="preserve">Cement, lime, other nonmetallic</t>
  </si>
  <si>
    <t xml:space="preserve">Primary metals</t>
  </si>
  <si>
    <t xml:space="preserve">HEURISTIC (no ASM or GHGRP data pulled yet)</t>
  </si>
  <si>
    <t xml:space="preserve">242</t>
  </si>
  <si>
    <t xml:space="preserve">Aluminum, nonferrous, foundries</t>
  </si>
  <si>
    <t xml:space="preserve">Chemicals</t>
  </si>
  <si>
    <t xml:space="preserve">20</t>
  </si>
  <si>
    <t xml:space="preserve">Chemicals and chemical products</t>
  </si>
  <si>
    <t xml:space="preserve">HEURISTIC (Census ASM suppressed or unpulled)</t>
  </si>
  <si>
    <t xml:space="preserve">21</t>
  </si>
  <si>
    <t xml:space="preserve">Pharmaceuticals</t>
  </si>
  <si>
    <t xml:space="preserve">State-specific disaggregation ratios applied for CO.</t>
  </si>
  <si>
    <t xml:space="preserve">Five BEA Summary sectors are split into finer ISIC children. Ratios</t>
  </si>
  <si>
    <t xml:space="preserve">come from the layered proxy strategy in the migration plan (sec 4.0):</t>
  </si>
  <si>
    <t xml:space="preserve">  1. Pulled-from-source data (EIA-7A, Census ASM, GHGRP) where available</t>
  </si>
  <si>
    <t xml:space="preserve">  2. GHGRP emissions proxy where Census is suppressed</t>
  </si>
  <si>
    <t xml:space="preserve">  3. Hand-curated heuristic table (from industry knowledge)</t>
  </si>
  <si>
    <t xml:space="preserve">  4. National fallback ratio (last resort)</t>
  </si>
  <si>
    <t xml:space="preserve">Concise NAICS Summary -&gt; ISIC Rev 4 mapping used by this pipeline.</t>
  </si>
  <si>
    <t xml:space="preserve">See US Census Bureau NAICS 2017 to ISIC Rev 4 concordance for the full</t>
  </si>
  <si>
    <t xml:space="preserve">detail-level mapping:</t>
  </si>
  <si>
    <t xml:space="preserve">  https://www.census.gov/naics/concordances/2017_NAICS_to_ISIC_4.xlsx</t>
  </si>
  <si>
    <t xml:space="preserve">ISIC Rev 4 code</t>
  </si>
  <si>
    <t xml:space="preserve">Title (42-ISIC scheme)</t>
  </si>
  <si>
    <t xml:space="preserve">BEA Summary sources (examples)</t>
  </si>
  <si>
    <t xml:space="preserve">Agriculture, forestry and fishing</t>
  </si>
  <si>
    <t xml:space="preserve">111CA Farms; 113FF Forestry/fishing/related</t>
  </si>
  <si>
    <t xml:space="preserve">212/coal (NAICS 2121)</t>
  </si>
  <si>
    <t xml:space="preserve">211 Oil and gas extraction</t>
  </si>
  <si>
    <t xml:space="preserve">Mining of metal ores; other mining and quarrying</t>
  </si>
  <si>
    <t xml:space="preserve">212/other (NAICS 2122+2123)</t>
  </si>
  <si>
    <t xml:space="preserve">213 Support activities for mining</t>
  </si>
  <si>
    <t xml:space="preserve">Food products, beverages and tobacco</t>
  </si>
  <si>
    <t xml:space="preserve">311FT Food/beverage/tobacco</t>
  </si>
  <si>
    <t xml:space="preserve">Textiles, wearing apparel, leather and related products</t>
  </si>
  <si>
    <t xml:space="preserve">313TT Textile mills; 315AL Apparel/leather</t>
  </si>
  <si>
    <t xml:space="preserve">Wood and products of wood and cork, except furniture</t>
  </si>
  <si>
    <t xml:space="preserve">321 Wood products</t>
  </si>
  <si>
    <t xml:space="preserve">322 Paper; 323 Printing</t>
  </si>
  <si>
    <t xml:space="preserve">324 Petroleum and coal products</t>
  </si>
  <si>
    <t xml:space="preserve">Chemicals and chemical products (excl. pharmaceuticals)</t>
  </si>
  <si>
    <t xml:space="preserve">325/chem (NAICS 3251-3259 excl. 3254)</t>
  </si>
  <si>
    <t xml:space="preserve">Pharmaceuticals, medicinal chemical and botanical products</t>
  </si>
  <si>
    <t xml:space="preserve">325/pharma (NAICS 3254)</t>
  </si>
  <si>
    <t xml:space="preserve">326 Plastics and rubber</t>
  </si>
  <si>
    <t xml:space="preserve">Glass and glass products</t>
  </si>
  <si>
    <t xml:space="preserve">327/glass (NAICS 3272)</t>
  </si>
  <si>
    <t xml:space="preserve">Non-metallic mineral products n.e.c. (cement, lime, etc.)</t>
  </si>
  <si>
    <t xml:space="preserve">327/other (cement, lime, concrete, other nonmetallic)</t>
  </si>
  <si>
    <t xml:space="preserve">Basic iron and steel</t>
  </si>
  <si>
    <t xml:space="preserve">331/iron-steel (NAICS 3311+3312)</t>
  </si>
  <si>
    <t xml:space="preserve">Aluminum, nonferrous metals, foundries</t>
  </si>
  <si>
    <t xml:space="preserve">331/other (NAICS 3313-3315 alum + other nonferrous + foundries)</t>
  </si>
  <si>
    <t xml:space="preserve">Fabricated metal products, except machinery and equipment</t>
  </si>
  <si>
    <t xml:space="preserve">332 Fabricated metals</t>
  </si>
  <si>
    <t xml:space="preserve">334 Computer and electronic products</t>
  </si>
  <si>
    <t xml:space="preserve">335 Electrical equipment</t>
  </si>
  <si>
    <t xml:space="preserve">333 Machinery</t>
  </si>
  <si>
    <t xml:space="preserve">Motor vehicles, trailers and semi-trailers</t>
  </si>
  <si>
    <t xml:space="preserve">3361MV Motor vehicles</t>
  </si>
  <si>
    <t xml:space="preserve">3364OT Other transport equipment</t>
  </si>
  <si>
    <t xml:space="preserve">Furniture; other manufacturing; repair of machinery</t>
  </si>
  <si>
    <t xml:space="preserve">337 Furniture; 339 Misc mfg; NAICS 811400/811200 repair (Section S)</t>
  </si>
  <si>
    <t xml:space="preserve">Electricity, transmission and distribution</t>
  </si>
  <si>
    <t xml:space="preserve">221100 Electric power</t>
  </si>
  <si>
    <t xml:space="preserve">Gas distribution; steam and air conditioning supply</t>
  </si>
  <si>
    <t xml:space="preserve">221200 Gas distribution</t>
  </si>
  <si>
    <t xml:space="preserve">Water supply; sewerage; waste management and remediation</t>
  </si>
  <si>
    <t xml:space="preserve">221300 Water/sewage; 562 Waste mgmt; NAICS 811xxx industrial repair (Section C 33)</t>
  </si>
  <si>
    <t xml:space="preserve">23 Construction</t>
  </si>
  <si>
    <t xml:space="preserve">Wholesale and retail trade; repair of motor vehicles</t>
  </si>
  <si>
    <t xml:space="preserve">42 Wholesale; 441 Motor vehicles retail; 445 Food stores; 452 Genl merch; 4A0 Other retail; NAICS 811100 Auto repair (ISIC 4520 Section G)</t>
  </si>
  <si>
    <t xml:space="preserve">481-493 Transport + warehousing</t>
  </si>
  <si>
    <t xml:space="preserve">Accommodation and food service activities</t>
  </si>
  <si>
    <t xml:space="preserve">721 Accommodation; 722 Food services</t>
  </si>
  <si>
    <t xml:space="preserve">Publishing, audiovisual and broadcasting activities</t>
  </si>
  <si>
    <t xml:space="preserve">511 Publishing; 512 Motion picture; 513-broadcast (NAICS 515)</t>
  </si>
  <si>
    <t xml:space="preserve">513-telecom (NAICS 517)</t>
  </si>
  <si>
    <t xml:space="preserve">514 Data processing; 5415 Computer systems design</t>
  </si>
  <si>
    <t xml:space="preserve">Financial and insurance activities</t>
  </si>
  <si>
    <t xml:space="preserve">521CI + 523 + 524 + 525 Finance and insurance</t>
  </si>
  <si>
    <t xml:space="preserve">HS + ORE Real estate</t>
  </si>
  <si>
    <t xml:space="preserve">Professional, scientific, technical, administrative services</t>
  </si>
  <si>
    <t xml:space="preserve">5411 Legal + 5412OP misc prof + 55 Mgmt + 561 Admin support; 532RL Rental/leasing</t>
  </si>
  <si>
    <t xml:space="preserve">Public administration and defence; compulsory social security</t>
  </si>
  <si>
    <t xml:space="preserve">GFGD + GFGN + GFE + GSLG + GSLE Government (federal + state/local)</t>
  </si>
  <si>
    <t xml:space="preserve">61 Educational services</t>
  </si>
  <si>
    <t xml:space="preserve">Human health and social work activities</t>
  </si>
  <si>
    <t xml:space="preserve">621 + 622 + 623 + 624 Health and social assistance</t>
  </si>
  <si>
    <t xml:space="preserve">Arts, entertainment, recreation, other service activities</t>
  </si>
  <si>
    <t xml:space="preserve">711AS + 713 + 81 Arts/entertainment/recreation + other services (religious, personal, repair etc.) per NAICS 2017 -&gt; ISIC Rev 4 Section S</t>
  </si>
  <si>
    <t xml:space="preserve">97T98</t>
  </si>
  <si>
    <t xml:space="preserve">Households as employers; undifferentiated production (zero in EPS)</t>
  </si>
  <si>
    <t xml:space="preserve">Designed zero row: households as employers (NAICS 814)</t>
  </si>
  <si>
    <t xml:space="preserve">STEP 1 - read BEA code / ISIC code / weight live from the Crosswalk tab, pull each BEA value from the source tab, then weight it</t>
  </si>
  <si>
    <t xml:space="preserve">BEA_value_nominal</t>
  </si>
  <si>
    <t xml:space="preserve">weighted_nominal</t>
  </si>
  <si>
    <t xml:space="preserve">STEP 2 - aggregate weighted values to 42 ISIC (no deflation; passthrough column C = B)</t>
  </si>
  <si>
    <t xml:space="preserve">aggregated_nominal</t>
  </si>
  <si>
    <t xml:space="preserve">value (no deflation)</t>
  </si>
  <si>
    <t xml:space="preserve">STEP 2 - aggregate weighted values to 42 ISIC, then deflate to 2012 USD (Keys!$C$2)</t>
  </si>
  <si>
    <t xml:space="preserve">value_2012USD</t>
  </si>
  <si>
    <t xml:space="preserve">output_USD_2012 (pipeline value; matches BObIC.csv; ESoP denominator)</t>
  </si>
  <si>
    <t xml:space="preserve">dcs_override</t>
  </si>
  <si>
    <t xml:space="preserve">EIA own-use-first balance: min(prod 10.7Mt, cons 14.7Mt)/cons [eia7a_coal_production_2019.csv + seds_coal_consumption_2019.csv]</t>
  </si>
  <si>
    <t xml:space="preserve">EIA energy-weighted balance: crude min(prod 192, runs 35)MMbbl=1.00 (w 28%), gas min(prod 1.99, cons 0.51)Tcf=1.00 (w 72%) [eia_og_balance_2019.csv]</t>
  </si>
  <si>
    <t xml:space="preserve">EIA SEDS balance: 1 - max(net inflow 3475, 0)/consumption 56521 GWh (ELISP+ELNIP vs ESTCP) [seds_electricity_2019.csv]</t>
  </si>
  <si>
    <t xml:space="preserve">Physical-locality assumption (staff decision 2026-07-16): local-infrastructure service; no federal interstate service-trade data exists</t>
  </si>
  <si>
    <t xml:space="preserve">esop_override</t>
  </si>
  <si>
    <t xml:space="preserve">Physical-locality assumption (staff decision 2026-07-16): local-infrastructure service; no exports</t>
  </si>
  <si>
    <t xml:space="preserve">EIA SEDS balance: max(net outflow 0, 0)/(consumption 56521 + net outflow) GWh (ELISP+ELNIP vs ESTCP) [seds_electricity_2019.csv]</t>
  </si>
  <si>
    <t xml:space="preserve">DCS per ISIC = SoI-supplied / total consumption, den floored by Keys epsilon, clamped to [0,1]; final column applies overrides where present</t>
  </si>
  <si>
    <t xml:space="preserve">numerator</t>
  </si>
  <si>
    <t xml:space="preserve">denominator</t>
  </si>
  <si>
    <t xml:space="preserve">ratio (den floored by Keys epsilon)</t>
  </si>
  <si>
    <t xml:space="preserve">clamped_0_to_1</t>
  </si>
  <si>
    <t xml:space="preserve">final (override where present, else computed)</t>
  </si>
  <si>
    <t xml:space="preserve">ESoP per ISIC = (RoUS + intl exports) / output, den floored by Keys epsilon, clamped to [0,1]; final column applies overrides where present</t>
  </si>
  <si>
    <t xml:space="preserve">Unit: dimensionless (%)</t>
  </si>
  <si>
    <t xml:space="preserve">Percent of Consumption that is Domestic Content</t>
  </si>
  <si>
    <t xml:space="preserve">Export Share of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</si>
</sst>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2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theme" Target="theme/theme1.xml"/><Relationship Id="rId26" Type="http://schemas.openxmlformats.org/officeDocument/2006/relationships/styles" Target="styles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4.xml"/><Relationship Id="rId2" Type="http://schemas.openxmlformats.org/officeDocument/2006/relationships/printerSettings" Target="../printerSettings/printerSettings24.bin"/><Relationship Id="rIdvml" Type="http://schemas.openxmlformats.org/officeDocument/2006/relationships/vmlDrawing" Target="../drawings/vmlDrawing2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110.71" hidden="0" customWidth="1"/>
  </cols>
  <sheetData>
    <row r="1">
      <c r="A1" s="1" t="s">
        <v>0</v>
      </c>
    </row>
    <row r="2">
      <c r="A2" t="s">
        <v>1</v>
      </c>
    </row>
    <row r="3">
      <c r="A3" t="s">
        <v>2</v>
      </c>
    </row>
    <row r="4">
      <c r="A4" t="s">
        <v>3</v>
      </c>
    </row>
    <row r="5">
      <c r="A5" t="s">
        <v>1</v>
      </c>
    </row>
    <row r="6">
      <c r="A6" t="s">
        <v>4</v>
      </c>
    </row>
    <row r="7">
      <c r="A7" t="s">
        <v>5</v>
      </c>
    </row>
    <row r="8">
      <c r="A8" t="s">
        <v>4</v>
      </c>
    </row>
    <row r="9">
      <c r="A9" t="s">
        <v>6</v>
      </c>
    </row>
    <row r="10">
      <c r="A10" t="s">
        <v>7</v>
      </c>
    </row>
    <row r="11">
      <c r="A11" t="s">
        <v>8</v>
      </c>
    </row>
    <row r="12">
      <c r="A12" t="s">
        <v>1</v>
      </c>
    </row>
    <row r="13">
      <c r="A13" t="s">
        <v>9</v>
      </c>
    </row>
    <row r="14">
      <c r="A14" t="s">
        <v>10</v>
      </c>
    </row>
    <row r="15">
      <c r="A15" t="s">
        <v>11</v>
      </c>
    </row>
    <row r="16">
      <c r="A16" t="s">
        <v>12</v>
      </c>
    </row>
    <row r="17">
      <c r="A17" t="s">
        <v>1</v>
      </c>
    </row>
    <row r="18">
      <c r="A18" t="s">
        <v>13</v>
      </c>
    </row>
    <row r="19">
      <c r="A19" t="s">
        <v>14</v>
      </c>
    </row>
    <row r="20">
      <c r="A20" t="s">
        <v>15</v>
      </c>
    </row>
    <row r="21">
      <c r="A21" t="s">
        <v>1</v>
      </c>
    </row>
    <row r="22">
      <c r="A22" t="s">
        <v>16</v>
      </c>
    </row>
    <row r="23">
      <c r="A23" t="s">
        <v>17</v>
      </c>
    </row>
    <row r="24">
      <c r="A24" t="s">
        <v>18</v>
      </c>
    </row>
    <row r="25">
      <c r="A25" t="s">
        <v>19</v>
      </c>
    </row>
    <row r="26">
      <c r="A26" t="s">
        <v>20</v>
      </c>
    </row>
    <row r="27">
      <c r="A27" t="s">
        <v>21</v>
      </c>
    </row>
    <row r="28">
      <c r="A28" t="s">
        <v>22</v>
      </c>
    </row>
    <row r="29">
      <c r="A29" t="s">
        <v>23</v>
      </c>
    </row>
    <row r="30">
      <c r="A30" t="s">
        <v>24</v>
      </c>
    </row>
    <row r="31">
      <c r="A31" t="s">
        <v>25</v>
      </c>
    </row>
    <row r="32">
      <c r="A32" t="s">
        <v>1</v>
      </c>
    </row>
    <row r="33">
      <c r="A33" t="s">
        <v>26</v>
      </c>
    </row>
    <row r="34">
      <c r="A34" t="s">
        <v>1</v>
      </c>
    </row>
    <row r="35">
      <c r="A35" t="s">
        <v>4</v>
      </c>
    </row>
    <row r="36">
      <c r="A36" t="s">
        <v>27</v>
      </c>
    </row>
    <row r="37">
      <c r="A37" t="s">
        <v>4</v>
      </c>
    </row>
    <row r="38">
      <c r="A38" t="s">
        <v>28</v>
      </c>
    </row>
    <row r="39">
      <c r="A39" t="s">
        <v>29</v>
      </c>
    </row>
    <row r="40">
      <c r="A40" t="s">
        <v>1</v>
      </c>
    </row>
    <row r="41">
      <c r="A41" t="s">
        <v>30</v>
      </c>
    </row>
    <row r="42">
      <c r="A42" t="s">
        <v>31</v>
      </c>
    </row>
    <row r="43">
      <c r="A43" t="s">
        <v>32</v>
      </c>
    </row>
    <row r="44">
      <c r="A44" t="s">
        <v>33</v>
      </c>
    </row>
    <row r="45">
      <c r="A45" t="s">
        <v>34</v>
      </c>
    </row>
    <row r="46">
      <c r="A46" t="s">
        <v>35</v>
      </c>
    </row>
    <row r="47">
      <c r="A47" t="s">
        <v>36</v>
      </c>
    </row>
    <row r="48">
      <c r="A48" t="s">
        <v>37</v>
      </c>
    </row>
    <row r="49">
      <c r="A49" t="s">
        <v>38</v>
      </c>
    </row>
    <row r="50">
      <c r="A50" t="s">
        <v>39</v>
      </c>
    </row>
    <row r="51">
      <c r="A51" t="s">
        <v>40</v>
      </c>
    </row>
    <row r="52">
      <c r="A52" t="s">
        <v>1</v>
      </c>
    </row>
    <row r="53">
      <c r="A53" t="s">
        <v>41</v>
      </c>
    </row>
    <row r="54">
      <c r="A54" t="s">
        <v>42</v>
      </c>
    </row>
    <row r="55">
      <c r="A55" t="s">
        <v>1</v>
      </c>
    </row>
    <row r="56">
      <c r="A56" t="s">
        <v>4</v>
      </c>
    </row>
    <row r="57">
      <c r="A57" t="s">
        <v>43</v>
      </c>
    </row>
    <row r="58">
      <c r="A58" t="s">
        <v>4</v>
      </c>
    </row>
    <row r="59">
      <c r="A59" t="s">
        <v>44</v>
      </c>
    </row>
    <row r="60">
      <c r="A60" t="s">
        <v>45</v>
      </c>
    </row>
    <row r="61">
      <c r="A61" t="s">
        <v>46</v>
      </c>
    </row>
    <row r="62">
      <c r="A62" t="s">
        <v>1</v>
      </c>
    </row>
    <row r="63">
      <c r="A63" t="s">
        <v>47</v>
      </c>
    </row>
    <row r="64">
      <c r="A64" t="s">
        <v>48</v>
      </c>
    </row>
    <row r="65">
      <c r="A65" t="s">
        <v>49</v>
      </c>
    </row>
    <row r="66">
      <c r="A66" t="s">
        <v>1</v>
      </c>
    </row>
    <row r="67">
      <c r="A67" t="s">
        <v>50</v>
      </c>
    </row>
    <row r="68">
      <c r="A68" t="s">
        <v>51</v>
      </c>
    </row>
    <row r="69">
      <c r="A69" t="s">
        <v>52</v>
      </c>
    </row>
    <row r="70">
      <c r="A70" t="s">
        <v>1</v>
      </c>
    </row>
    <row r="71">
      <c r="A71" t="s">
        <v>53</v>
      </c>
    </row>
    <row r="72">
      <c r="A72" t="s">
        <v>54</v>
      </c>
    </row>
    <row r="73">
      <c r="A73" t="s">
        <v>55</v>
      </c>
    </row>
    <row r="74">
      <c r="A74" t="s">
        <v>1</v>
      </c>
    </row>
    <row r="75">
      <c r="A75" t="s">
        <v>56</v>
      </c>
    </row>
    <row r="76">
      <c r="A76" t="s">
        <v>57</v>
      </c>
    </row>
    <row r="77">
      <c r="A77" t="s">
        <v>58</v>
      </c>
    </row>
    <row r="78">
      <c r="A78" t="s">
        <v>1</v>
      </c>
    </row>
    <row r="79">
      <c r="A79" t="s">
        <v>59</v>
      </c>
    </row>
    <row r="80">
      <c r="A80" t="s">
        <v>60</v>
      </c>
    </row>
    <row r="81">
      <c r="A81" t="s">
        <v>61</v>
      </c>
    </row>
    <row r="82">
      <c r="A82" t="s">
        <v>1</v>
      </c>
    </row>
    <row r="83">
      <c r="A83" t="s">
        <v>62</v>
      </c>
    </row>
    <row r="84">
      <c r="A84" t="s">
        <v>63</v>
      </c>
    </row>
    <row r="85">
      <c r="A85" t="s">
        <v>64</v>
      </c>
    </row>
    <row r="86">
      <c r="A86" t="s">
        <v>1</v>
      </c>
    </row>
    <row r="87">
      <c r="A87" t="s">
        <v>65</v>
      </c>
    </row>
    <row r="88">
      <c r="A88" t="s">
        <v>66</v>
      </c>
    </row>
    <row r="89">
      <c r="A89" t="s">
        <v>67</v>
      </c>
    </row>
    <row r="90">
      <c r="A90" t="s">
        <v>1</v>
      </c>
    </row>
    <row r="91">
      <c r="A91" t="s">
        <v>68</v>
      </c>
    </row>
    <row r="92">
      <c r="A92" t="s">
        <v>69</v>
      </c>
    </row>
    <row r="93">
      <c r="A93" t="s">
        <v>70</v>
      </c>
    </row>
    <row r="94">
      <c r="A94" t="s">
        <v>1</v>
      </c>
    </row>
    <row r="95">
      <c r="A95" t="s">
        <v>71</v>
      </c>
    </row>
    <row r="96">
      <c r="A96" t="s">
        <v>72</v>
      </c>
    </row>
    <row r="97">
      <c r="A97" t="s">
        <v>73</v>
      </c>
    </row>
    <row r="98">
      <c r="A98" t="s">
        <v>1</v>
      </c>
    </row>
    <row r="99">
      <c r="A99" t="s">
        <v>74</v>
      </c>
    </row>
    <row r="100">
      <c r="A100" t="s">
        <v>75</v>
      </c>
    </row>
    <row r="101">
      <c r="A101" t="s">
        <v>76</v>
      </c>
    </row>
    <row r="102">
      <c r="A102" t="s">
        <v>1</v>
      </c>
    </row>
    <row r="103">
      <c r="A103" t="s">
        <v>4</v>
      </c>
    </row>
    <row r="104">
      <c r="A104" t="s">
        <v>77</v>
      </c>
    </row>
    <row r="105">
      <c r="A105" t="s">
        <v>4</v>
      </c>
    </row>
    <row r="106">
      <c r="A106" t="s">
        <v>78</v>
      </c>
    </row>
    <row r="107">
      <c r="A107" t="s">
        <v>79</v>
      </c>
    </row>
    <row r="108">
      <c r="A108" t="s">
        <v>80</v>
      </c>
    </row>
    <row r="109">
      <c r="A109" t="s">
        <v>1</v>
      </c>
    </row>
    <row r="110">
      <c r="A110" t="s">
        <v>81</v>
      </c>
    </row>
    <row r="111">
      <c r="A111" t="s">
        <v>82</v>
      </c>
    </row>
    <row r="112">
      <c r="A112" t="s">
        <v>83</v>
      </c>
    </row>
    <row r="113">
      <c r="A113" t="s">
        <v>84</v>
      </c>
    </row>
    <row r="114">
      <c r="A114" t="s">
        <v>85</v>
      </c>
    </row>
    <row r="115">
      <c r="A115" t="s">
        <v>86</v>
      </c>
    </row>
    <row r="116">
      <c r="A116" t="s">
        <v>1</v>
      </c>
    </row>
    <row r="117">
      <c r="A117" t="s">
        <v>87</v>
      </c>
    </row>
    <row r="118">
      <c r="A118" t="s">
        <v>88</v>
      </c>
    </row>
    <row r="119">
      <c r="A119" t="s">
        <v>89</v>
      </c>
    </row>
    <row r="120">
      <c r="A120" t="s">
        <v>90</v>
      </c>
    </row>
    <row r="121">
      <c r="A121" t="s">
        <v>91</v>
      </c>
    </row>
    <row r="122">
      <c r="A122" t="s">
        <v>92</v>
      </c>
    </row>
    <row r="123">
      <c r="A123" t="s">
        <v>93</v>
      </c>
    </row>
    <row r="124">
      <c r="A124" t="s">
        <v>94</v>
      </c>
    </row>
    <row r="125">
      <c r="A125" t="s">
        <v>95</v>
      </c>
    </row>
    <row r="126">
      <c r="A126" t="s">
        <v>96</v>
      </c>
    </row>
    <row r="127">
      <c r="A127" t="s">
        <v>97</v>
      </c>
    </row>
    <row r="128">
      <c r="A128" t="s">
        <v>98</v>
      </c>
    </row>
    <row r="129">
      <c r="A129" t="s">
        <v>99</v>
      </c>
    </row>
    <row r="130">
      <c r="A130" t="s">
        <v>100</v>
      </c>
    </row>
    <row r="131">
      <c r="A131" t="s">
        <v>101</v>
      </c>
    </row>
    <row r="132">
      <c r="A132" t="s">
        <v>102</v>
      </c>
    </row>
    <row r="133">
      <c r="A133" t="s">
        <v>103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26.71" hidden="0" customWidth="1"/>
    <col min="3" max="3" width="14.71" hidden="0" customWidth="1"/>
    <col min="4" max="4" width="82.71" hidden="0" customWidth="1"/>
  </cols>
  <sheetData>
    <row r="1">
      <c r="A1" t="s">
        <v>104</v>
      </c>
      <c r="B1" t="s">
        <v>105</v>
      </c>
      <c r="C1" t="s">
        <v>106</v>
      </c>
      <c r="D1" t="s">
        <v>107</v>
      </c>
    </row>
    <row r="2">
      <c r="A2" t="s">
        <v>108</v>
      </c>
      <c r="B2" t="s">
        <v>109</v>
      </c>
      <c r="C2" t="n">
        <v>1.12266</v>
      </c>
      <c r="D2" t="s">
        <v>110</v>
      </c>
    </row>
    <row r="3">
      <c r="A3" t="s">
        <v>111</v>
      </c>
      <c r="B3" t="s">
        <v>112</v>
      </c>
      <c r="C3" t="n">
        <v>2019</v>
      </c>
      <c r="D3" t="s">
        <v>113</v>
      </c>
    </row>
    <row r="4">
      <c r="A4" t="s">
        <v>114</v>
      </c>
      <c r="B4" t="s">
        <v>115</v>
      </c>
      <c r="C4" t="n">
        <v>0.000000001</v>
      </c>
      <c r="D4" t="s">
        <v>116</v>
      </c>
    </row>
    <row r="5">
      <c r="A5" t="s">
        <v>114</v>
      </c>
      <c r="B5" t="s">
        <v>117</v>
      </c>
      <c r="C5" t="n">
        <v>1</v>
      </c>
      <c r="D5" t="s">
        <v>118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8.71" hidden="0" customWidth="1"/>
  </cols>
  <sheetData>
    <row r="1">
      <c r="A1" t="s">
        <v>119</v>
      </c>
      <c r="B1" t="s">
        <v>120</v>
      </c>
    </row>
    <row r="2">
      <c r="A2" t="s">
        <v>121</v>
      </c>
      <c r="B2" t="n">
        <v>2701424586.85053</v>
      </c>
    </row>
    <row r="3">
      <c r="A3" t="s">
        <v>122</v>
      </c>
      <c r="B3" t="n">
        <v>470475557.761706</v>
      </c>
    </row>
    <row r="4">
      <c r="A4" t="s">
        <v>123</v>
      </c>
      <c r="B4" t="n">
        <v>698899714.642878</v>
      </c>
    </row>
    <row r="5">
      <c r="A5" t="s">
        <v>124</v>
      </c>
      <c r="B5" t="n">
        <v>926852206.629687</v>
      </c>
    </row>
    <row r="6">
      <c r="A6" t="s">
        <v>125</v>
      </c>
      <c r="B6" t="n">
        <v>1145047320.12426</v>
      </c>
    </row>
    <row r="7">
      <c r="A7" t="s">
        <v>126</v>
      </c>
      <c r="B7" t="n">
        <v>1539486515.42675</v>
      </c>
    </row>
    <row r="8">
      <c r="A8" t="s">
        <v>127</v>
      </c>
      <c r="B8" t="n">
        <v>5469382879.98362</v>
      </c>
    </row>
    <row r="9">
      <c r="A9" t="s">
        <v>128</v>
      </c>
      <c r="B9" t="n">
        <v>969117437.453344</v>
      </c>
    </row>
    <row r="10">
      <c r="A10" t="s">
        <v>129</v>
      </c>
      <c r="B10" t="n">
        <v>1963157361.98546</v>
      </c>
    </row>
    <row r="11">
      <c r="A11" t="s">
        <v>130</v>
      </c>
      <c r="B11" t="n">
        <v>1074817833.18834</v>
      </c>
    </row>
    <row r="12">
      <c r="A12" t="s">
        <v>131</v>
      </c>
      <c r="B12" t="n">
        <v>2431860678.64284</v>
      </c>
    </row>
    <row r="13">
      <c r="A13" t="s">
        <v>132</v>
      </c>
      <c r="B13" t="n">
        <v>1147642946.57159</v>
      </c>
    </row>
    <row r="14">
      <c r="A14" t="s">
        <v>133</v>
      </c>
      <c r="B14" t="n">
        <v>496887258.955663</v>
      </c>
    </row>
    <row r="15">
      <c r="A15" t="s">
        <v>134</v>
      </c>
      <c r="B15" t="n">
        <v>359395296.856612</v>
      </c>
    </row>
    <row r="16">
      <c r="A16" t="s">
        <v>135</v>
      </c>
      <c r="B16" t="n">
        <v>304164928.446365</v>
      </c>
    </row>
    <row r="17">
      <c r="A17" t="s">
        <v>136</v>
      </c>
      <c r="B17" t="n">
        <v>609758659.584761</v>
      </c>
    </row>
    <row r="18">
      <c r="A18" t="s">
        <v>137</v>
      </c>
      <c r="B18" t="n">
        <v>325842801.556665</v>
      </c>
    </row>
    <row r="19">
      <c r="A19" t="s">
        <v>138</v>
      </c>
      <c r="B19" t="n">
        <v>379987514.122779</v>
      </c>
    </row>
    <row r="20">
      <c r="A20" t="s">
        <v>139</v>
      </c>
      <c r="B20" t="n">
        <v>3669486232.01569</v>
      </c>
    </row>
    <row r="21">
      <c r="A21" t="s">
        <v>140</v>
      </c>
      <c r="B21" t="n">
        <v>49738122.6557477</v>
      </c>
    </row>
    <row r="22">
      <c r="A22" t="s">
        <v>141</v>
      </c>
      <c r="B22" t="n">
        <v>10573240.7665866</v>
      </c>
    </row>
    <row r="23">
      <c r="A23" t="s">
        <v>142</v>
      </c>
      <c r="B23" t="n">
        <v>465976788.165823</v>
      </c>
    </row>
    <row r="24">
      <c r="A24" t="s">
        <v>143</v>
      </c>
      <c r="B24" t="n">
        <v>699353220.825524</v>
      </c>
    </row>
    <row r="25">
      <c r="A25" t="s">
        <v>144</v>
      </c>
      <c r="B25" t="n">
        <v>2666841671.83552</v>
      </c>
    </row>
    <row r="26">
      <c r="A26" t="s">
        <v>145</v>
      </c>
      <c r="B26" t="n">
        <v>2205928552.37601</v>
      </c>
    </row>
    <row r="27">
      <c r="A27" t="s">
        <v>146</v>
      </c>
      <c r="B27" t="n">
        <v>1824050300.90683</v>
      </c>
    </row>
    <row r="28">
      <c r="A28" t="s">
        <v>147</v>
      </c>
      <c r="B28" t="n">
        <v>4021654085.8123</v>
      </c>
    </row>
    <row r="29">
      <c r="A29" t="s">
        <v>148</v>
      </c>
      <c r="B29" t="n">
        <v>369515831.530718</v>
      </c>
    </row>
    <row r="30">
      <c r="A30" t="s">
        <v>149</v>
      </c>
      <c r="B30" t="n">
        <v>47869482.4942033</v>
      </c>
    </row>
    <row r="31">
      <c r="A31" t="s">
        <v>150</v>
      </c>
      <c r="B31" t="n">
        <v>2221308.31351024</v>
      </c>
    </row>
    <row r="32">
      <c r="A32" t="s">
        <v>151</v>
      </c>
      <c r="B32" t="n">
        <v>2115668868.94609</v>
      </c>
    </row>
    <row r="33">
      <c r="A33" t="s">
        <v>152</v>
      </c>
      <c r="B33" t="n">
        <v>786936782.597656</v>
      </c>
    </row>
    <row r="34">
      <c r="A34" t="s">
        <v>153</v>
      </c>
      <c r="B34" t="n">
        <v>560796279.769664</v>
      </c>
    </row>
    <row r="35">
      <c r="A35" t="s">
        <v>154</v>
      </c>
      <c r="B35" t="n">
        <v>4142661.24252709</v>
      </c>
    </row>
    <row r="36">
      <c r="A36" t="s">
        <v>155</v>
      </c>
      <c r="B36" t="n">
        <v>2091926798.34368</v>
      </c>
    </row>
    <row r="37">
      <c r="A37" t="s">
        <v>156</v>
      </c>
      <c r="B37" t="n">
        <v>1185590471.47387</v>
      </c>
    </row>
    <row r="38">
      <c r="A38" t="s">
        <v>157</v>
      </c>
      <c r="B38" t="n">
        <v>220753715.465561</v>
      </c>
    </row>
    <row r="39">
      <c r="A39" t="s">
        <v>158</v>
      </c>
      <c r="B39" t="n">
        <v>4663211393.30367</v>
      </c>
    </row>
    <row r="40">
      <c r="A40" t="s">
        <v>159</v>
      </c>
      <c r="B40" t="n">
        <v>1149004756.37802</v>
      </c>
    </row>
    <row r="41">
      <c r="A41" t="s">
        <v>160</v>
      </c>
      <c r="B41" t="n">
        <v>688339742.933413</v>
      </c>
    </row>
    <row r="42">
      <c r="A42" t="s">
        <v>161</v>
      </c>
      <c r="B42" t="n">
        <v>190727694.306917</v>
      </c>
    </row>
    <row r="43">
      <c r="A43" t="s">
        <v>162</v>
      </c>
      <c r="B43" t="n">
        <v>5010454753.58073</v>
      </c>
    </row>
    <row r="44">
      <c r="A44" t="s">
        <v>163</v>
      </c>
      <c r="B44" t="n">
        <v>3630397672.19778</v>
      </c>
    </row>
    <row r="45">
      <c r="A45" t="s">
        <v>164</v>
      </c>
      <c r="B45" t="n">
        <v>2427415963.62303</v>
      </c>
    </row>
    <row r="46">
      <c r="A46" t="s">
        <v>165</v>
      </c>
      <c r="B46" t="n">
        <v>3912750013.18678</v>
      </c>
    </row>
    <row r="47">
      <c r="A47" t="s">
        <v>166</v>
      </c>
      <c r="B47" t="n">
        <v>1681809417.18173</v>
      </c>
    </row>
    <row r="48">
      <c r="A48" t="s">
        <v>167</v>
      </c>
      <c r="B48" t="n">
        <v>156609017.934631</v>
      </c>
    </row>
    <row r="49">
      <c r="A49" t="s">
        <v>168</v>
      </c>
      <c r="B49" t="n">
        <v>0</v>
      </c>
    </row>
    <row r="50">
      <c r="A50" t="s">
        <v>169</v>
      </c>
      <c r="B50" t="n">
        <v>21835191525.2138</v>
      </c>
    </row>
    <row r="51">
      <c r="A51" t="s">
        <v>170</v>
      </c>
      <c r="B51" t="n">
        <v>1914900490.20027</v>
      </c>
    </row>
    <row r="52">
      <c r="A52" t="s">
        <v>171</v>
      </c>
      <c r="B52" t="n">
        <v>2550524002.99069</v>
      </c>
    </row>
    <row r="53">
      <c r="A53" t="s">
        <v>172</v>
      </c>
      <c r="B53" t="n">
        <v>2850697634.13167</v>
      </c>
    </row>
    <row r="54">
      <c r="A54" t="s">
        <v>173</v>
      </c>
      <c r="B54" t="n">
        <v>4635905265.69866</v>
      </c>
    </row>
    <row r="55">
      <c r="A55" t="s">
        <v>174</v>
      </c>
      <c r="B55" t="n">
        <v>9163406814.91469</v>
      </c>
    </row>
    <row r="56">
      <c r="A56" t="s">
        <v>175</v>
      </c>
      <c r="B56" t="n">
        <v>9133191691.77386</v>
      </c>
    </row>
    <row r="57">
      <c r="A57" t="s">
        <v>176</v>
      </c>
      <c r="B57" t="n">
        <v>136974119.608221</v>
      </c>
    </row>
    <row r="58">
      <c r="A58" t="s">
        <v>177</v>
      </c>
      <c r="B58" t="n">
        <v>107031618.574009</v>
      </c>
    </row>
    <row r="59">
      <c r="A59" t="s">
        <v>178</v>
      </c>
      <c r="B59" t="n">
        <v>638073333.307637</v>
      </c>
    </row>
    <row r="60">
      <c r="A60" t="s">
        <v>179</v>
      </c>
      <c r="B60" t="n">
        <v>10745534.2380165</v>
      </c>
    </row>
    <row r="61">
      <c r="A61" t="s">
        <v>180</v>
      </c>
      <c r="B61" t="n">
        <v>61089404.1377559</v>
      </c>
    </row>
    <row r="62">
      <c r="A62" t="s">
        <v>181</v>
      </c>
      <c r="B62" t="n">
        <v>0</v>
      </c>
    </row>
    <row r="63">
      <c r="A63" t="s">
        <v>182</v>
      </c>
      <c r="B63" t="n">
        <v>1517800795.72426</v>
      </c>
    </row>
    <row r="64">
      <c r="A64" t="s">
        <v>183</v>
      </c>
      <c r="B64" t="n">
        <v>48161277.0938123</v>
      </c>
    </row>
    <row r="65">
      <c r="A65" t="s">
        <v>184</v>
      </c>
      <c r="B65" t="n">
        <v>1150682161.39766</v>
      </c>
    </row>
    <row r="66">
      <c r="A66" t="s">
        <v>185</v>
      </c>
      <c r="B66" t="n">
        <v>4119878333.84965</v>
      </c>
    </row>
    <row r="67">
      <c r="A67" t="s">
        <v>186</v>
      </c>
      <c r="B67" t="n">
        <v>4655565387.56625</v>
      </c>
    </row>
    <row r="68">
      <c r="A68" t="s">
        <v>187</v>
      </c>
      <c r="B68" t="n">
        <v>0</v>
      </c>
    </row>
    <row r="69">
      <c r="A69" t="s">
        <v>188</v>
      </c>
      <c r="B69" t="n">
        <v>0</v>
      </c>
    </row>
    <row r="70">
      <c r="A70" t="s">
        <v>189</v>
      </c>
      <c r="B70" t="n">
        <v>231106433.006723</v>
      </c>
    </row>
    <row r="71">
      <c r="A71" t="s">
        <v>190</v>
      </c>
      <c r="B71" t="n">
        <v>0</v>
      </c>
    </row>
    <row r="72">
      <c r="A72" t="s">
        <v>191</v>
      </c>
      <c r="B72" t="n">
        <v>617599951.325394</v>
      </c>
    </row>
    <row r="73">
      <c r="A73" t="s">
        <v>192</v>
      </c>
      <c r="B73" t="n">
        <v>949033154.296664</v>
      </c>
    </row>
    <row r="74">
      <c r="A74" t="s">
        <v>193</v>
      </c>
      <c r="B74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8.71" hidden="0" customWidth="1"/>
  </cols>
  <sheetData>
    <row r="1">
      <c r="A1" t="s">
        <v>119</v>
      </c>
      <c r="B1" t="s">
        <v>194</v>
      </c>
    </row>
    <row r="2">
      <c r="A2" t="s">
        <v>121</v>
      </c>
      <c r="B2" t="n">
        <v>5034407289.77351</v>
      </c>
    </row>
    <row r="3">
      <c r="A3" t="s">
        <v>122</v>
      </c>
      <c r="B3" t="n">
        <v>955506686.413311</v>
      </c>
    </row>
    <row r="4">
      <c r="A4" t="s">
        <v>123</v>
      </c>
      <c r="B4" t="n">
        <v>2963733840.78961</v>
      </c>
    </row>
    <row r="5">
      <c r="A5" t="s">
        <v>124</v>
      </c>
      <c r="B5" t="n">
        <v>1238725609.37167</v>
      </c>
    </row>
    <row r="6">
      <c r="A6" t="s">
        <v>125</v>
      </c>
      <c r="B6" t="n">
        <v>1411607054.75035</v>
      </c>
    </row>
    <row r="7">
      <c r="A7" t="s">
        <v>126</v>
      </c>
      <c r="B7" t="n">
        <v>6470700736.63441</v>
      </c>
    </row>
    <row r="8">
      <c r="A8" t="s">
        <v>127</v>
      </c>
      <c r="B8" t="n">
        <v>5469382879.98362</v>
      </c>
    </row>
    <row r="9">
      <c r="A9" t="s">
        <v>128</v>
      </c>
      <c r="B9" t="n">
        <v>2005728405.75561</v>
      </c>
    </row>
    <row r="10">
      <c r="A10" t="s">
        <v>129</v>
      </c>
      <c r="B10" t="n">
        <v>2961955584.94235</v>
      </c>
    </row>
    <row r="11">
      <c r="A11" t="s">
        <v>130</v>
      </c>
      <c r="B11" t="n">
        <v>2869788197.67382</v>
      </c>
    </row>
    <row r="12">
      <c r="A12" t="s">
        <v>131</v>
      </c>
      <c r="B12" t="n">
        <v>6155964530.08165</v>
      </c>
    </row>
    <row r="13">
      <c r="A13" t="s">
        <v>132</v>
      </c>
      <c r="B13" t="n">
        <v>3247636111.61987</v>
      </c>
    </row>
    <row r="14">
      <c r="A14" t="s">
        <v>133</v>
      </c>
      <c r="B14" t="n">
        <v>3577049627.67695</v>
      </c>
    </row>
    <row r="15">
      <c r="A15" t="s">
        <v>134</v>
      </c>
      <c r="B15" t="n">
        <v>2096982267.37991</v>
      </c>
    </row>
    <row r="16">
      <c r="A16" t="s">
        <v>135</v>
      </c>
      <c r="B16" t="n">
        <v>2350097265.69091</v>
      </c>
    </row>
    <row r="17">
      <c r="A17" t="s">
        <v>136</v>
      </c>
      <c r="B17" t="n">
        <v>1941923520.97725</v>
      </c>
    </row>
    <row r="18">
      <c r="A18" t="s">
        <v>137</v>
      </c>
      <c r="B18" t="n">
        <v>681073015.513622</v>
      </c>
    </row>
    <row r="19">
      <c r="A19" t="s">
        <v>138</v>
      </c>
      <c r="B19" t="n">
        <v>1169887898.2643</v>
      </c>
    </row>
    <row r="20">
      <c r="A20" t="s">
        <v>139</v>
      </c>
      <c r="B20" t="n">
        <v>6885083394.75873</v>
      </c>
    </row>
    <row r="21">
      <c r="A21" t="s">
        <v>140</v>
      </c>
      <c r="B21" t="n">
        <v>629258346.110299</v>
      </c>
    </row>
    <row r="22">
      <c r="A22" t="s">
        <v>141</v>
      </c>
      <c r="B22" t="n">
        <v>225019660.305718</v>
      </c>
    </row>
    <row r="23">
      <c r="A23" t="s">
        <v>142</v>
      </c>
      <c r="B23" t="n">
        <v>2046726073.40495</v>
      </c>
    </row>
    <row r="24">
      <c r="A24" t="s">
        <v>143</v>
      </c>
      <c r="B24" t="n">
        <v>1142794928.91598</v>
      </c>
    </row>
    <row r="25">
      <c r="A25" t="s">
        <v>144</v>
      </c>
      <c r="B25" t="n">
        <v>6912187189.57111</v>
      </c>
    </row>
    <row r="26">
      <c r="A26" t="s">
        <v>145</v>
      </c>
      <c r="B26" t="n">
        <v>6563825848.09519</v>
      </c>
    </row>
    <row r="27">
      <c r="A27" t="s">
        <v>146</v>
      </c>
      <c r="B27" t="n">
        <v>3716865457.47995</v>
      </c>
    </row>
    <row r="28">
      <c r="A28" t="s">
        <v>147</v>
      </c>
      <c r="B28" t="n">
        <v>15518209621.9491</v>
      </c>
    </row>
    <row r="29">
      <c r="A29" t="s">
        <v>148</v>
      </c>
      <c r="B29" t="n">
        <v>369515831.530718</v>
      </c>
    </row>
    <row r="30">
      <c r="A30" t="s">
        <v>149</v>
      </c>
      <c r="B30" t="n">
        <v>47869482.4942033</v>
      </c>
    </row>
    <row r="31">
      <c r="A31" t="s">
        <v>150</v>
      </c>
      <c r="B31" t="n">
        <v>102485284.313001</v>
      </c>
    </row>
    <row r="32">
      <c r="A32" t="s">
        <v>151</v>
      </c>
      <c r="B32" t="n">
        <v>2781074979.53593</v>
      </c>
    </row>
    <row r="33">
      <c r="A33" t="s">
        <v>152</v>
      </c>
      <c r="B33" t="n">
        <v>1934963794.19363</v>
      </c>
    </row>
    <row r="34">
      <c r="A34" t="s">
        <v>153</v>
      </c>
      <c r="B34" t="n">
        <v>789587584.275206</v>
      </c>
    </row>
    <row r="35">
      <c r="A35" t="s">
        <v>154</v>
      </c>
      <c r="B35" t="n">
        <v>220352086.211729</v>
      </c>
    </row>
    <row r="36">
      <c r="A36" t="s">
        <v>155</v>
      </c>
      <c r="B36" t="n">
        <v>3434178882.04194</v>
      </c>
    </row>
    <row r="37">
      <c r="A37" t="s">
        <v>156</v>
      </c>
      <c r="B37" t="n">
        <v>1185590471.47387</v>
      </c>
    </row>
    <row r="38">
      <c r="A38" t="s">
        <v>157</v>
      </c>
      <c r="B38" t="n">
        <v>795350424.782509</v>
      </c>
    </row>
    <row r="39">
      <c r="A39" t="s">
        <v>158</v>
      </c>
      <c r="B39" t="n">
        <v>4663784617.98424</v>
      </c>
    </row>
    <row r="40">
      <c r="A40" t="s">
        <v>159</v>
      </c>
      <c r="B40" t="n">
        <v>2241510512.4688</v>
      </c>
    </row>
    <row r="41">
      <c r="A41" t="s">
        <v>160</v>
      </c>
      <c r="B41" t="n">
        <v>1606329781.21593</v>
      </c>
    </row>
    <row r="42">
      <c r="A42" t="s">
        <v>161</v>
      </c>
      <c r="B42" t="n">
        <v>1382494786.58397</v>
      </c>
    </row>
    <row r="43">
      <c r="A43" t="s">
        <v>162</v>
      </c>
      <c r="B43" t="n">
        <v>6659886802.74511</v>
      </c>
    </row>
    <row r="44">
      <c r="A44" t="s">
        <v>163</v>
      </c>
      <c r="B44" t="n">
        <v>4524000648.51217</v>
      </c>
    </row>
    <row r="45">
      <c r="A45" t="s">
        <v>164</v>
      </c>
      <c r="B45" t="n">
        <v>12599923823.8465</v>
      </c>
    </row>
    <row r="46">
      <c r="A46" t="s">
        <v>165</v>
      </c>
      <c r="B46" t="n">
        <v>4879159141.31558</v>
      </c>
    </row>
    <row r="47">
      <c r="A47" t="s">
        <v>166</v>
      </c>
      <c r="B47" t="n">
        <v>10658845044.744</v>
      </c>
    </row>
    <row r="48">
      <c r="A48" t="s">
        <v>167</v>
      </c>
      <c r="B48" t="n">
        <v>195378401.962129</v>
      </c>
    </row>
    <row r="49">
      <c r="A49" t="s">
        <v>168</v>
      </c>
      <c r="B49" t="n">
        <v>0</v>
      </c>
    </row>
    <row r="50">
      <c r="A50" t="s">
        <v>169</v>
      </c>
      <c r="B50" t="n">
        <v>21835191525.2138</v>
      </c>
    </row>
    <row r="51">
      <c r="A51" t="s">
        <v>170</v>
      </c>
      <c r="B51" t="n">
        <v>6021631323.59344</v>
      </c>
    </row>
    <row r="52">
      <c r="A52" t="s">
        <v>171</v>
      </c>
      <c r="B52" t="n">
        <v>3897251347.51506</v>
      </c>
    </row>
    <row r="53">
      <c r="A53" t="s">
        <v>172</v>
      </c>
      <c r="B53" t="n">
        <v>4448773807.94535</v>
      </c>
    </row>
    <row r="54">
      <c r="A54" t="s">
        <v>173</v>
      </c>
      <c r="B54" t="n">
        <v>24616994798.6137</v>
      </c>
    </row>
    <row r="55">
      <c r="A55" t="s">
        <v>174</v>
      </c>
      <c r="B55" t="n">
        <v>11375387902.4449</v>
      </c>
    </row>
    <row r="56">
      <c r="A56" t="s">
        <v>175</v>
      </c>
      <c r="B56" t="n">
        <v>16523616011.4615</v>
      </c>
    </row>
    <row r="57">
      <c r="A57" t="s">
        <v>176</v>
      </c>
      <c r="B57" t="n">
        <v>1850780890.09591</v>
      </c>
    </row>
    <row r="58">
      <c r="A58" t="s">
        <v>177</v>
      </c>
      <c r="B58" t="n">
        <v>397369297.380138</v>
      </c>
    </row>
    <row r="59">
      <c r="A59" t="s">
        <v>178</v>
      </c>
      <c r="B59" t="n">
        <v>638168560.247055</v>
      </c>
    </row>
    <row r="60">
      <c r="A60" t="s">
        <v>179</v>
      </c>
      <c r="B60" t="n">
        <v>10745534.2380165</v>
      </c>
    </row>
    <row r="61">
      <c r="A61" t="s">
        <v>180</v>
      </c>
      <c r="B61" t="n">
        <v>61109272.8341714</v>
      </c>
    </row>
    <row r="62">
      <c r="A62" t="s">
        <v>181</v>
      </c>
      <c r="B62" t="n">
        <v>0</v>
      </c>
    </row>
    <row r="63">
      <c r="A63" t="s">
        <v>182</v>
      </c>
      <c r="B63" t="n">
        <v>1899571966.49204</v>
      </c>
    </row>
    <row r="64">
      <c r="A64" t="s">
        <v>183</v>
      </c>
      <c r="B64" t="n">
        <v>141846053.687052</v>
      </c>
    </row>
    <row r="65">
      <c r="A65" t="s">
        <v>184</v>
      </c>
      <c r="B65" t="n">
        <v>1431427392.65157</v>
      </c>
    </row>
    <row r="66">
      <c r="A66" t="s">
        <v>185</v>
      </c>
      <c r="B66" t="n">
        <v>4119878333.84965</v>
      </c>
    </row>
    <row r="67">
      <c r="A67" t="s">
        <v>186</v>
      </c>
      <c r="B67" t="n">
        <v>4873520129.01198</v>
      </c>
    </row>
    <row r="68">
      <c r="A68" t="s">
        <v>187</v>
      </c>
      <c r="B68" t="n">
        <v>0</v>
      </c>
    </row>
    <row r="69">
      <c r="A69" t="s">
        <v>188</v>
      </c>
      <c r="B69" t="n">
        <v>0</v>
      </c>
    </row>
    <row r="70">
      <c r="A70" t="s">
        <v>189</v>
      </c>
      <c r="B70" t="n">
        <v>1057635729.25744</v>
      </c>
    </row>
    <row r="71">
      <c r="A71" t="s">
        <v>190</v>
      </c>
      <c r="B71" t="n">
        <v>0</v>
      </c>
    </row>
    <row r="72">
      <c r="A72" t="s">
        <v>191</v>
      </c>
      <c r="B72" t="n">
        <v>617599951.325394</v>
      </c>
    </row>
    <row r="73">
      <c r="A73" t="s">
        <v>192</v>
      </c>
      <c r="B73" t="n">
        <v>999838939.9991</v>
      </c>
    </row>
    <row r="74">
      <c r="A74" t="s">
        <v>193</v>
      </c>
      <c r="B74" t="n">
        <v>2587989675.48088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8.71" hidden="0" customWidth="1"/>
  </cols>
  <sheetData>
    <row r="1">
      <c r="A1" t="s">
        <v>119</v>
      </c>
      <c r="B1" t="s">
        <v>195</v>
      </c>
    </row>
    <row r="2">
      <c r="A2" t="s">
        <v>121</v>
      </c>
      <c r="B2" t="n">
        <v>3440678751.20626</v>
      </c>
    </row>
    <row r="3">
      <c r="A3" t="s">
        <v>122</v>
      </c>
      <c r="B3" t="n">
        <v>106924850.35951</v>
      </c>
    </row>
    <row r="4">
      <c r="A4" t="s">
        <v>123</v>
      </c>
      <c r="B4" t="n">
        <v>10205487971.3463</v>
      </c>
    </row>
    <row r="5">
      <c r="A5" t="s">
        <v>124</v>
      </c>
      <c r="B5" t="n">
        <v>710872525.925855</v>
      </c>
    </row>
    <row r="6">
      <c r="A6" t="s">
        <v>125</v>
      </c>
      <c r="B6" t="n">
        <v>412501353.809117</v>
      </c>
    </row>
    <row r="7">
      <c r="A7" t="s">
        <v>126</v>
      </c>
      <c r="B7" t="n">
        <v>5851244586.68346</v>
      </c>
    </row>
    <row r="8">
      <c r="A8" t="s">
        <v>127</v>
      </c>
      <c r="B8" t="n">
        <v>0</v>
      </c>
    </row>
    <row r="9">
      <c r="A9" t="s">
        <v>128</v>
      </c>
      <c r="B9" t="n">
        <v>2670054.7202005</v>
      </c>
    </row>
    <row r="10">
      <c r="A10" t="s">
        <v>129</v>
      </c>
      <c r="B10" t="n">
        <v>844931838.238016</v>
      </c>
    </row>
    <row r="11">
      <c r="A11" t="s">
        <v>130</v>
      </c>
      <c r="B11" t="n">
        <v>548142856.749269</v>
      </c>
    </row>
    <row r="12">
      <c r="A12" t="s">
        <v>131</v>
      </c>
      <c r="B12" t="n">
        <v>1190533560.7341</v>
      </c>
    </row>
    <row r="13">
      <c r="A13" t="s">
        <v>132</v>
      </c>
      <c r="B13" t="n">
        <v>652473252.164564</v>
      </c>
    </row>
    <row r="14">
      <c r="A14" t="s">
        <v>133</v>
      </c>
      <c r="B14" t="n">
        <v>3882236513.77227</v>
      </c>
    </row>
    <row r="15">
      <c r="A15" t="s">
        <v>134</v>
      </c>
      <c r="B15" t="n">
        <v>5248166.80816829</v>
      </c>
    </row>
    <row r="16">
      <c r="A16" t="s">
        <v>135</v>
      </c>
      <c r="B16" t="n">
        <v>5602725.11029235</v>
      </c>
    </row>
    <row r="17">
      <c r="A17" t="s">
        <v>136</v>
      </c>
      <c r="B17" t="n">
        <v>2511420357.94735</v>
      </c>
    </row>
    <row r="18">
      <c r="A18" t="s">
        <v>137</v>
      </c>
      <c r="B18" t="n">
        <v>372522329.219522</v>
      </c>
    </row>
    <row r="19">
      <c r="A19" t="s">
        <v>138</v>
      </c>
      <c r="B19" t="n">
        <v>1813967351.0945</v>
      </c>
    </row>
    <row r="20">
      <c r="A20" t="s">
        <v>139</v>
      </c>
      <c r="B20" t="n">
        <v>3277235990.79852</v>
      </c>
    </row>
    <row r="21">
      <c r="A21" t="s">
        <v>140</v>
      </c>
      <c r="B21" t="n">
        <v>107998429.485345</v>
      </c>
    </row>
    <row r="22">
      <c r="A22" t="s">
        <v>141</v>
      </c>
      <c r="B22" t="n">
        <v>31536156.0909285</v>
      </c>
    </row>
    <row r="23">
      <c r="A23" t="s">
        <v>142</v>
      </c>
      <c r="B23" t="n">
        <v>681942.454144461</v>
      </c>
    </row>
    <row r="24">
      <c r="A24" t="s">
        <v>143</v>
      </c>
      <c r="B24" t="n">
        <v>1601950.25720915</v>
      </c>
    </row>
    <row r="25">
      <c r="A25" t="s">
        <v>144</v>
      </c>
      <c r="B25" t="n">
        <v>18851995.8118954</v>
      </c>
    </row>
    <row r="26">
      <c r="A26" t="s">
        <v>145</v>
      </c>
      <c r="B26" t="n">
        <v>11698398.4725474</v>
      </c>
    </row>
    <row r="27">
      <c r="A27" t="s">
        <v>146</v>
      </c>
      <c r="B27" t="n">
        <v>212882244.971044</v>
      </c>
    </row>
    <row r="28">
      <c r="A28" t="s">
        <v>147</v>
      </c>
      <c r="B28" t="n">
        <v>24368354077.4468</v>
      </c>
    </row>
    <row r="29">
      <c r="A29" t="s">
        <v>148</v>
      </c>
      <c r="B29" t="n">
        <v>0</v>
      </c>
    </row>
    <row r="30">
      <c r="A30" t="s">
        <v>149</v>
      </c>
      <c r="B30" t="n">
        <v>0</v>
      </c>
    </row>
    <row r="31">
      <c r="A31" t="s">
        <v>150</v>
      </c>
      <c r="B31" t="n">
        <v>5053024923.88753</v>
      </c>
    </row>
    <row r="32">
      <c r="A32" t="s">
        <v>151</v>
      </c>
      <c r="B32" t="n">
        <v>116153151.422878</v>
      </c>
    </row>
    <row r="33">
      <c r="A33" t="s">
        <v>152</v>
      </c>
      <c r="B33" t="n">
        <v>5401295141.49392</v>
      </c>
    </row>
    <row r="34">
      <c r="A34" t="s">
        <v>153</v>
      </c>
      <c r="B34" t="n">
        <v>405592359.931034</v>
      </c>
    </row>
    <row r="35">
      <c r="A35" t="s">
        <v>154</v>
      </c>
      <c r="B35" t="n">
        <v>0.00000547990202903748</v>
      </c>
    </row>
    <row r="36">
      <c r="A36" t="s">
        <v>155</v>
      </c>
      <c r="B36" t="n">
        <v>1234622179.6839</v>
      </c>
    </row>
    <row r="37">
      <c r="A37" t="s">
        <v>156</v>
      </c>
      <c r="B37" t="n">
        <v>0</v>
      </c>
    </row>
    <row r="38">
      <c r="A38" t="s">
        <v>157</v>
      </c>
      <c r="B38" t="n">
        <v>1753487856.55832</v>
      </c>
    </row>
    <row r="39">
      <c r="A39" t="s">
        <v>158</v>
      </c>
      <c r="B39" t="n">
        <v>0</v>
      </c>
    </row>
    <row r="40">
      <c r="A40" t="s">
        <v>159</v>
      </c>
      <c r="B40" t="n">
        <v>432700208.159664</v>
      </c>
    </row>
    <row r="41">
      <c r="A41" t="s">
        <v>160</v>
      </c>
      <c r="B41" t="n">
        <v>3549989099.65926</v>
      </c>
    </row>
    <row r="42">
      <c r="A42" t="s">
        <v>161</v>
      </c>
      <c r="B42" t="n">
        <v>665807491.38704</v>
      </c>
    </row>
    <row r="43">
      <c r="A43" t="s">
        <v>162</v>
      </c>
      <c r="B43" t="n">
        <v>5114898412.20314</v>
      </c>
    </row>
    <row r="44">
      <c r="A44" t="s">
        <v>163</v>
      </c>
      <c r="B44" t="n">
        <v>2095072857.34892</v>
      </c>
    </row>
    <row r="45">
      <c r="A45" t="s">
        <v>164</v>
      </c>
      <c r="B45" t="n">
        <v>10375505391.8197</v>
      </c>
    </row>
    <row r="46">
      <c r="A46" t="s">
        <v>165</v>
      </c>
      <c r="B46" t="n">
        <v>1029388700.23587</v>
      </c>
    </row>
    <row r="47">
      <c r="A47" t="s">
        <v>166</v>
      </c>
      <c r="B47" t="n">
        <v>10827745920.3208</v>
      </c>
    </row>
    <row r="48">
      <c r="A48" t="s">
        <v>167</v>
      </c>
      <c r="B48" t="n">
        <v>247361030.10083</v>
      </c>
    </row>
    <row r="49">
      <c r="A49" t="s">
        <v>168</v>
      </c>
      <c r="B49" t="n">
        <v>0</v>
      </c>
    </row>
    <row r="50">
      <c r="A50" t="s">
        <v>169</v>
      </c>
      <c r="B50" t="n">
        <v>0</v>
      </c>
    </row>
    <row r="51">
      <c r="A51" t="s">
        <v>170</v>
      </c>
      <c r="B51" t="n">
        <v>3734797985.87518</v>
      </c>
    </row>
    <row r="52">
      <c r="A52" t="s">
        <v>171</v>
      </c>
      <c r="B52" t="n">
        <v>968037819.489784</v>
      </c>
    </row>
    <row r="53">
      <c r="A53" t="s">
        <v>172</v>
      </c>
      <c r="B53" t="n">
        <v>82151540.3003792</v>
      </c>
    </row>
    <row r="54">
      <c r="A54" t="s">
        <v>173</v>
      </c>
      <c r="B54" t="n">
        <v>37582686739.8439</v>
      </c>
    </row>
    <row r="55">
      <c r="A55" t="s">
        <v>174</v>
      </c>
      <c r="B55" t="n">
        <v>3237508167.99883</v>
      </c>
    </row>
    <row r="56">
      <c r="A56" t="s">
        <v>175</v>
      </c>
      <c r="B56" t="n">
        <v>9093805953.81311</v>
      </c>
    </row>
    <row r="57">
      <c r="A57" t="s">
        <v>176</v>
      </c>
      <c r="B57" t="n">
        <v>2458036614.10069</v>
      </c>
    </row>
    <row r="58">
      <c r="A58" t="s">
        <v>177</v>
      </c>
      <c r="B58" t="n">
        <v>4076941059.68956</v>
      </c>
    </row>
    <row r="59">
      <c r="A59" t="s">
        <v>178</v>
      </c>
      <c r="B59" t="n">
        <v>0</v>
      </c>
    </row>
    <row r="60">
      <c r="A60" t="s">
        <v>179</v>
      </c>
      <c r="B60" t="n">
        <v>0</v>
      </c>
    </row>
    <row r="61">
      <c r="A61" t="s">
        <v>180</v>
      </c>
      <c r="B61" t="n">
        <v>0</v>
      </c>
    </row>
    <row r="62">
      <c r="A62" t="s">
        <v>181</v>
      </c>
      <c r="B62" t="n">
        <v>0</v>
      </c>
    </row>
    <row r="63">
      <c r="A63" t="s">
        <v>182</v>
      </c>
      <c r="B63" t="n">
        <v>354362166.957407</v>
      </c>
    </row>
    <row r="64">
      <c r="A64" t="s">
        <v>183</v>
      </c>
      <c r="B64" t="n">
        <v>4614571634.97014</v>
      </c>
    </row>
    <row r="65">
      <c r="A65" t="s">
        <v>184</v>
      </c>
      <c r="B65" t="n">
        <v>972906162.822511</v>
      </c>
    </row>
    <row r="66">
      <c r="A66" t="s">
        <v>185</v>
      </c>
      <c r="B66" t="n">
        <v>0</v>
      </c>
    </row>
    <row r="67">
      <c r="A67" t="s">
        <v>186</v>
      </c>
      <c r="B67" t="n">
        <v>2490589190.47017</v>
      </c>
    </row>
    <row r="68">
      <c r="A68" t="s">
        <v>187</v>
      </c>
      <c r="B68" t="n">
        <v>0</v>
      </c>
    </row>
    <row r="69">
      <c r="A69" t="s">
        <v>188</v>
      </c>
      <c r="B69" t="n">
        <v>0</v>
      </c>
    </row>
    <row r="70">
      <c r="A70" t="s">
        <v>189</v>
      </c>
      <c r="B70" t="n">
        <v>1038795054.35401</v>
      </c>
    </row>
    <row r="71">
      <c r="A71" t="s">
        <v>190</v>
      </c>
      <c r="B71" t="n">
        <v>0</v>
      </c>
    </row>
    <row r="72">
      <c r="A72" t="s">
        <v>191</v>
      </c>
      <c r="B72" t="n">
        <v>0</v>
      </c>
    </row>
    <row r="73">
      <c r="A73" t="s">
        <v>192</v>
      </c>
      <c r="B73" t="n">
        <v>0</v>
      </c>
    </row>
    <row r="74">
      <c r="A74" t="s">
        <v>193</v>
      </c>
      <c r="B74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8.71" hidden="0" customWidth="1"/>
  </cols>
  <sheetData>
    <row r="1">
      <c r="A1" t="s">
        <v>119</v>
      </c>
      <c r="B1" t="s">
        <v>196</v>
      </c>
    </row>
    <row r="2">
      <c r="A2" t="s">
        <v>121</v>
      </c>
      <c r="B2" t="n">
        <v>63860504.8233403</v>
      </c>
    </row>
    <row r="3">
      <c r="A3" t="s">
        <v>122</v>
      </c>
      <c r="B3" t="n">
        <v>10159286.6057901</v>
      </c>
    </row>
    <row r="4">
      <c r="A4" t="s">
        <v>123</v>
      </c>
      <c r="B4" t="n">
        <v>4437054588.55729</v>
      </c>
    </row>
    <row r="5">
      <c r="A5" t="s">
        <v>124</v>
      </c>
      <c r="B5" t="n">
        <v>167606770.834007</v>
      </c>
    </row>
    <row r="6">
      <c r="A6" t="s">
        <v>125</v>
      </c>
      <c r="B6" t="n">
        <v>4818077.74717133</v>
      </c>
    </row>
    <row r="7">
      <c r="A7" t="s">
        <v>126</v>
      </c>
      <c r="B7" t="n">
        <v>57754195.0172221</v>
      </c>
    </row>
    <row r="8">
      <c r="A8" t="s">
        <v>127</v>
      </c>
      <c r="B8" t="n">
        <v>2672922.09236247</v>
      </c>
    </row>
    <row r="9">
      <c r="A9" t="s">
        <v>128</v>
      </c>
      <c r="B9" t="n">
        <v>7247619.50954329</v>
      </c>
    </row>
    <row r="10">
      <c r="A10" t="s">
        <v>129</v>
      </c>
      <c r="B10" t="n">
        <v>73117586.6190628</v>
      </c>
    </row>
    <row r="11">
      <c r="A11" t="s">
        <v>130</v>
      </c>
      <c r="B11" t="n">
        <v>88342332.7756231</v>
      </c>
    </row>
    <row r="12">
      <c r="A12" t="s">
        <v>131</v>
      </c>
      <c r="B12" t="n">
        <v>321341991.674014</v>
      </c>
    </row>
    <row r="13">
      <c r="A13" t="s">
        <v>132</v>
      </c>
      <c r="B13" t="n">
        <v>746517636.990769</v>
      </c>
    </row>
    <row r="14">
      <c r="A14" t="s">
        <v>133</v>
      </c>
      <c r="B14" t="n">
        <v>863542578.58081</v>
      </c>
    </row>
    <row r="15">
      <c r="A15" t="s">
        <v>134</v>
      </c>
      <c r="B15" t="n">
        <v>135883310.706295</v>
      </c>
    </row>
    <row r="16">
      <c r="A16" t="s">
        <v>135</v>
      </c>
      <c r="B16" t="n">
        <v>89141789.1778754</v>
      </c>
    </row>
    <row r="17">
      <c r="A17" t="s">
        <v>136</v>
      </c>
      <c r="B17" t="n">
        <v>366705988.54664</v>
      </c>
    </row>
    <row r="18">
      <c r="A18" t="s">
        <v>137</v>
      </c>
      <c r="B18" t="n">
        <v>30643545.9990751</v>
      </c>
    </row>
    <row r="19">
      <c r="A19" t="s">
        <v>138</v>
      </c>
      <c r="B19" t="n">
        <v>269947514.650056</v>
      </c>
    </row>
    <row r="20">
      <c r="A20" t="s">
        <v>139</v>
      </c>
      <c r="B20" t="n">
        <v>1409828240.8619</v>
      </c>
    </row>
    <row r="21">
      <c r="A21" t="s">
        <v>140</v>
      </c>
      <c r="B21" t="n">
        <v>40977307.3297107</v>
      </c>
    </row>
    <row r="22">
      <c r="A22" t="s">
        <v>141</v>
      </c>
      <c r="B22" t="n">
        <v>33801749.1494777</v>
      </c>
    </row>
    <row r="23">
      <c r="A23" t="s">
        <v>142</v>
      </c>
      <c r="B23" t="n">
        <v>16712163.977126</v>
      </c>
    </row>
    <row r="24">
      <c r="A24" t="s">
        <v>143</v>
      </c>
      <c r="B24" t="n">
        <v>22137460.2337485</v>
      </c>
    </row>
    <row r="25">
      <c r="A25" t="s">
        <v>144</v>
      </c>
      <c r="B25" t="n">
        <v>13188999.8787639</v>
      </c>
    </row>
    <row r="26">
      <c r="A26" t="s">
        <v>145</v>
      </c>
      <c r="B26" t="n">
        <v>556883562.44226</v>
      </c>
    </row>
    <row r="27">
      <c r="A27" t="s">
        <v>146</v>
      </c>
      <c r="B27" t="n">
        <v>162089872.032507</v>
      </c>
    </row>
    <row r="28">
      <c r="A28" t="s">
        <v>147</v>
      </c>
      <c r="B28" t="n">
        <v>3583810797.27056</v>
      </c>
    </row>
    <row r="29">
      <c r="A29" t="s">
        <v>148</v>
      </c>
      <c r="B29" t="n">
        <v>0</v>
      </c>
    </row>
    <row r="30">
      <c r="A30" t="s">
        <v>149</v>
      </c>
      <c r="B30" t="n">
        <v>0</v>
      </c>
    </row>
    <row r="31">
      <c r="A31" t="s">
        <v>150</v>
      </c>
      <c r="B31" t="n">
        <v>0</v>
      </c>
    </row>
    <row r="32">
      <c r="A32" t="s">
        <v>151</v>
      </c>
      <c r="B32" t="n">
        <v>0</v>
      </c>
    </row>
    <row r="33">
      <c r="A33" t="s">
        <v>152</v>
      </c>
      <c r="B33" t="n">
        <v>1622023049.2629</v>
      </c>
    </row>
    <row r="34">
      <c r="A34" t="s">
        <v>153</v>
      </c>
      <c r="B34" t="n">
        <v>204915837.634252</v>
      </c>
    </row>
    <row r="35">
      <c r="A35" t="s">
        <v>154</v>
      </c>
      <c r="B35" t="n">
        <v>2353696.11367298</v>
      </c>
    </row>
    <row r="36">
      <c r="A36" t="s">
        <v>155</v>
      </c>
      <c r="B36" t="n">
        <v>470890127.106277</v>
      </c>
    </row>
    <row r="37">
      <c r="A37" t="s">
        <v>156</v>
      </c>
      <c r="B37" t="n">
        <v>0</v>
      </c>
    </row>
    <row r="38">
      <c r="A38" t="s">
        <v>157</v>
      </c>
      <c r="B38" t="n">
        <v>341064702.770376</v>
      </c>
    </row>
    <row r="39">
      <c r="A39" t="s">
        <v>158</v>
      </c>
      <c r="B39" t="n">
        <v>149046492.887325</v>
      </c>
    </row>
    <row r="40">
      <c r="A40" t="s">
        <v>159</v>
      </c>
      <c r="B40" t="n">
        <v>1918752.29993184</v>
      </c>
    </row>
    <row r="41">
      <c r="A41" t="s">
        <v>160</v>
      </c>
      <c r="B41" t="n">
        <v>872030290.086685</v>
      </c>
    </row>
    <row r="42">
      <c r="A42" t="s">
        <v>161</v>
      </c>
      <c r="B42" t="n">
        <v>133330822.328156</v>
      </c>
    </row>
    <row r="43">
      <c r="A43" t="s">
        <v>162</v>
      </c>
      <c r="B43" t="n">
        <v>220732375.91072</v>
      </c>
    </row>
    <row r="44">
      <c r="A44" t="s">
        <v>163</v>
      </c>
      <c r="B44" t="n">
        <v>141894189.86103</v>
      </c>
    </row>
    <row r="45">
      <c r="A45" t="s">
        <v>164</v>
      </c>
      <c r="B45" t="n">
        <v>988475188.105266</v>
      </c>
    </row>
    <row r="46">
      <c r="A46" t="s">
        <v>165</v>
      </c>
      <c r="B46" t="n">
        <v>1102011676.37414</v>
      </c>
    </row>
    <row r="47">
      <c r="A47" t="s">
        <v>166</v>
      </c>
      <c r="B47" t="n">
        <v>235813240.017301</v>
      </c>
    </row>
    <row r="48">
      <c r="A48" t="s">
        <v>167</v>
      </c>
      <c r="B48" t="n">
        <v>0</v>
      </c>
    </row>
    <row r="49">
      <c r="A49" t="s">
        <v>168</v>
      </c>
      <c r="B49" t="n">
        <v>0</v>
      </c>
    </row>
    <row r="50">
      <c r="A50" t="s">
        <v>169</v>
      </c>
      <c r="B50" t="n">
        <v>41223672.981185</v>
      </c>
    </row>
    <row r="51">
      <c r="A51" t="s">
        <v>170</v>
      </c>
      <c r="B51" t="n">
        <v>1289090893.23753</v>
      </c>
    </row>
    <row r="52">
      <c r="A52" t="s">
        <v>171</v>
      </c>
      <c r="B52" t="n">
        <v>225803235.377806</v>
      </c>
    </row>
    <row r="53">
      <c r="A53" t="s">
        <v>172</v>
      </c>
      <c r="B53" t="n">
        <v>1095430782.34566</v>
      </c>
    </row>
    <row r="54">
      <c r="A54" t="s">
        <v>173</v>
      </c>
      <c r="B54" t="n">
        <v>3642338664.20115</v>
      </c>
    </row>
    <row r="55">
      <c r="A55" t="s">
        <v>174</v>
      </c>
      <c r="B55" t="n">
        <v>90501856.5912688</v>
      </c>
    </row>
    <row r="56">
      <c r="A56" t="s">
        <v>175</v>
      </c>
      <c r="B56" t="n">
        <v>57536638.5168181</v>
      </c>
    </row>
    <row r="57">
      <c r="A57" t="s">
        <v>176</v>
      </c>
      <c r="B57" t="n">
        <v>4358217.40275668</v>
      </c>
    </row>
    <row r="58">
      <c r="A58" t="s">
        <v>177</v>
      </c>
      <c r="B58" t="n">
        <v>35926277.4719306</v>
      </c>
    </row>
    <row r="59">
      <c r="A59" t="s">
        <v>178</v>
      </c>
      <c r="B59" t="n">
        <v>18321591.7555646</v>
      </c>
    </row>
    <row r="60">
      <c r="A60" t="s">
        <v>179</v>
      </c>
      <c r="B60" t="n">
        <v>58059750.5709142</v>
      </c>
    </row>
    <row r="61">
      <c r="A61" t="s">
        <v>180</v>
      </c>
      <c r="B61" t="n">
        <v>3693703.20193526</v>
      </c>
    </row>
    <row r="62">
      <c r="A62" t="s">
        <v>181</v>
      </c>
      <c r="B62" t="n">
        <v>0</v>
      </c>
    </row>
    <row r="63">
      <c r="A63" t="s">
        <v>182</v>
      </c>
      <c r="B63" t="n">
        <v>28087837.0339407</v>
      </c>
    </row>
    <row r="64">
      <c r="A64" t="s">
        <v>183</v>
      </c>
      <c r="B64" t="n">
        <v>554417.777841951</v>
      </c>
    </row>
    <row r="65">
      <c r="A65" t="s">
        <v>184</v>
      </c>
      <c r="B65" t="n">
        <v>0</v>
      </c>
    </row>
    <row r="66">
      <c r="A66" t="s">
        <v>185</v>
      </c>
      <c r="B66" t="n">
        <v>58448734.7535117</v>
      </c>
    </row>
    <row r="67">
      <c r="A67" t="s">
        <v>186</v>
      </c>
      <c r="B67" t="n">
        <v>1542676.93434714</v>
      </c>
    </row>
    <row r="68">
      <c r="A68" t="s">
        <v>187</v>
      </c>
      <c r="B68" t="n">
        <v>0</v>
      </c>
    </row>
    <row r="69">
      <c r="A69" t="s">
        <v>188</v>
      </c>
      <c r="B69" t="n">
        <v>0</v>
      </c>
    </row>
    <row r="70">
      <c r="A70" t="s">
        <v>189</v>
      </c>
      <c r="B70" t="n">
        <v>15440574.6146868</v>
      </c>
    </row>
    <row r="71">
      <c r="A71" t="s">
        <v>190</v>
      </c>
      <c r="B71" t="n">
        <v>0</v>
      </c>
    </row>
    <row r="72">
      <c r="A72" t="s">
        <v>191</v>
      </c>
      <c r="B72" t="n">
        <v>0</v>
      </c>
    </row>
    <row r="73">
      <c r="A73" t="s">
        <v>192</v>
      </c>
      <c r="B73" t="n">
        <v>318960419.69305</v>
      </c>
    </row>
    <row r="74">
      <c r="A74" t="s">
        <v>193</v>
      </c>
      <c r="B74" t="n">
        <v>4117607187.16325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30.71" hidden="0" customWidth="1"/>
  </cols>
  <sheetData>
    <row r="1">
      <c r="A1" t="s">
        <v>119</v>
      </c>
      <c r="B1" t="s">
        <v>197</v>
      </c>
    </row>
    <row r="2">
      <c r="A2" t="str">
        <f>'3_ESoP_RoUS_exports_by_BEA'!A2</f>
      </c>
      <c r="B2" t="str">
        <f>'3_ESoP_RoUS_exports_by_BEA'!B2+'4_ESoP_intl_exports_by_BEA'!B2</f>
      </c>
    </row>
    <row r="3">
      <c r="A3" t="str">
        <f>'3_ESoP_RoUS_exports_by_BEA'!A3</f>
      </c>
      <c r="B3" t="str">
        <f>'3_ESoP_RoUS_exports_by_BEA'!B3+'4_ESoP_intl_exports_by_BEA'!B3</f>
      </c>
    </row>
    <row r="4">
      <c r="A4" t="str">
        <f>'3_ESoP_RoUS_exports_by_BEA'!A4</f>
      </c>
      <c r="B4" t="str">
        <f>'3_ESoP_RoUS_exports_by_BEA'!B4+'4_ESoP_intl_exports_by_BEA'!B4</f>
      </c>
    </row>
    <row r="5">
      <c r="A5" t="str">
        <f>'3_ESoP_RoUS_exports_by_BEA'!A5</f>
      </c>
      <c r="B5" t="str">
        <f>'3_ESoP_RoUS_exports_by_BEA'!B5+'4_ESoP_intl_exports_by_BEA'!B5</f>
      </c>
    </row>
    <row r="6">
      <c r="A6" t="str">
        <f>'3_ESoP_RoUS_exports_by_BEA'!A6</f>
      </c>
      <c r="B6" t="str">
        <f>'3_ESoP_RoUS_exports_by_BEA'!B6+'4_ESoP_intl_exports_by_BEA'!B6</f>
      </c>
    </row>
    <row r="7">
      <c r="A7" t="str">
        <f>'3_ESoP_RoUS_exports_by_BEA'!A7</f>
      </c>
      <c r="B7" t="str">
        <f>'3_ESoP_RoUS_exports_by_BEA'!B7+'4_ESoP_intl_exports_by_BEA'!B7</f>
      </c>
    </row>
    <row r="8">
      <c r="A8" t="str">
        <f>'3_ESoP_RoUS_exports_by_BEA'!A8</f>
      </c>
      <c r="B8" t="str">
        <f>'3_ESoP_RoUS_exports_by_BEA'!B8+'4_ESoP_intl_exports_by_BEA'!B8</f>
      </c>
    </row>
    <row r="9">
      <c r="A9" t="str">
        <f>'3_ESoP_RoUS_exports_by_BEA'!A9</f>
      </c>
      <c r="B9" t="str">
        <f>'3_ESoP_RoUS_exports_by_BEA'!B9+'4_ESoP_intl_exports_by_BEA'!B9</f>
      </c>
    </row>
    <row r="10">
      <c r="A10" t="str">
        <f>'3_ESoP_RoUS_exports_by_BEA'!A10</f>
      </c>
      <c r="B10" t="str">
        <f>'3_ESoP_RoUS_exports_by_BEA'!B10+'4_ESoP_intl_exports_by_BEA'!B10</f>
      </c>
    </row>
    <row r="11">
      <c r="A11" t="str">
        <f>'3_ESoP_RoUS_exports_by_BEA'!A11</f>
      </c>
      <c r="B11" t="str">
        <f>'3_ESoP_RoUS_exports_by_BEA'!B11+'4_ESoP_intl_exports_by_BEA'!B11</f>
      </c>
    </row>
    <row r="12">
      <c r="A12" t="str">
        <f>'3_ESoP_RoUS_exports_by_BEA'!A12</f>
      </c>
      <c r="B12" t="str">
        <f>'3_ESoP_RoUS_exports_by_BEA'!B12+'4_ESoP_intl_exports_by_BEA'!B12</f>
      </c>
    </row>
    <row r="13">
      <c r="A13" t="str">
        <f>'3_ESoP_RoUS_exports_by_BEA'!A13</f>
      </c>
      <c r="B13" t="str">
        <f>'3_ESoP_RoUS_exports_by_BEA'!B13+'4_ESoP_intl_exports_by_BEA'!B13</f>
      </c>
    </row>
    <row r="14">
      <c r="A14" t="str">
        <f>'3_ESoP_RoUS_exports_by_BEA'!A14</f>
      </c>
      <c r="B14" t="str">
        <f>'3_ESoP_RoUS_exports_by_BEA'!B14+'4_ESoP_intl_exports_by_BEA'!B14</f>
      </c>
    </row>
    <row r="15">
      <c r="A15" t="str">
        <f>'3_ESoP_RoUS_exports_by_BEA'!A15</f>
      </c>
      <c r="B15" t="str">
        <f>'3_ESoP_RoUS_exports_by_BEA'!B15+'4_ESoP_intl_exports_by_BEA'!B15</f>
      </c>
    </row>
    <row r="16">
      <c r="A16" t="str">
        <f>'3_ESoP_RoUS_exports_by_BEA'!A16</f>
      </c>
      <c r="B16" t="str">
        <f>'3_ESoP_RoUS_exports_by_BEA'!B16+'4_ESoP_intl_exports_by_BEA'!B16</f>
      </c>
    </row>
    <row r="17">
      <c r="A17" t="str">
        <f>'3_ESoP_RoUS_exports_by_BEA'!A17</f>
      </c>
      <c r="B17" t="str">
        <f>'3_ESoP_RoUS_exports_by_BEA'!B17+'4_ESoP_intl_exports_by_BEA'!B17</f>
      </c>
    </row>
    <row r="18">
      <c r="A18" t="str">
        <f>'3_ESoP_RoUS_exports_by_BEA'!A18</f>
      </c>
      <c r="B18" t="str">
        <f>'3_ESoP_RoUS_exports_by_BEA'!B18+'4_ESoP_intl_exports_by_BEA'!B18</f>
      </c>
    </row>
    <row r="19">
      <c r="A19" t="str">
        <f>'3_ESoP_RoUS_exports_by_BEA'!A19</f>
      </c>
      <c r="B19" t="str">
        <f>'3_ESoP_RoUS_exports_by_BEA'!B19+'4_ESoP_intl_exports_by_BEA'!B19</f>
      </c>
    </row>
    <row r="20">
      <c r="A20" t="str">
        <f>'3_ESoP_RoUS_exports_by_BEA'!A20</f>
      </c>
      <c r="B20" t="str">
        <f>'3_ESoP_RoUS_exports_by_BEA'!B20+'4_ESoP_intl_exports_by_BEA'!B20</f>
      </c>
    </row>
    <row r="21">
      <c r="A21" t="str">
        <f>'3_ESoP_RoUS_exports_by_BEA'!A21</f>
      </c>
      <c r="B21" t="str">
        <f>'3_ESoP_RoUS_exports_by_BEA'!B21+'4_ESoP_intl_exports_by_BEA'!B21</f>
      </c>
    </row>
    <row r="22">
      <c r="A22" t="str">
        <f>'3_ESoP_RoUS_exports_by_BEA'!A22</f>
      </c>
      <c r="B22" t="str">
        <f>'3_ESoP_RoUS_exports_by_BEA'!B22+'4_ESoP_intl_exports_by_BEA'!B22</f>
      </c>
    </row>
    <row r="23">
      <c r="A23" t="str">
        <f>'3_ESoP_RoUS_exports_by_BEA'!A23</f>
      </c>
      <c r="B23" t="str">
        <f>'3_ESoP_RoUS_exports_by_BEA'!B23+'4_ESoP_intl_exports_by_BEA'!B23</f>
      </c>
    </row>
    <row r="24">
      <c r="A24" t="str">
        <f>'3_ESoP_RoUS_exports_by_BEA'!A24</f>
      </c>
      <c r="B24" t="str">
        <f>'3_ESoP_RoUS_exports_by_BEA'!B24+'4_ESoP_intl_exports_by_BEA'!B24</f>
      </c>
    </row>
    <row r="25">
      <c r="A25" t="str">
        <f>'3_ESoP_RoUS_exports_by_BEA'!A25</f>
      </c>
      <c r="B25" t="str">
        <f>'3_ESoP_RoUS_exports_by_BEA'!B25+'4_ESoP_intl_exports_by_BEA'!B25</f>
      </c>
    </row>
    <row r="26">
      <c r="A26" t="str">
        <f>'3_ESoP_RoUS_exports_by_BEA'!A26</f>
      </c>
      <c r="B26" t="str">
        <f>'3_ESoP_RoUS_exports_by_BEA'!B26+'4_ESoP_intl_exports_by_BEA'!B26</f>
      </c>
    </row>
    <row r="27">
      <c r="A27" t="str">
        <f>'3_ESoP_RoUS_exports_by_BEA'!A27</f>
      </c>
      <c r="B27" t="str">
        <f>'3_ESoP_RoUS_exports_by_BEA'!B27+'4_ESoP_intl_exports_by_BEA'!B27</f>
      </c>
    </row>
    <row r="28">
      <c r="A28" t="str">
        <f>'3_ESoP_RoUS_exports_by_BEA'!A28</f>
      </c>
      <c r="B28" t="str">
        <f>'3_ESoP_RoUS_exports_by_BEA'!B28+'4_ESoP_intl_exports_by_BEA'!B28</f>
      </c>
    </row>
    <row r="29">
      <c r="A29" t="str">
        <f>'3_ESoP_RoUS_exports_by_BEA'!A29</f>
      </c>
      <c r="B29" t="str">
        <f>'3_ESoP_RoUS_exports_by_BEA'!B29+'4_ESoP_intl_exports_by_BEA'!B29</f>
      </c>
    </row>
    <row r="30">
      <c r="A30" t="str">
        <f>'3_ESoP_RoUS_exports_by_BEA'!A30</f>
      </c>
      <c r="B30" t="str">
        <f>'3_ESoP_RoUS_exports_by_BEA'!B30+'4_ESoP_intl_exports_by_BEA'!B30</f>
      </c>
    </row>
    <row r="31">
      <c r="A31" t="str">
        <f>'3_ESoP_RoUS_exports_by_BEA'!A31</f>
      </c>
      <c r="B31" t="str">
        <f>'3_ESoP_RoUS_exports_by_BEA'!B31+'4_ESoP_intl_exports_by_BEA'!B31</f>
      </c>
    </row>
    <row r="32">
      <c r="A32" t="str">
        <f>'3_ESoP_RoUS_exports_by_BEA'!A32</f>
      </c>
      <c r="B32" t="str">
        <f>'3_ESoP_RoUS_exports_by_BEA'!B32+'4_ESoP_intl_exports_by_BEA'!B32</f>
      </c>
    </row>
    <row r="33">
      <c r="A33" t="str">
        <f>'3_ESoP_RoUS_exports_by_BEA'!A33</f>
      </c>
      <c r="B33" t="str">
        <f>'3_ESoP_RoUS_exports_by_BEA'!B33+'4_ESoP_intl_exports_by_BEA'!B33</f>
      </c>
    </row>
    <row r="34">
      <c r="A34" t="str">
        <f>'3_ESoP_RoUS_exports_by_BEA'!A34</f>
      </c>
      <c r="B34" t="str">
        <f>'3_ESoP_RoUS_exports_by_BEA'!B34+'4_ESoP_intl_exports_by_BEA'!B34</f>
      </c>
    </row>
    <row r="35">
      <c r="A35" t="str">
        <f>'3_ESoP_RoUS_exports_by_BEA'!A35</f>
      </c>
      <c r="B35" t="str">
        <f>'3_ESoP_RoUS_exports_by_BEA'!B35+'4_ESoP_intl_exports_by_BEA'!B35</f>
      </c>
    </row>
    <row r="36">
      <c r="A36" t="str">
        <f>'3_ESoP_RoUS_exports_by_BEA'!A36</f>
      </c>
      <c r="B36" t="str">
        <f>'3_ESoP_RoUS_exports_by_BEA'!B36+'4_ESoP_intl_exports_by_BEA'!B36</f>
      </c>
    </row>
    <row r="37">
      <c r="A37" t="str">
        <f>'3_ESoP_RoUS_exports_by_BEA'!A37</f>
      </c>
      <c r="B37" t="str">
        <f>'3_ESoP_RoUS_exports_by_BEA'!B37+'4_ESoP_intl_exports_by_BEA'!B37</f>
      </c>
    </row>
    <row r="38">
      <c r="A38" t="str">
        <f>'3_ESoP_RoUS_exports_by_BEA'!A38</f>
      </c>
      <c r="B38" t="str">
        <f>'3_ESoP_RoUS_exports_by_BEA'!B38+'4_ESoP_intl_exports_by_BEA'!B38</f>
      </c>
    </row>
    <row r="39">
      <c r="A39" t="str">
        <f>'3_ESoP_RoUS_exports_by_BEA'!A39</f>
      </c>
      <c r="B39" t="str">
        <f>'3_ESoP_RoUS_exports_by_BEA'!B39+'4_ESoP_intl_exports_by_BEA'!B39</f>
      </c>
    </row>
    <row r="40">
      <c r="A40" t="str">
        <f>'3_ESoP_RoUS_exports_by_BEA'!A40</f>
      </c>
      <c r="B40" t="str">
        <f>'3_ESoP_RoUS_exports_by_BEA'!B40+'4_ESoP_intl_exports_by_BEA'!B40</f>
      </c>
    </row>
    <row r="41">
      <c r="A41" t="str">
        <f>'3_ESoP_RoUS_exports_by_BEA'!A41</f>
      </c>
      <c r="B41" t="str">
        <f>'3_ESoP_RoUS_exports_by_BEA'!B41+'4_ESoP_intl_exports_by_BEA'!B41</f>
      </c>
    </row>
    <row r="42">
      <c r="A42" t="str">
        <f>'3_ESoP_RoUS_exports_by_BEA'!A42</f>
      </c>
      <c r="B42" t="str">
        <f>'3_ESoP_RoUS_exports_by_BEA'!B42+'4_ESoP_intl_exports_by_BEA'!B42</f>
      </c>
    </row>
    <row r="43">
      <c r="A43" t="str">
        <f>'3_ESoP_RoUS_exports_by_BEA'!A43</f>
      </c>
      <c r="B43" t="str">
        <f>'3_ESoP_RoUS_exports_by_BEA'!B43+'4_ESoP_intl_exports_by_BEA'!B43</f>
      </c>
    </row>
    <row r="44">
      <c r="A44" t="str">
        <f>'3_ESoP_RoUS_exports_by_BEA'!A44</f>
      </c>
      <c r="B44" t="str">
        <f>'3_ESoP_RoUS_exports_by_BEA'!B44+'4_ESoP_intl_exports_by_BEA'!B44</f>
      </c>
    </row>
    <row r="45">
      <c r="A45" t="str">
        <f>'3_ESoP_RoUS_exports_by_BEA'!A45</f>
      </c>
      <c r="B45" t="str">
        <f>'3_ESoP_RoUS_exports_by_BEA'!B45+'4_ESoP_intl_exports_by_BEA'!B45</f>
      </c>
    </row>
    <row r="46">
      <c r="A46" t="str">
        <f>'3_ESoP_RoUS_exports_by_BEA'!A46</f>
      </c>
      <c r="B46" t="str">
        <f>'3_ESoP_RoUS_exports_by_BEA'!B46+'4_ESoP_intl_exports_by_BEA'!B46</f>
      </c>
    </row>
    <row r="47">
      <c r="A47" t="str">
        <f>'3_ESoP_RoUS_exports_by_BEA'!A47</f>
      </c>
      <c r="B47" t="str">
        <f>'3_ESoP_RoUS_exports_by_BEA'!B47+'4_ESoP_intl_exports_by_BEA'!B47</f>
      </c>
    </row>
    <row r="48">
      <c r="A48" t="str">
        <f>'3_ESoP_RoUS_exports_by_BEA'!A48</f>
      </c>
      <c r="B48" t="str">
        <f>'3_ESoP_RoUS_exports_by_BEA'!B48+'4_ESoP_intl_exports_by_BEA'!B48</f>
      </c>
    </row>
    <row r="49">
      <c r="A49" t="str">
        <f>'3_ESoP_RoUS_exports_by_BEA'!A49</f>
      </c>
      <c r="B49" t="str">
        <f>'3_ESoP_RoUS_exports_by_BEA'!B49+'4_ESoP_intl_exports_by_BEA'!B49</f>
      </c>
    </row>
    <row r="50">
      <c r="A50" t="str">
        <f>'3_ESoP_RoUS_exports_by_BEA'!A50</f>
      </c>
      <c r="B50" t="str">
        <f>'3_ESoP_RoUS_exports_by_BEA'!B50+'4_ESoP_intl_exports_by_BEA'!B50</f>
      </c>
    </row>
    <row r="51">
      <c r="A51" t="str">
        <f>'3_ESoP_RoUS_exports_by_BEA'!A51</f>
      </c>
      <c r="B51" t="str">
        <f>'3_ESoP_RoUS_exports_by_BEA'!B51+'4_ESoP_intl_exports_by_BEA'!B51</f>
      </c>
    </row>
    <row r="52">
      <c r="A52" t="str">
        <f>'3_ESoP_RoUS_exports_by_BEA'!A52</f>
      </c>
      <c r="B52" t="str">
        <f>'3_ESoP_RoUS_exports_by_BEA'!B52+'4_ESoP_intl_exports_by_BEA'!B52</f>
      </c>
    </row>
    <row r="53">
      <c r="A53" t="str">
        <f>'3_ESoP_RoUS_exports_by_BEA'!A53</f>
      </c>
      <c r="B53" t="str">
        <f>'3_ESoP_RoUS_exports_by_BEA'!B53+'4_ESoP_intl_exports_by_BEA'!B53</f>
      </c>
    </row>
    <row r="54">
      <c r="A54" t="str">
        <f>'3_ESoP_RoUS_exports_by_BEA'!A54</f>
      </c>
      <c r="B54" t="str">
        <f>'3_ESoP_RoUS_exports_by_BEA'!B54+'4_ESoP_intl_exports_by_BEA'!B54</f>
      </c>
    </row>
    <row r="55">
      <c r="A55" t="str">
        <f>'3_ESoP_RoUS_exports_by_BEA'!A55</f>
      </c>
      <c r="B55" t="str">
        <f>'3_ESoP_RoUS_exports_by_BEA'!B55+'4_ESoP_intl_exports_by_BEA'!B55</f>
      </c>
    </row>
    <row r="56">
      <c r="A56" t="str">
        <f>'3_ESoP_RoUS_exports_by_BEA'!A56</f>
      </c>
      <c r="B56" t="str">
        <f>'3_ESoP_RoUS_exports_by_BEA'!B56+'4_ESoP_intl_exports_by_BEA'!B56</f>
      </c>
    </row>
    <row r="57">
      <c r="A57" t="str">
        <f>'3_ESoP_RoUS_exports_by_BEA'!A57</f>
      </c>
      <c r="B57" t="str">
        <f>'3_ESoP_RoUS_exports_by_BEA'!B57+'4_ESoP_intl_exports_by_BEA'!B57</f>
      </c>
    </row>
    <row r="58">
      <c r="A58" t="str">
        <f>'3_ESoP_RoUS_exports_by_BEA'!A58</f>
      </c>
      <c r="B58" t="str">
        <f>'3_ESoP_RoUS_exports_by_BEA'!B58+'4_ESoP_intl_exports_by_BEA'!B58</f>
      </c>
    </row>
    <row r="59">
      <c r="A59" t="str">
        <f>'3_ESoP_RoUS_exports_by_BEA'!A59</f>
      </c>
      <c r="B59" t="str">
        <f>'3_ESoP_RoUS_exports_by_BEA'!B59+'4_ESoP_intl_exports_by_BEA'!B59</f>
      </c>
    </row>
    <row r="60">
      <c r="A60" t="str">
        <f>'3_ESoP_RoUS_exports_by_BEA'!A60</f>
      </c>
      <c r="B60" t="str">
        <f>'3_ESoP_RoUS_exports_by_BEA'!B60+'4_ESoP_intl_exports_by_BEA'!B60</f>
      </c>
    </row>
    <row r="61">
      <c r="A61" t="str">
        <f>'3_ESoP_RoUS_exports_by_BEA'!A61</f>
      </c>
      <c r="B61" t="str">
        <f>'3_ESoP_RoUS_exports_by_BEA'!B61+'4_ESoP_intl_exports_by_BEA'!B61</f>
      </c>
    </row>
    <row r="62">
      <c r="A62" t="str">
        <f>'3_ESoP_RoUS_exports_by_BEA'!A62</f>
      </c>
      <c r="B62" t="str">
        <f>'3_ESoP_RoUS_exports_by_BEA'!B62+'4_ESoP_intl_exports_by_BEA'!B62</f>
      </c>
    </row>
    <row r="63">
      <c r="A63" t="str">
        <f>'3_ESoP_RoUS_exports_by_BEA'!A63</f>
      </c>
      <c r="B63" t="str">
        <f>'3_ESoP_RoUS_exports_by_BEA'!B63+'4_ESoP_intl_exports_by_BEA'!B63</f>
      </c>
    </row>
    <row r="64">
      <c r="A64" t="str">
        <f>'3_ESoP_RoUS_exports_by_BEA'!A64</f>
      </c>
      <c r="B64" t="str">
        <f>'3_ESoP_RoUS_exports_by_BEA'!B64+'4_ESoP_intl_exports_by_BEA'!B64</f>
      </c>
    </row>
    <row r="65">
      <c r="A65" t="str">
        <f>'3_ESoP_RoUS_exports_by_BEA'!A65</f>
      </c>
      <c r="B65" t="str">
        <f>'3_ESoP_RoUS_exports_by_BEA'!B65+'4_ESoP_intl_exports_by_BEA'!B65</f>
      </c>
    </row>
    <row r="66">
      <c r="A66" t="str">
        <f>'3_ESoP_RoUS_exports_by_BEA'!A66</f>
      </c>
      <c r="B66" t="str">
        <f>'3_ESoP_RoUS_exports_by_BEA'!B66+'4_ESoP_intl_exports_by_BEA'!B66</f>
      </c>
    </row>
    <row r="67">
      <c r="A67" t="str">
        <f>'3_ESoP_RoUS_exports_by_BEA'!A67</f>
      </c>
      <c r="B67" t="str">
        <f>'3_ESoP_RoUS_exports_by_BEA'!B67+'4_ESoP_intl_exports_by_BEA'!B67</f>
      </c>
    </row>
    <row r="68">
      <c r="A68" t="str">
        <f>'3_ESoP_RoUS_exports_by_BEA'!A68</f>
      </c>
      <c r="B68" t="str">
        <f>'3_ESoP_RoUS_exports_by_BEA'!B68+'4_ESoP_intl_exports_by_BEA'!B68</f>
      </c>
    </row>
    <row r="69">
      <c r="A69" t="str">
        <f>'3_ESoP_RoUS_exports_by_BEA'!A69</f>
      </c>
      <c r="B69" t="str">
        <f>'3_ESoP_RoUS_exports_by_BEA'!B69+'4_ESoP_intl_exports_by_BEA'!B69</f>
      </c>
    </row>
    <row r="70">
      <c r="A70" t="str">
        <f>'3_ESoP_RoUS_exports_by_BEA'!A70</f>
      </c>
      <c r="B70" t="str">
        <f>'3_ESoP_RoUS_exports_by_BEA'!B70+'4_ESoP_intl_exports_by_BEA'!B70</f>
      </c>
    </row>
    <row r="71">
      <c r="A71" t="str">
        <f>'3_ESoP_RoUS_exports_by_BEA'!A71</f>
      </c>
      <c r="B71" t="str">
        <f>'3_ESoP_RoUS_exports_by_BEA'!B71+'4_ESoP_intl_exports_by_BEA'!B71</f>
      </c>
    </row>
    <row r="72">
      <c r="A72" t="str">
        <f>'3_ESoP_RoUS_exports_by_BEA'!A72</f>
      </c>
      <c r="B72" t="str">
        <f>'3_ESoP_RoUS_exports_by_BEA'!B72+'4_ESoP_intl_exports_by_BEA'!B72</f>
      </c>
    </row>
    <row r="73">
      <c r="A73" t="str">
        <f>'3_ESoP_RoUS_exports_by_BEA'!A73</f>
      </c>
      <c r="B73" t="str">
        <f>'3_ESoP_RoUS_exports_by_BEA'!B73+'4_ESoP_intl_exports_by_BEA'!B73</f>
      </c>
    </row>
    <row r="74">
      <c r="A74" t="str">
        <f>'3_ESoP_RoUS_exports_by_BEA'!A74</f>
      </c>
      <c r="B74" t="str">
        <f>'3_ESoP_RoUS_exports_by_BEA'!B74+'4_ESoP_intl_exports_by_BEA'!B74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9" xSplit="1" topLeftCell="B10" activePane="bottomRight" state="frozen"/>
      <selection pane="bottomRight"/>
    </sheetView>
  </sheetViews>
  <sheetFormatPr defaultRowHeight="15.0" baseColWidth="10"/>
  <cols>
    <col min="1" max="1" width="14.71" hidden="0" customWidth="1"/>
  </cols>
  <sheetData>
    <row r="1">
      <c r="A1" t="s">
        <v>198</v>
      </c>
    </row>
    <row r="2">
      <c r="A2" t="s">
        <v>199</v>
      </c>
    </row>
    <row r="3">
      <c r="A3" t="s">
        <v>200</v>
      </c>
    </row>
    <row r="4">
      <c r="A4" t="s">
        <v>201</v>
      </c>
    </row>
    <row r="5">
      <c r="A5" t="s">
        <v>202</v>
      </c>
    </row>
    <row r="6">
      <c r="A6" t="s">
        <v>203</v>
      </c>
    </row>
    <row r="7">
      <c r="A7" t="s">
        <v>1</v>
      </c>
    </row>
    <row r="9">
      <c r="A9" t="s">
        <v>204</v>
      </c>
      <c r="B9" t="s">
        <v>121</v>
      </c>
      <c r="C9" t="s">
        <v>122</v>
      </c>
      <c r="D9" t="s">
        <v>123</v>
      </c>
      <c r="E9" t="s">
        <v>124</v>
      </c>
      <c r="F9" t="s">
        <v>125</v>
      </c>
      <c r="G9" t="s">
        <v>126</v>
      </c>
      <c r="H9" t="s">
        <v>127</v>
      </c>
      <c r="I9" t="s">
        <v>128</v>
      </c>
      <c r="J9" t="s">
        <v>129</v>
      </c>
      <c r="K9" t="s">
        <v>130</v>
      </c>
      <c r="L9" t="s">
        <v>131</v>
      </c>
      <c r="M9" t="s">
        <v>132</v>
      </c>
      <c r="N9" t="s">
        <v>133</v>
      </c>
      <c r="O9" t="s">
        <v>134</v>
      </c>
      <c r="P9" t="s">
        <v>135</v>
      </c>
      <c r="Q9" t="s">
        <v>136</v>
      </c>
      <c r="R9" t="s">
        <v>137</v>
      </c>
      <c r="S9" t="s">
        <v>138</v>
      </c>
      <c r="T9" t="s">
        <v>139</v>
      </c>
      <c r="U9" t="s">
        <v>140</v>
      </c>
      <c r="V9" t="s">
        <v>141</v>
      </c>
      <c r="W9" t="s">
        <v>142</v>
      </c>
      <c r="X9" t="s">
        <v>143</v>
      </c>
      <c r="Y9" t="s">
        <v>144</v>
      </c>
      <c r="Z9" t="s">
        <v>145</v>
      </c>
      <c r="AA9" t="s">
        <v>146</v>
      </c>
      <c r="AB9" t="s">
        <v>147</v>
      </c>
      <c r="AC9" t="s">
        <v>148</v>
      </c>
      <c r="AD9" t="s">
        <v>149</v>
      </c>
      <c r="AE9" t="s">
        <v>150</v>
      </c>
      <c r="AF9" t="s">
        <v>151</v>
      </c>
      <c r="AG9" t="s">
        <v>152</v>
      </c>
      <c r="AH9" t="s">
        <v>153</v>
      </c>
      <c r="AI9" t="s">
        <v>154</v>
      </c>
      <c r="AJ9" t="s">
        <v>155</v>
      </c>
      <c r="AK9" t="s">
        <v>156</v>
      </c>
      <c r="AL9" t="s">
        <v>157</v>
      </c>
      <c r="AM9" t="s">
        <v>158</v>
      </c>
      <c r="AN9" t="s">
        <v>159</v>
      </c>
      <c r="AO9" t="s">
        <v>160</v>
      </c>
      <c r="AP9" t="s">
        <v>161</v>
      </c>
      <c r="AQ9" t="s">
        <v>162</v>
      </c>
      <c r="AR9" t="s">
        <v>163</v>
      </c>
      <c r="AS9" t="s">
        <v>164</v>
      </c>
      <c r="AT9" t="s">
        <v>165</v>
      </c>
      <c r="AU9" t="s">
        <v>166</v>
      </c>
      <c r="AV9" t="s">
        <v>167</v>
      </c>
      <c r="AW9" t="s">
        <v>168</v>
      </c>
      <c r="AX9" t="s">
        <v>169</v>
      </c>
      <c r="AY9" t="s">
        <v>170</v>
      </c>
      <c r="AZ9" t="s">
        <v>171</v>
      </c>
      <c r="BA9" t="s">
        <v>172</v>
      </c>
      <c r="BB9" t="s">
        <v>173</v>
      </c>
      <c r="BC9" t="s">
        <v>174</v>
      </c>
      <c r="BD9" t="s">
        <v>175</v>
      </c>
      <c r="BE9" t="s">
        <v>176</v>
      </c>
      <c r="BF9" t="s">
        <v>177</v>
      </c>
      <c r="BG9" t="s">
        <v>178</v>
      </c>
      <c r="BH9" t="s">
        <v>179</v>
      </c>
      <c r="BI9" t="s">
        <v>180</v>
      </c>
      <c r="BJ9" t="s">
        <v>181</v>
      </c>
      <c r="BK9" t="s">
        <v>182</v>
      </c>
      <c r="BL9" t="s">
        <v>183</v>
      </c>
      <c r="BM9" t="s">
        <v>184</v>
      </c>
      <c r="BN9" t="s">
        <v>185</v>
      </c>
      <c r="BO9" t="s">
        <v>186</v>
      </c>
      <c r="BP9" t="s">
        <v>187</v>
      </c>
      <c r="BQ9" t="s">
        <v>188</v>
      </c>
      <c r="BR9" t="s">
        <v>189</v>
      </c>
      <c r="BS9" t="s">
        <v>190</v>
      </c>
      <c r="BT9" t="s">
        <v>191</v>
      </c>
      <c r="BU9" t="s">
        <v>205</v>
      </c>
      <c r="BV9" t="s">
        <v>206</v>
      </c>
      <c r="BW9" t="s">
        <v>207</v>
      </c>
      <c r="BX9" t="s">
        <v>208</v>
      </c>
      <c r="BY9" t="s">
        <v>209</v>
      </c>
      <c r="BZ9" t="s">
        <v>210</v>
      </c>
      <c r="CA9" t="s">
        <v>211</v>
      </c>
      <c r="CB9" t="s">
        <v>212</v>
      </c>
      <c r="CC9" t="s">
        <v>213</v>
      </c>
      <c r="CD9" t="s">
        <v>214</v>
      </c>
      <c r="CE9" t="s">
        <v>215</v>
      </c>
      <c r="CF9" t="s">
        <v>216</v>
      </c>
      <c r="CG9" t="s">
        <v>217</v>
      </c>
      <c r="CH9" t="s">
        <v>218</v>
      </c>
      <c r="CI9" t="s">
        <v>219</v>
      </c>
      <c r="CJ9" t="s">
        <v>220</v>
      </c>
      <c r="CK9" t="s">
        <v>221</v>
      </c>
      <c r="CL9" t="s">
        <v>222</v>
      </c>
      <c r="CM9" t="s">
        <v>223</v>
      </c>
      <c r="CN9" t="s">
        <v>224</v>
      </c>
    </row>
    <row r="10">
      <c r="A10" t="s">
        <v>121</v>
      </c>
      <c r="B10" t="n">
        <v>786356541.183517</v>
      </c>
      <c r="C10" t="n">
        <v>965289.275963893</v>
      </c>
      <c r="D10" t="n">
        <v>0</v>
      </c>
      <c r="E10" t="n">
        <v>252568.123759199</v>
      </c>
      <c r="F10" t="n">
        <v>630840.519398446</v>
      </c>
      <c r="G10" t="n">
        <v>0</v>
      </c>
      <c r="H10" t="n">
        <v>20366907.3935715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3110129.87647507</v>
      </c>
      <c r="T10" t="n">
        <v>1741648575.78866</v>
      </c>
      <c r="U10" t="n">
        <v>4226328.69949014</v>
      </c>
      <c r="V10" t="n">
        <v>0</v>
      </c>
      <c r="W10" t="n">
        <v>0</v>
      </c>
      <c r="X10" t="n">
        <v>0</v>
      </c>
      <c r="Y10" t="n">
        <v>0</v>
      </c>
      <c r="Z10" t="n">
        <v>34959619.5123336</v>
      </c>
      <c r="AA10" t="n">
        <v>0</v>
      </c>
      <c r="AB10" t="n">
        <v>7131835.04486816</v>
      </c>
      <c r="AC10" t="n">
        <v>6098702.28485004</v>
      </c>
      <c r="AD10" t="n">
        <v>10766535.7196685</v>
      </c>
      <c r="AE10" t="n">
        <v>1663167.62429596</v>
      </c>
      <c r="AF10" t="n">
        <v>2688185.29733596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182643.201555894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8097.94536437642</v>
      </c>
      <c r="AT10" t="n">
        <v>0</v>
      </c>
      <c r="AU10" t="n">
        <v>0</v>
      </c>
      <c r="AV10" t="n">
        <v>0</v>
      </c>
      <c r="AW10" t="n">
        <v>0</v>
      </c>
      <c r="AX10" t="n">
        <v>36590.4570695043</v>
      </c>
      <c r="AY10" t="n">
        <v>0</v>
      </c>
      <c r="AZ10" t="n">
        <v>8090.65627725668</v>
      </c>
      <c r="BA10" t="n">
        <v>0</v>
      </c>
      <c r="BB10" t="n">
        <v>12185664.7489816</v>
      </c>
      <c r="BC10" t="n">
        <v>245940.936799256</v>
      </c>
      <c r="BD10" t="n">
        <v>16508007.3125268</v>
      </c>
      <c r="BE10" t="n">
        <v>0</v>
      </c>
      <c r="BF10" t="n">
        <v>686723.987767574</v>
      </c>
      <c r="BG10" t="n">
        <v>0</v>
      </c>
      <c r="BH10" t="n">
        <v>0</v>
      </c>
      <c r="BI10" t="n">
        <v>0</v>
      </c>
      <c r="BJ10" t="n">
        <v>0</v>
      </c>
      <c r="BK10" t="n">
        <v>0</v>
      </c>
      <c r="BL10" t="n">
        <v>6544966.83661575</v>
      </c>
      <c r="BM10" t="n">
        <v>400187.58694191</v>
      </c>
      <c r="BN10" t="n">
        <v>17358045.6451048</v>
      </c>
      <c r="BO10" t="n">
        <v>124761.279264614</v>
      </c>
      <c r="BP10" t="n">
        <v>100977.613290526</v>
      </c>
      <c r="BQ10" t="n">
        <v>-5456752.80489915</v>
      </c>
      <c r="BR10" t="n">
        <v>0</v>
      </c>
      <c r="BS10" t="n">
        <v>31625415.1036851</v>
      </c>
      <c r="BT10" t="n">
        <v>0</v>
      </c>
      <c r="BU10" t="n">
        <v>640947488.795165</v>
      </c>
      <c r="BV10" t="n">
        <v>0</v>
      </c>
      <c r="BW10" t="n">
        <v>0</v>
      </c>
      <c r="BX10" t="n">
        <v>0</v>
      </c>
      <c r="BY10" t="n">
        <v>0</v>
      </c>
      <c r="BZ10" t="n">
        <v>-237209585.612246</v>
      </c>
      <c r="CA10" t="n">
        <v>63860504.8233403</v>
      </c>
      <c r="CB10" t="n">
        <v>0</v>
      </c>
      <c r="CC10" t="n">
        <v>0</v>
      </c>
      <c r="CD10" t="n">
        <v>0</v>
      </c>
      <c r="CE10" t="n">
        <v>0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</v>
      </c>
      <c r="CL10" t="n">
        <v>0</v>
      </c>
      <c r="CM10" t="n">
        <v>0</v>
      </c>
      <c r="CN10" t="n">
        <v>0</v>
      </c>
    </row>
    <row r="11">
      <c r="A11" t="s">
        <v>122</v>
      </c>
      <c r="B11" t="n">
        <v>282032025.334097</v>
      </c>
      <c r="C11" t="n">
        <v>32436388.1477909</v>
      </c>
      <c r="D11" t="n">
        <v>0</v>
      </c>
      <c r="E11" t="n">
        <v>1201718.76700183</v>
      </c>
      <c r="F11" t="n">
        <v>0</v>
      </c>
      <c r="G11" t="n">
        <v>0</v>
      </c>
      <c r="H11" t="n">
        <v>0</v>
      </c>
      <c r="I11" t="n">
        <v>70366835.2677021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212903.352869182</v>
      </c>
      <c r="S11" t="n">
        <v>763496.756172851</v>
      </c>
      <c r="T11" t="n">
        <v>9333027.99991463</v>
      </c>
      <c r="U11" t="n">
        <v>0</v>
      </c>
      <c r="V11" t="n">
        <v>146272.514453117</v>
      </c>
      <c r="W11" t="n">
        <v>5049288.91348221</v>
      </c>
      <c r="X11" t="n">
        <v>35859.1191045543</v>
      </c>
      <c r="Y11" t="n">
        <v>0</v>
      </c>
      <c r="Z11" t="n">
        <v>225295.612989293</v>
      </c>
      <c r="AA11" t="n">
        <v>2513943.40913221</v>
      </c>
      <c r="AB11" t="n">
        <v>0</v>
      </c>
      <c r="AC11" t="n">
        <v>0</v>
      </c>
      <c r="AD11" t="n">
        <v>965029.319128249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4895236.51047544</v>
      </c>
      <c r="BC11" t="n">
        <v>302871.831329525</v>
      </c>
      <c r="BD11" t="n">
        <v>0</v>
      </c>
      <c r="BE11" t="n">
        <v>0</v>
      </c>
      <c r="BF11" t="n">
        <v>62095.9878015157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491083.702598122</v>
      </c>
      <c r="BM11" t="n">
        <v>527443.654952571</v>
      </c>
      <c r="BN11" t="n">
        <v>7016670.75314581</v>
      </c>
      <c r="BO11" t="n">
        <v>93327.5464658938</v>
      </c>
      <c r="BP11" t="n">
        <v>0</v>
      </c>
      <c r="BQ11" t="n">
        <v>603870.163298684</v>
      </c>
      <c r="BR11" t="n">
        <v>12292.587543799</v>
      </c>
      <c r="BS11" t="n">
        <v>51188580.5102567</v>
      </c>
      <c r="BT11" t="n">
        <v>0</v>
      </c>
      <c r="BU11" t="n">
        <v>50826743.6926348</v>
      </c>
      <c r="BV11" t="n">
        <v>0</v>
      </c>
      <c r="BW11" t="n">
        <v>0</v>
      </c>
      <c r="BX11" t="n">
        <v>0</v>
      </c>
      <c r="BY11" t="n">
        <v>0</v>
      </c>
      <c r="BZ11" t="n">
        <v>11009296.4443396</v>
      </c>
      <c r="CA11" t="n">
        <v>10159286.6057901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</row>
    <row r="12">
      <c r="A12" t="s">
        <v>123</v>
      </c>
      <c r="B12" t="n">
        <v>0</v>
      </c>
      <c r="C12" t="n">
        <v>0</v>
      </c>
      <c r="D12" t="n">
        <v>238068439.813539</v>
      </c>
      <c r="E12" t="n">
        <v>0</v>
      </c>
      <c r="F12" t="n">
        <v>118148.914077749</v>
      </c>
      <c r="G12" t="n">
        <v>61923988.3291081</v>
      </c>
      <c r="H12" t="n">
        <v>0</v>
      </c>
      <c r="I12" t="n">
        <v>10113.8801031578</v>
      </c>
      <c r="J12" t="n">
        <v>8204.83482319974</v>
      </c>
      <c r="K12" t="n">
        <v>7961.9100767044</v>
      </c>
      <c r="L12" t="n">
        <v>0</v>
      </c>
      <c r="M12" t="n">
        <v>0</v>
      </c>
      <c r="N12" t="n">
        <v>0</v>
      </c>
      <c r="O12" t="n">
        <v>0</v>
      </c>
      <c r="P12" t="n">
        <v>462.575363532458</v>
      </c>
      <c r="Q12" t="n">
        <v>0</v>
      </c>
      <c r="R12" t="n">
        <v>0</v>
      </c>
      <c r="S12" t="n">
        <v>0</v>
      </c>
      <c r="T12" t="n">
        <v>5513.49647796318</v>
      </c>
      <c r="U12" t="n">
        <v>0</v>
      </c>
      <c r="V12" t="n">
        <v>0</v>
      </c>
      <c r="W12" t="n">
        <v>0</v>
      </c>
      <c r="X12" t="n">
        <v>3808.84971248303</v>
      </c>
      <c r="Y12" t="n">
        <v>339700105.974373</v>
      </c>
      <c r="Z12" t="n">
        <v>5797012.61483789</v>
      </c>
      <c r="AA12" t="n">
        <v>0</v>
      </c>
      <c r="AB12" t="n">
        <v>12489.0859497425</v>
      </c>
      <c r="AC12" t="n">
        <v>14101.410914669</v>
      </c>
      <c r="AD12" t="n">
        <v>0</v>
      </c>
      <c r="AE12" t="n">
        <v>7806.80407789989</v>
      </c>
      <c r="AF12" t="n">
        <v>15491.2332870475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167808.531525315</v>
      </c>
      <c r="AM12" t="n">
        <v>0</v>
      </c>
      <c r="AN12" t="n">
        <v>180266.847149797</v>
      </c>
      <c r="AO12" t="n">
        <v>344427.91111684</v>
      </c>
      <c r="AP12" t="n">
        <v>0</v>
      </c>
      <c r="AQ12" t="n">
        <v>7340.91076601452</v>
      </c>
      <c r="AR12" t="n">
        <v>58091.7103680459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86804.118286889</v>
      </c>
      <c r="AY12" t="n">
        <v>0</v>
      </c>
      <c r="AZ12" t="n">
        <v>0</v>
      </c>
      <c r="BA12" t="n">
        <v>10673.1624731553</v>
      </c>
      <c r="BB12" t="n">
        <v>26172.360546013</v>
      </c>
      <c r="BC12" t="n">
        <v>14622.7960530656</v>
      </c>
      <c r="BD12" t="n">
        <v>0</v>
      </c>
      <c r="BE12" t="n">
        <v>6908.22284472453</v>
      </c>
      <c r="BF12" t="n">
        <v>603031.077337125</v>
      </c>
      <c r="BG12" t="n">
        <v>6445.813458492</v>
      </c>
      <c r="BH12" t="n">
        <v>0</v>
      </c>
      <c r="BI12" t="n">
        <v>4993.66676240814</v>
      </c>
      <c r="BJ12" t="n">
        <v>0</v>
      </c>
      <c r="BK12" t="n">
        <v>0</v>
      </c>
      <c r="BL12" t="n">
        <v>211129.720474198</v>
      </c>
      <c r="BM12" t="n">
        <v>7570.7442018109</v>
      </c>
      <c r="BN12" t="n">
        <v>7452.90041921671</v>
      </c>
      <c r="BO12" t="n">
        <v>21242.0921133212</v>
      </c>
      <c r="BP12" t="n">
        <v>0</v>
      </c>
      <c r="BQ12" t="n">
        <v>0</v>
      </c>
      <c r="BR12" t="n">
        <v>5647076.11918511</v>
      </c>
      <c r="BS12" t="n">
        <v>0</v>
      </c>
      <c r="BT12" t="n">
        <v>45794006.2110736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240993549.985726</v>
      </c>
      <c r="CA12" t="n">
        <v>4437054588.55729</v>
      </c>
      <c r="CB12" t="n">
        <v>0</v>
      </c>
      <c r="CC12" t="n">
        <v>0</v>
      </c>
      <c r="CD12" t="n">
        <v>0</v>
      </c>
      <c r="CE12" t="n">
        <v>0</v>
      </c>
      <c r="CF12" t="n">
        <v>0</v>
      </c>
      <c r="CG12" t="n">
        <v>0</v>
      </c>
      <c r="CH12" t="n">
        <v>0</v>
      </c>
      <c r="CI12" t="n">
        <v>0</v>
      </c>
      <c r="CJ12" t="n">
        <v>0</v>
      </c>
      <c r="CK12" t="n">
        <v>0</v>
      </c>
      <c r="CL12" t="n">
        <v>0</v>
      </c>
      <c r="CM12" t="n">
        <v>0</v>
      </c>
      <c r="CN12" t="n">
        <v>0</v>
      </c>
    </row>
    <row r="13">
      <c r="A13" t="s">
        <v>124</v>
      </c>
      <c r="B13" t="n">
        <v>15615305.6172879</v>
      </c>
      <c r="C13" t="n">
        <v>0</v>
      </c>
      <c r="D13" t="n">
        <v>3236354.5517356</v>
      </c>
      <c r="E13" t="n">
        <v>101165078.989934</v>
      </c>
      <c r="F13" t="n">
        <v>6315967.32014874</v>
      </c>
      <c r="G13" t="n">
        <v>54570626.1927472</v>
      </c>
      <c r="H13" t="n">
        <v>301226048.664117</v>
      </c>
      <c r="I13" t="n">
        <v>60073.8452355055</v>
      </c>
      <c r="J13" t="n">
        <v>155195357.653754</v>
      </c>
      <c r="K13" t="n">
        <v>37520050.1382885</v>
      </c>
      <c r="L13" t="n">
        <v>3887677.85456533</v>
      </c>
      <c r="M13" t="n">
        <v>595092.61010923</v>
      </c>
      <c r="N13" t="n">
        <v>43704.6436115757</v>
      </c>
      <c r="O13" t="n">
        <v>155006.56355542</v>
      </c>
      <c r="P13" t="n">
        <v>39152.995422252</v>
      </c>
      <c r="Q13" t="n">
        <v>724631.898414829</v>
      </c>
      <c r="R13" t="n">
        <v>181893.203058833</v>
      </c>
      <c r="S13" t="n">
        <v>1059489.87384075</v>
      </c>
      <c r="T13" t="n">
        <v>12035165.7374742</v>
      </c>
      <c r="U13" t="n">
        <v>133482.490885353</v>
      </c>
      <c r="V13" t="n">
        <v>0</v>
      </c>
      <c r="W13" t="n">
        <v>2843009.93172322</v>
      </c>
      <c r="X13" t="n">
        <v>0</v>
      </c>
      <c r="Y13" t="n">
        <v>15346875.6845669</v>
      </c>
      <c r="Z13" t="n">
        <v>14156006.2598398</v>
      </c>
      <c r="AA13" t="n">
        <v>927328.631937088</v>
      </c>
      <c r="AB13" t="n">
        <v>166909.40270766</v>
      </c>
      <c r="AC13" t="n">
        <v>0</v>
      </c>
      <c r="AD13" t="n">
        <v>0</v>
      </c>
      <c r="AE13" t="n">
        <v>0</v>
      </c>
      <c r="AF13" t="n">
        <v>11501.742426018</v>
      </c>
      <c r="AG13" t="n">
        <v>0</v>
      </c>
      <c r="AH13" t="n">
        <v>1505073.35988438</v>
      </c>
      <c r="AI13" t="n">
        <v>0</v>
      </c>
      <c r="AJ13" t="n">
        <v>68099.961630269</v>
      </c>
      <c r="AK13" t="n">
        <v>8593.05022016464</v>
      </c>
      <c r="AL13" t="n">
        <v>0</v>
      </c>
      <c r="AM13" t="n">
        <v>11042.3999356892</v>
      </c>
      <c r="AN13" t="n">
        <v>17845.6447415406</v>
      </c>
      <c r="AO13" t="n">
        <v>334411.766756958</v>
      </c>
      <c r="AP13" t="n">
        <v>82811.3548287416</v>
      </c>
      <c r="AQ13" t="n">
        <v>4267655.46136924</v>
      </c>
      <c r="AR13" t="n">
        <v>9977690.36821065</v>
      </c>
      <c r="AS13" t="n">
        <v>0</v>
      </c>
      <c r="AT13" t="n">
        <v>0</v>
      </c>
      <c r="AU13" t="n">
        <v>0</v>
      </c>
      <c r="AV13" t="n">
        <v>0</v>
      </c>
      <c r="AW13" t="n">
        <v>87664.6026234438</v>
      </c>
      <c r="AX13" t="n">
        <v>0</v>
      </c>
      <c r="AY13" t="n">
        <v>0</v>
      </c>
      <c r="AZ13" t="n">
        <v>0</v>
      </c>
      <c r="BA13" t="n">
        <v>0</v>
      </c>
      <c r="BB13" t="n">
        <v>20092828.4664417</v>
      </c>
      <c r="BC13" t="n">
        <v>488563.007123716</v>
      </c>
      <c r="BD13" t="n">
        <v>11732371.2829287</v>
      </c>
      <c r="BE13" t="n">
        <v>707820.388904909</v>
      </c>
      <c r="BF13" t="n">
        <v>3987605.80298924</v>
      </c>
      <c r="BG13" t="n">
        <v>0</v>
      </c>
      <c r="BH13" t="n">
        <v>165631.78434953</v>
      </c>
      <c r="BI13" t="n">
        <v>311441.503401228</v>
      </c>
      <c r="BJ13" t="n">
        <v>1659545.5953504</v>
      </c>
      <c r="BK13" t="n">
        <v>3549418.67625016</v>
      </c>
      <c r="BL13" t="n">
        <v>16846769.823523</v>
      </c>
      <c r="BM13" t="n">
        <v>2225929.48378751</v>
      </c>
      <c r="BN13" t="n">
        <v>10890004.4212673</v>
      </c>
      <c r="BO13" t="n">
        <v>17285640.8547195</v>
      </c>
      <c r="BP13" t="n">
        <v>0</v>
      </c>
      <c r="BQ13" t="n">
        <v>33066136.243465</v>
      </c>
      <c r="BR13" t="n">
        <v>0</v>
      </c>
      <c r="BS13" t="n">
        <v>19278553.473941</v>
      </c>
      <c r="BT13" t="n">
        <v>40991265.3536555</v>
      </c>
      <c r="BU13" t="n">
        <v>2075843.94735723</v>
      </c>
      <c r="BV13" t="n">
        <v>0</v>
      </c>
      <c r="BW13" t="n">
        <v>67658.3332954084</v>
      </c>
      <c r="BX13" t="n">
        <v>0</v>
      </c>
      <c r="BY13" t="n">
        <v>0</v>
      </c>
      <c r="BZ13" t="n">
        <v>11876797.6735966</v>
      </c>
      <c r="CA13" t="n">
        <v>167606770.834007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</row>
    <row r="14">
      <c r="A14" t="s">
        <v>125</v>
      </c>
      <c r="B14" t="n">
        <v>0</v>
      </c>
      <c r="C14" t="n">
        <v>0</v>
      </c>
      <c r="D14" t="n">
        <v>957668883.767347</v>
      </c>
      <c r="E14" t="n">
        <v>19515998.2905073</v>
      </c>
      <c r="F14" t="n">
        <v>167237776.841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574825.786608134</v>
      </c>
      <c r="BC14" t="n">
        <v>49835.4388016249</v>
      </c>
      <c r="BD14" t="n">
        <v>0</v>
      </c>
      <c r="BE14" t="n">
        <v>0</v>
      </c>
      <c r="BF14" t="n">
        <v>0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6264752423.02929</v>
      </c>
      <c r="BW14" t="n">
        <v>130819722.073501</v>
      </c>
      <c r="BX14" t="n">
        <v>0</v>
      </c>
      <c r="BY14" t="n">
        <v>0</v>
      </c>
      <c r="BZ14" t="n">
        <v>-321684.520519437</v>
      </c>
      <c r="CA14" t="n">
        <v>4818077.74717133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</row>
    <row r="15">
      <c r="A15" t="s">
        <v>126</v>
      </c>
      <c r="B15" t="n">
        <v>39559703.9995729</v>
      </c>
      <c r="C15" t="n">
        <v>104424.191831418</v>
      </c>
      <c r="D15" t="n">
        <v>96876553.4122144</v>
      </c>
      <c r="E15" t="n">
        <v>21983198.1674211</v>
      </c>
      <c r="F15" t="n">
        <v>10537153.4184232</v>
      </c>
      <c r="G15" t="n">
        <v>101536903.944013</v>
      </c>
      <c r="H15" t="n">
        <v>57892438.0206145</v>
      </c>
      <c r="I15" t="n">
        <v>4007437.62495378</v>
      </c>
      <c r="J15" t="n">
        <v>22362096.5962973</v>
      </c>
      <c r="K15" t="n">
        <v>9199320.71189072</v>
      </c>
      <c r="L15" t="n">
        <v>13377860.5760825</v>
      </c>
      <c r="M15" t="n">
        <v>5827967.61767334</v>
      </c>
      <c r="N15" t="n">
        <v>7099866.16023888</v>
      </c>
      <c r="O15" t="n">
        <v>1012878.5820664</v>
      </c>
      <c r="P15" t="n">
        <v>1014748.62720203</v>
      </c>
      <c r="Q15" t="n">
        <v>10081518.350939</v>
      </c>
      <c r="R15" t="n">
        <v>2667372.5013734</v>
      </c>
      <c r="S15" t="n">
        <v>5163925.02871595</v>
      </c>
      <c r="T15" t="n">
        <v>34835283.7950312</v>
      </c>
      <c r="U15" t="n">
        <v>1049208.14412848</v>
      </c>
      <c r="V15" t="n">
        <v>31237.2276525869</v>
      </c>
      <c r="W15" t="n">
        <v>3996312.52117566</v>
      </c>
      <c r="X15" t="n">
        <v>3227089.50626943</v>
      </c>
      <c r="Y15" t="n">
        <v>10637563.2971152</v>
      </c>
      <c r="Z15" t="n">
        <v>16946165.29532</v>
      </c>
      <c r="AA15" t="n">
        <v>12390299.3864083</v>
      </c>
      <c r="AB15" t="n">
        <v>66086669.6866762</v>
      </c>
      <c r="AC15" t="n">
        <v>21736513.9278426</v>
      </c>
      <c r="AD15" t="n">
        <v>55790935.0756834</v>
      </c>
      <c r="AE15" t="n">
        <v>43188446.782615</v>
      </c>
      <c r="AF15" t="n">
        <v>60511633.1533844</v>
      </c>
      <c r="AG15" t="n">
        <v>12278871.015556</v>
      </c>
      <c r="AH15" t="n">
        <v>291927.097660809</v>
      </c>
      <c r="AI15" t="n">
        <v>12234.3789604807</v>
      </c>
      <c r="AJ15" t="n">
        <v>15899120.1848234</v>
      </c>
      <c r="AK15" t="n">
        <v>1245314.25935563</v>
      </c>
      <c r="AL15" t="n">
        <v>17516251.8392301</v>
      </c>
      <c r="AM15" t="n">
        <v>5114286.37873693</v>
      </c>
      <c r="AN15" t="n">
        <v>7092082.13323571</v>
      </c>
      <c r="AO15" t="n">
        <v>5254846.32873492</v>
      </c>
      <c r="AP15" t="n">
        <v>729964.564793239</v>
      </c>
      <c r="AQ15" t="n">
        <v>31337739.8659723</v>
      </c>
      <c r="AR15" t="n">
        <v>17209623.5120023</v>
      </c>
      <c r="AS15" t="n">
        <v>11749699.1574035</v>
      </c>
      <c r="AT15" t="n">
        <v>4923582.0322912</v>
      </c>
      <c r="AU15" t="n">
        <v>1943445.9294182</v>
      </c>
      <c r="AV15" t="n">
        <v>7066859.45767343</v>
      </c>
      <c r="AW15" t="n">
        <v>1100179.20365811</v>
      </c>
      <c r="AX15" t="n">
        <v>114422048.343661</v>
      </c>
      <c r="AY15" t="n">
        <v>5300119.9945393</v>
      </c>
      <c r="AZ15" t="n">
        <v>2343118.20720124</v>
      </c>
      <c r="BA15" t="n">
        <v>6393289.94296227</v>
      </c>
      <c r="BB15" t="n">
        <v>36220611.7235391</v>
      </c>
      <c r="BC15" t="n">
        <v>27479383.5283842</v>
      </c>
      <c r="BD15" t="n">
        <v>15114557.5230217</v>
      </c>
      <c r="BE15" t="n">
        <v>7080694.06086188</v>
      </c>
      <c r="BF15" t="n">
        <v>18452914.1963537</v>
      </c>
      <c r="BG15" t="n">
        <v>19108065.27576</v>
      </c>
      <c r="BH15" t="n">
        <v>23956797.498938</v>
      </c>
      <c r="BI15" t="n">
        <v>13134854.4355712</v>
      </c>
      <c r="BJ15" t="n">
        <v>5307495.79699006</v>
      </c>
      <c r="BK15" t="n">
        <v>5049800.11542538</v>
      </c>
      <c r="BL15" t="n">
        <v>29740644.8582003</v>
      </c>
      <c r="BM15" t="n">
        <v>32601052.7062952</v>
      </c>
      <c r="BN15" t="n">
        <v>103582450.367792</v>
      </c>
      <c r="BO15" t="n">
        <v>37206338.9363675</v>
      </c>
      <c r="BP15" t="n">
        <v>16199154.4769314</v>
      </c>
      <c r="BQ15" t="n">
        <v>7115006.68379778</v>
      </c>
      <c r="BR15" t="n">
        <v>13035195.8195416</v>
      </c>
      <c r="BS15" t="n">
        <v>108692693.283188</v>
      </c>
      <c r="BT15" t="n">
        <v>10451474.9810962</v>
      </c>
      <c r="BU15" t="n">
        <v>1465795833.58101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57754195.0172221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</row>
    <row r="16">
      <c r="A16" t="s">
        <v>127</v>
      </c>
      <c r="B16" t="n">
        <v>26392905.4873351</v>
      </c>
      <c r="C16" t="n">
        <v>159057.352602863</v>
      </c>
      <c r="D16" t="n">
        <v>8323379.29402967</v>
      </c>
      <c r="E16" t="n">
        <v>73243008.6914871</v>
      </c>
      <c r="F16" t="n">
        <v>151736692.742406</v>
      </c>
      <c r="G16" t="n">
        <v>78895073.8251492</v>
      </c>
      <c r="H16" t="n">
        <v>7291212.10881056</v>
      </c>
      <c r="I16" t="n">
        <v>2960609.92874246</v>
      </c>
      <c r="J16" t="n">
        <v>20335071.0744298</v>
      </c>
      <c r="K16" t="n">
        <v>7798493.52173558</v>
      </c>
      <c r="L16" t="n">
        <v>15696534.1764902</v>
      </c>
      <c r="M16" t="n">
        <v>8602837.79699981</v>
      </c>
      <c r="N16" t="n">
        <v>10010456.1128928</v>
      </c>
      <c r="O16" t="n">
        <v>883258.423274183</v>
      </c>
      <c r="P16" t="n">
        <v>1072951.06798167</v>
      </c>
      <c r="Q16" t="n">
        <v>6060204.71336845</v>
      </c>
      <c r="R16" t="n">
        <v>2364188.3887038</v>
      </c>
      <c r="S16" t="n">
        <v>7347826.08747291</v>
      </c>
      <c r="T16" t="n">
        <v>31664192.2090287</v>
      </c>
      <c r="U16" t="n">
        <v>542978.778775918</v>
      </c>
      <c r="V16" t="n">
        <v>27071.421186828</v>
      </c>
      <c r="W16" t="n">
        <v>3084125.26329382</v>
      </c>
      <c r="X16" t="n">
        <v>3408575.83329846</v>
      </c>
      <c r="Y16" t="n">
        <v>59501793.4481618</v>
      </c>
      <c r="Z16" t="n">
        <v>10408448.3143045</v>
      </c>
      <c r="AA16" t="n">
        <v>8234755.48607524</v>
      </c>
      <c r="AB16" t="n">
        <v>67425200.5718721</v>
      </c>
      <c r="AC16" t="n">
        <v>26988403.8947718</v>
      </c>
      <c r="AD16" t="n">
        <v>23938662.6530705</v>
      </c>
      <c r="AE16" t="n">
        <v>43702982.8781279</v>
      </c>
      <c r="AF16" t="n">
        <v>54402107.2936801</v>
      </c>
      <c r="AG16" t="n">
        <v>11317398.9017223</v>
      </c>
      <c r="AH16" t="n">
        <v>40352799.5496471</v>
      </c>
      <c r="AI16" t="n">
        <v>13609.1242992461</v>
      </c>
      <c r="AJ16" t="n">
        <v>7571780.55824778</v>
      </c>
      <c r="AK16" t="n">
        <v>6130521.20141343</v>
      </c>
      <c r="AL16" t="n">
        <v>44794728.7260017</v>
      </c>
      <c r="AM16" t="n">
        <v>17442069.8131419</v>
      </c>
      <c r="AN16" t="n">
        <v>10107087.3654082</v>
      </c>
      <c r="AO16" t="n">
        <v>3471578.05739209</v>
      </c>
      <c r="AP16" t="n">
        <v>472898.526173135</v>
      </c>
      <c r="AQ16" t="n">
        <v>48789940.3671279</v>
      </c>
      <c r="AR16" t="n">
        <v>17814799.5402614</v>
      </c>
      <c r="AS16" t="n">
        <v>85607658.8086028</v>
      </c>
      <c r="AT16" t="n">
        <v>26915671.0747948</v>
      </c>
      <c r="AU16" t="n">
        <v>9899099.14047739</v>
      </c>
      <c r="AV16" t="n">
        <v>1323418.8034188</v>
      </c>
      <c r="AW16" t="n">
        <v>1925481993.76037</v>
      </c>
      <c r="AX16" t="n">
        <v>549427962.877641</v>
      </c>
      <c r="AY16" t="n">
        <v>14252813.0304244</v>
      </c>
      <c r="AZ16" t="n">
        <v>2745878.72792883</v>
      </c>
      <c r="BA16" t="n">
        <v>2410195.27507534</v>
      </c>
      <c r="BB16" t="n">
        <v>58542575.0379698</v>
      </c>
      <c r="BC16" t="n">
        <v>17386955.7820613</v>
      </c>
      <c r="BD16" t="n">
        <v>17690706.5848671</v>
      </c>
      <c r="BE16" t="n">
        <v>2831116.65450132</v>
      </c>
      <c r="BF16" t="n">
        <v>26452290.4110197</v>
      </c>
      <c r="BG16" t="n">
        <v>13603407.3692097</v>
      </c>
      <c r="BH16" t="n">
        <v>14765032.039804</v>
      </c>
      <c r="BI16" t="n">
        <v>9327568.59679209</v>
      </c>
      <c r="BJ16" t="n">
        <v>9882611.09295867</v>
      </c>
      <c r="BK16" t="n">
        <v>4552243.62852202</v>
      </c>
      <c r="BL16" t="n">
        <v>21224380.220895</v>
      </c>
      <c r="BM16" t="n">
        <v>63213449.5871416</v>
      </c>
      <c r="BN16" t="n">
        <v>50136813.8772946</v>
      </c>
      <c r="BO16" t="n">
        <v>76611464.9774831</v>
      </c>
      <c r="BP16" t="n">
        <v>159817994.070998</v>
      </c>
      <c r="BQ16" t="n">
        <v>10709227.3679955</v>
      </c>
      <c r="BR16" t="n">
        <v>12922304.6144526</v>
      </c>
      <c r="BS16" t="n">
        <v>658111902.647023</v>
      </c>
      <c r="BT16" t="n">
        <v>652753873.353504</v>
      </c>
      <c r="BU16" t="n">
        <v>0</v>
      </c>
      <c r="BV16" t="n">
        <v>13541537343.3876</v>
      </c>
      <c r="BW16" t="n">
        <v>0</v>
      </c>
      <c r="BX16" t="n">
        <v>0</v>
      </c>
      <c r="BY16" t="n">
        <v>13682055738.4252</v>
      </c>
      <c r="BZ16" t="n">
        <v>0</v>
      </c>
      <c r="CA16" t="n">
        <v>2672922.09236247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263734215.033574</v>
      </c>
      <c r="CI16" t="n">
        <v>0</v>
      </c>
      <c r="CJ16" t="n">
        <v>0</v>
      </c>
      <c r="CK16" t="n">
        <v>0</v>
      </c>
      <c r="CL16" t="n">
        <v>6496725375.50742</v>
      </c>
      <c r="CM16" t="n">
        <v>0</v>
      </c>
      <c r="CN16" t="n">
        <v>0</v>
      </c>
    </row>
    <row r="17">
      <c r="A17" t="s">
        <v>128</v>
      </c>
      <c r="B17" t="n">
        <v>5646501.52289387</v>
      </c>
      <c r="C17" t="n">
        <v>274020.987176921</v>
      </c>
      <c r="D17" t="n">
        <v>0</v>
      </c>
      <c r="E17" t="n">
        <v>1899276.27262744</v>
      </c>
      <c r="F17" t="n">
        <v>8637975.34741634</v>
      </c>
      <c r="G17" t="n">
        <v>39144.9038857196</v>
      </c>
      <c r="H17" t="n">
        <v>505267536.263883</v>
      </c>
      <c r="I17" t="n">
        <v>105361397.184775</v>
      </c>
      <c r="J17" t="n">
        <v>2416966.21021894</v>
      </c>
      <c r="K17" t="n">
        <v>1895019.94713156</v>
      </c>
      <c r="L17" t="n">
        <v>952897.685057834</v>
      </c>
      <c r="M17" t="n">
        <v>2940636.03608601</v>
      </c>
      <c r="N17" t="n">
        <v>3047076.32409828</v>
      </c>
      <c r="O17" t="n">
        <v>1952651.48502882</v>
      </c>
      <c r="P17" t="n">
        <v>1842535.17829277</v>
      </c>
      <c r="Q17" t="n">
        <v>1246851.1625049</v>
      </c>
      <c r="R17" t="n">
        <v>42771306.4957379</v>
      </c>
      <c r="S17" t="n">
        <v>10374137.8449794</v>
      </c>
      <c r="T17" t="n">
        <v>2895235.25620286</v>
      </c>
      <c r="U17" t="n">
        <v>71956.425461291</v>
      </c>
      <c r="V17" t="n">
        <v>0</v>
      </c>
      <c r="W17" t="n">
        <v>5448642.44660065</v>
      </c>
      <c r="X17" t="n">
        <v>0</v>
      </c>
      <c r="Y17" t="n">
        <v>0</v>
      </c>
      <c r="Z17" t="n">
        <v>641302.247905511</v>
      </c>
      <c r="AA17" t="n">
        <v>9118777.56292494</v>
      </c>
      <c r="AB17" t="n">
        <v>61643472.1057352</v>
      </c>
      <c r="AC17" t="n">
        <v>1523874.68468841</v>
      </c>
      <c r="AD17" t="n">
        <v>7815089.27350209</v>
      </c>
      <c r="AE17" t="n">
        <v>1812275.40286869</v>
      </c>
      <c r="AF17" t="n">
        <v>7597368.01945283</v>
      </c>
      <c r="AG17" t="n">
        <v>0</v>
      </c>
      <c r="AH17" t="n">
        <v>20705779.2190507</v>
      </c>
      <c r="AI17" t="n">
        <v>0</v>
      </c>
      <c r="AJ17" t="n">
        <v>1435794.54813644</v>
      </c>
      <c r="AK17" t="n">
        <v>0</v>
      </c>
      <c r="AL17" t="n">
        <v>179104.167495367</v>
      </c>
      <c r="AM17" t="n">
        <v>428589.224162305</v>
      </c>
      <c r="AN17" t="n">
        <v>679817.168011761</v>
      </c>
      <c r="AO17" t="n">
        <v>565557.330057841</v>
      </c>
      <c r="AP17" t="n">
        <v>260406.585231504</v>
      </c>
      <c r="AQ17" t="n">
        <v>8027005.52880423</v>
      </c>
      <c r="AR17" t="n">
        <v>10075327.7619899</v>
      </c>
      <c r="AS17" t="n">
        <v>1351646.50544938</v>
      </c>
      <c r="AT17" t="n">
        <v>34910.4514229983</v>
      </c>
      <c r="AU17" t="n">
        <v>0</v>
      </c>
      <c r="AV17" t="n">
        <v>0</v>
      </c>
      <c r="AW17" t="n">
        <v>267791.762653107</v>
      </c>
      <c r="AX17" t="n">
        <v>51887270.6521772</v>
      </c>
      <c r="AY17" t="n">
        <v>3157249.14438902</v>
      </c>
      <c r="AZ17" t="n">
        <v>72777.6575200176</v>
      </c>
      <c r="BA17" t="n">
        <v>410097.645388905</v>
      </c>
      <c r="BB17" t="n">
        <v>10684789.9369182</v>
      </c>
      <c r="BC17" t="n">
        <v>58526.6067016925</v>
      </c>
      <c r="BD17" t="n">
        <v>9939358.99575818</v>
      </c>
      <c r="BE17" t="n">
        <v>276496.259657589</v>
      </c>
      <c r="BF17" t="n">
        <v>218731.149800232</v>
      </c>
      <c r="BG17" t="n">
        <v>3240337.855103</v>
      </c>
      <c r="BH17" t="n">
        <v>2771208.57183512</v>
      </c>
      <c r="BI17" t="n">
        <v>31978.8220575234</v>
      </c>
      <c r="BJ17" t="n">
        <v>4948319.75730335</v>
      </c>
      <c r="BK17" t="n">
        <v>62992.1196274862</v>
      </c>
      <c r="BL17" t="n">
        <v>2405851.04529723</v>
      </c>
      <c r="BM17" t="n">
        <v>7684413.81271181</v>
      </c>
      <c r="BN17" t="n">
        <v>7457413.92479672</v>
      </c>
      <c r="BO17" t="n">
        <v>3242089.35064577</v>
      </c>
      <c r="BP17" t="n">
        <v>146799.376643843</v>
      </c>
      <c r="BQ17" t="n">
        <v>456392.172728496</v>
      </c>
      <c r="BR17" t="n">
        <v>20903.5690562645</v>
      </c>
      <c r="BS17" t="n">
        <v>18924048.0908788</v>
      </c>
      <c r="BT17" t="n">
        <v>1873736.40674525</v>
      </c>
      <c r="BU17" t="n">
        <v>16317572.5415384</v>
      </c>
      <c r="BV17" t="n">
        <v>1370582.90697068</v>
      </c>
      <c r="BW17" t="n">
        <v>0</v>
      </c>
      <c r="BX17" t="n">
        <v>0</v>
      </c>
      <c r="BY17" t="n">
        <v>68515938.7191239</v>
      </c>
      <c r="BZ17" t="n">
        <v>3812536.95953111</v>
      </c>
      <c r="CA17" t="n">
        <v>7247619.50954329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60836.5807011512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</row>
    <row r="18">
      <c r="A18" t="s">
        <v>129</v>
      </c>
      <c r="B18" t="n">
        <v>252765.945644535</v>
      </c>
      <c r="C18" t="n">
        <v>360330.326050291</v>
      </c>
      <c r="D18" t="n">
        <v>40054698.3263938</v>
      </c>
      <c r="E18" t="n">
        <v>7393616.17517915</v>
      </c>
      <c r="F18" t="n">
        <v>42337164.1939319</v>
      </c>
      <c r="G18" t="n">
        <v>599294.717948899</v>
      </c>
      <c r="H18" t="n">
        <v>1282026536.14894</v>
      </c>
      <c r="I18" t="n">
        <v>5378284.01358395</v>
      </c>
      <c r="J18" t="n">
        <v>207012331.83156</v>
      </c>
      <c r="K18" t="n">
        <v>8479262.96256096</v>
      </c>
      <c r="L18" t="n">
        <v>6986445.6489382</v>
      </c>
      <c r="M18" t="n">
        <v>7007914.11480018</v>
      </c>
      <c r="N18" t="n">
        <v>2981168.83292287</v>
      </c>
      <c r="O18" t="n">
        <v>5587187.80643783</v>
      </c>
      <c r="P18" t="n">
        <v>5674891.29896384</v>
      </c>
      <c r="Q18" t="n">
        <v>1642667.22970504</v>
      </c>
      <c r="R18" t="n">
        <v>2620108.22953203</v>
      </c>
      <c r="S18" t="n">
        <v>8734721.88205709</v>
      </c>
      <c r="T18" t="n">
        <v>32705597.1460013</v>
      </c>
      <c r="U18" t="n">
        <v>68001.7024131197</v>
      </c>
      <c r="V18" t="n">
        <v>0</v>
      </c>
      <c r="W18" t="n">
        <v>969575.248328894</v>
      </c>
      <c r="X18" t="n">
        <v>8189.1177888248</v>
      </c>
      <c r="Y18" t="n">
        <v>6142765.77063553</v>
      </c>
      <c r="Z18" t="n">
        <v>4548529.13155811</v>
      </c>
      <c r="AA18" t="n">
        <v>10525298.7833573</v>
      </c>
      <c r="AB18" t="n">
        <v>912962.317675127</v>
      </c>
      <c r="AC18" t="n">
        <v>1531077.68647688</v>
      </c>
      <c r="AD18" t="n">
        <v>270962.654117855</v>
      </c>
      <c r="AE18" t="n">
        <v>4884381.19260898</v>
      </c>
      <c r="AF18" t="n">
        <v>4363154.2904541</v>
      </c>
      <c r="AG18" t="n">
        <v>0</v>
      </c>
      <c r="AH18" t="n">
        <v>165668.733629706</v>
      </c>
      <c r="AI18" t="n">
        <v>0</v>
      </c>
      <c r="AJ18" t="n">
        <v>810721.553980763</v>
      </c>
      <c r="AK18" t="n">
        <v>0</v>
      </c>
      <c r="AL18" t="n">
        <v>0</v>
      </c>
      <c r="AM18" t="n">
        <v>106587.887600456</v>
      </c>
      <c r="AN18" t="n">
        <v>206708.27939002</v>
      </c>
      <c r="AO18" t="n">
        <v>37975.8066393837</v>
      </c>
      <c r="AP18" t="n">
        <v>4995.9063654266</v>
      </c>
      <c r="AQ18" t="n">
        <v>21401928.8289784</v>
      </c>
      <c r="AR18" t="n">
        <v>8465347.10091541</v>
      </c>
      <c r="AS18" t="n">
        <v>97824.9268346998</v>
      </c>
      <c r="AT18" t="n">
        <v>93766.0946095626</v>
      </c>
      <c r="AU18" t="n">
        <v>275021.711894511</v>
      </c>
      <c r="AV18" t="n">
        <v>0</v>
      </c>
      <c r="AW18" t="n">
        <v>1946240.41787896</v>
      </c>
      <c r="AX18" t="n">
        <v>707232.98310583</v>
      </c>
      <c r="AY18" t="n">
        <v>6014394.42909219</v>
      </c>
      <c r="AZ18" t="n">
        <v>0</v>
      </c>
      <c r="BA18" t="n">
        <v>4153507.28430465</v>
      </c>
      <c r="BB18" t="n">
        <v>72777418.4567563</v>
      </c>
      <c r="BC18" t="n">
        <v>251514.884166857</v>
      </c>
      <c r="BD18" t="n">
        <v>9737071.83153794</v>
      </c>
      <c r="BE18" t="n">
        <v>2406160.72748724</v>
      </c>
      <c r="BF18" t="n">
        <v>344391.102391372</v>
      </c>
      <c r="BG18" t="n">
        <v>24349652.9344038</v>
      </c>
      <c r="BH18" t="n">
        <v>9770307.7469784</v>
      </c>
      <c r="BI18" t="n">
        <v>934075.737036402</v>
      </c>
      <c r="BJ18" t="n">
        <v>4455265.60602641</v>
      </c>
      <c r="BK18" t="n">
        <v>140992.28186903</v>
      </c>
      <c r="BL18" t="n">
        <v>2590093.64690534</v>
      </c>
      <c r="BM18" t="n">
        <v>1416123.4232639</v>
      </c>
      <c r="BN18" t="n">
        <v>22129024.9329144</v>
      </c>
      <c r="BO18" t="n">
        <v>22211332.1154422</v>
      </c>
      <c r="BP18" t="n">
        <v>665362.554951941</v>
      </c>
      <c r="BQ18" t="n">
        <v>2987948.9633625</v>
      </c>
      <c r="BR18" t="n">
        <v>0</v>
      </c>
      <c r="BS18" t="n">
        <v>13333649.1730356</v>
      </c>
      <c r="BT18" t="n">
        <v>26109169.1951417</v>
      </c>
      <c r="BU18" t="n">
        <v>94917072.1479661</v>
      </c>
      <c r="BV18" t="n">
        <v>0</v>
      </c>
      <c r="BW18" t="n">
        <v>0</v>
      </c>
      <c r="BX18" t="n">
        <v>0</v>
      </c>
      <c r="BY18" t="n">
        <v>0</v>
      </c>
      <c r="BZ18" t="n">
        <v>23005988.5724725</v>
      </c>
      <c r="CA18" t="n">
        <v>73117586.6190628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</row>
    <row r="19">
      <c r="A19" t="s">
        <v>130</v>
      </c>
      <c r="B19" t="n">
        <v>309768.119228036</v>
      </c>
      <c r="C19" t="n">
        <v>0</v>
      </c>
      <c r="D19" t="n">
        <v>110234282.117048</v>
      </c>
      <c r="E19" t="n">
        <v>4113333.38423336</v>
      </c>
      <c r="F19" t="n">
        <v>10111601.0573787</v>
      </c>
      <c r="G19" t="n">
        <v>27978.8138418805</v>
      </c>
      <c r="H19" t="n">
        <v>40419969.4770391</v>
      </c>
      <c r="I19" t="n">
        <v>998191.542303621</v>
      </c>
      <c r="J19" t="n">
        <v>14517322.8826183</v>
      </c>
      <c r="K19" t="n">
        <v>134937836.974423</v>
      </c>
      <c r="L19" t="n">
        <v>340783335.162693</v>
      </c>
      <c r="M19" t="n">
        <v>145498429.984025</v>
      </c>
      <c r="N19" t="n">
        <v>29852535.8489704</v>
      </c>
      <c r="O19" t="n">
        <v>27192790.6109643</v>
      </c>
      <c r="P19" t="n">
        <v>22638416.0558043</v>
      </c>
      <c r="Q19" t="n">
        <v>38453576.7513193</v>
      </c>
      <c r="R19" t="n">
        <v>21923558.1525422</v>
      </c>
      <c r="S19" t="n">
        <v>40677179.7420906</v>
      </c>
      <c r="T19" t="n">
        <v>14155934.6317156</v>
      </c>
      <c r="U19" t="n">
        <v>178579.318341631</v>
      </c>
      <c r="V19" t="n">
        <v>0</v>
      </c>
      <c r="W19" t="n">
        <v>1166251.56117134</v>
      </c>
      <c r="X19" t="n">
        <v>43584.3745355719</v>
      </c>
      <c r="Y19" t="n">
        <v>19983.6289076492</v>
      </c>
      <c r="Z19" t="n">
        <v>81851.9071332585</v>
      </c>
      <c r="AA19" t="n">
        <v>7074129.2981857</v>
      </c>
      <c r="AB19" t="n">
        <v>3742498.85244056</v>
      </c>
      <c r="AC19" t="n">
        <v>40340.3403375734</v>
      </c>
      <c r="AD19" t="n">
        <v>0</v>
      </c>
      <c r="AE19" t="n">
        <v>0</v>
      </c>
      <c r="AF19" t="n">
        <v>1277785.15026562</v>
      </c>
      <c r="AG19" t="n">
        <v>0</v>
      </c>
      <c r="AH19" t="n">
        <v>5264928.93430519</v>
      </c>
      <c r="AI19" t="n">
        <v>0</v>
      </c>
      <c r="AJ19" t="n">
        <v>0</v>
      </c>
      <c r="AK19" t="n">
        <v>0</v>
      </c>
      <c r="AL19" t="n">
        <v>0</v>
      </c>
      <c r="AM19" t="n">
        <v>1120388.53323549</v>
      </c>
      <c r="AN19" t="n">
        <v>0</v>
      </c>
      <c r="AO19" t="n">
        <v>75793.5022372026</v>
      </c>
      <c r="AP19" t="n">
        <v>13294.6832485755</v>
      </c>
      <c r="AQ19" t="n">
        <v>3801066.86678507</v>
      </c>
      <c r="AR19" t="n">
        <v>3314462.40008564</v>
      </c>
      <c r="AS19" t="n">
        <v>0</v>
      </c>
      <c r="AT19" t="n">
        <v>0</v>
      </c>
      <c r="AU19" t="n">
        <v>0</v>
      </c>
      <c r="AV19" t="n">
        <v>0</v>
      </c>
      <c r="AW19" t="n">
        <v>14073.832343417</v>
      </c>
      <c r="AX19" t="n">
        <v>9161819.61695969</v>
      </c>
      <c r="AY19" t="n">
        <v>413922.349023479</v>
      </c>
      <c r="AZ19" t="n">
        <v>0</v>
      </c>
      <c r="BA19" t="n">
        <v>0</v>
      </c>
      <c r="BB19" t="n">
        <v>12453722.2359787</v>
      </c>
      <c r="BC19" t="n">
        <v>271907.238555167</v>
      </c>
      <c r="BD19" t="n">
        <v>3552077.63265691</v>
      </c>
      <c r="BE19" t="n">
        <v>2055306.84032371</v>
      </c>
      <c r="BF19" t="n">
        <v>694087.052827552</v>
      </c>
      <c r="BG19" t="n">
        <v>968086.192770488</v>
      </c>
      <c r="BH19" t="n">
        <v>124090.509034184</v>
      </c>
      <c r="BI19" t="n">
        <v>64284.9131027649</v>
      </c>
      <c r="BJ19" t="n">
        <v>1565255.23341856</v>
      </c>
      <c r="BK19" t="n">
        <v>121938.937005945</v>
      </c>
      <c r="BL19" t="n">
        <v>3961432.94012196</v>
      </c>
      <c r="BM19" t="n">
        <v>205749.679645503</v>
      </c>
      <c r="BN19" t="n">
        <v>1098018.19643986</v>
      </c>
      <c r="BO19" t="n">
        <v>4962712.39516664</v>
      </c>
      <c r="BP19" t="n">
        <v>1360743.90418531</v>
      </c>
      <c r="BQ19" t="n">
        <v>3659626.17702885</v>
      </c>
      <c r="BR19" t="n">
        <v>0</v>
      </c>
      <c r="BS19" t="n">
        <v>688319.37092399</v>
      </c>
      <c r="BT19" t="n">
        <v>3359677.28137428</v>
      </c>
      <c r="BU19" t="n">
        <v>4332561.17424115</v>
      </c>
      <c r="BV19" t="n">
        <v>0</v>
      </c>
      <c r="BW19" t="n">
        <v>0</v>
      </c>
      <c r="BX19" t="n">
        <v>0</v>
      </c>
      <c r="BY19" t="n">
        <v>0</v>
      </c>
      <c r="BZ19" t="n">
        <v>9081915.09846019</v>
      </c>
      <c r="CA19" t="n">
        <v>88342332.7756231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</row>
    <row r="20">
      <c r="A20" t="s">
        <v>131</v>
      </c>
      <c r="B20" t="n">
        <v>8485480.65873453</v>
      </c>
      <c r="C20" t="n">
        <v>266384.748027885</v>
      </c>
      <c r="D20" t="n">
        <v>152567352.452204</v>
      </c>
      <c r="E20" t="n">
        <v>9515539.14797743</v>
      </c>
      <c r="F20" t="n">
        <v>28081340.9111605</v>
      </c>
      <c r="G20" t="n">
        <v>2785555.66156491</v>
      </c>
      <c r="H20" t="n">
        <v>939154788.261046</v>
      </c>
      <c r="I20" t="n">
        <v>11711140.1647515</v>
      </c>
      <c r="J20" t="n">
        <v>20741526.2036832</v>
      </c>
      <c r="K20" t="n">
        <v>15230987.8746891</v>
      </c>
      <c r="L20" t="n">
        <v>196463390.984441</v>
      </c>
      <c r="M20" t="n">
        <v>97343905.428337</v>
      </c>
      <c r="N20" t="n">
        <v>60150655.1675176</v>
      </c>
      <c r="O20" t="n">
        <v>21935988.9027129</v>
      </c>
      <c r="P20" t="n">
        <v>13353693.6269981</v>
      </c>
      <c r="Q20" t="n">
        <v>71483492.4601626</v>
      </c>
      <c r="R20" t="n">
        <v>30628325.5322208</v>
      </c>
      <c r="S20" t="n">
        <v>44532282.7287413</v>
      </c>
      <c r="T20" t="n">
        <v>110709009.169822</v>
      </c>
      <c r="U20" t="n">
        <v>1030392.13891695</v>
      </c>
      <c r="V20" t="n">
        <v>92835.8723096709</v>
      </c>
      <c r="W20" t="n">
        <v>7013614.69895877</v>
      </c>
      <c r="X20" t="n">
        <v>3927669.92768261</v>
      </c>
      <c r="Y20" t="n">
        <v>6346088.60144189</v>
      </c>
      <c r="Z20" t="n">
        <v>18952760.5822163</v>
      </c>
      <c r="AA20" t="n">
        <v>34232961.8662276</v>
      </c>
      <c r="AB20" t="n">
        <v>18493337.093849</v>
      </c>
      <c r="AC20" t="n">
        <v>2548962.91001948</v>
      </c>
      <c r="AD20" t="n">
        <v>1401027.18851526</v>
      </c>
      <c r="AE20" t="n">
        <v>1312216.45125105</v>
      </c>
      <c r="AF20" t="n">
        <v>4732418.34571822</v>
      </c>
      <c r="AG20" t="n">
        <v>6415219.98869676</v>
      </c>
      <c r="AH20" t="n">
        <v>2443284.56480627</v>
      </c>
      <c r="AI20" t="n">
        <v>181523.400348144</v>
      </c>
      <c r="AJ20" t="n">
        <v>10135286.1550812</v>
      </c>
      <c r="AK20" t="n">
        <v>1255740.58550206</v>
      </c>
      <c r="AL20" t="n">
        <v>40667824.1789173</v>
      </c>
      <c r="AM20" t="n">
        <v>1884825.2321501</v>
      </c>
      <c r="AN20" t="n">
        <v>3981266.73106111</v>
      </c>
      <c r="AO20" t="n">
        <v>7999542.64246988</v>
      </c>
      <c r="AP20" t="n">
        <v>130191.296608799</v>
      </c>
      <c r="AQ20" t="n">
        <v>69696113.9115518</v>
      </c>
      <c r="AR20" t="n">
        <v>15697119.8935192</v>
      </c>
      <c r="AS20" t="n">
        <v>2475092.63763297</v>
      </c>
      <c r="AT20" t="n">
        <v>1410834.0821337</v>
      </c>
      <c r="AU20" t="n">
        <v>0</v>
      </c>
      <c r="AV20" t="n">
        <v>6461.87848213725</v>
      </c>
      <c r="AW20" t="n">
        <v>223139.241851157</v>
      </c>
      <c r="AX20" t="n">
        <v>1645554.0285702</v>
      </c>
      <c r="AY20" t="n">
        <v>10265833.4653529</v>
      </c>
      <c r="AZ20" t="n">
        <v>94332.7159488092</v>
      </c>
      <c r="BA20" t="n">
        <v>33061076.3659703</v>
      </c>
      <c r="BB20" t="n">
        <v>56049245.4969326</v>
      </c>
      <c r="BC20" t="n">
        <v>4515887.05037358</v>
      </c>
      <c r="BD20" t="n">
        <v>14000999.8820918</v>
      </c>
      <c r="BE20" t="n">
        <v>27389039.1259602</v>
      </c>
      <c r="BF20" t="n">
        <v>2388223.53553798</v>
      </c>
      <c r="BG20" t="n">
        <v>2665637.43935115</v>
      </c>
      <c r="BH20" t="n">
        <v>8343721.60712374</v>
      </c>
      <c r="BI20" t="n">
        <v>146556.097214565</v>
      </c>
      <c r="BJ20" t="n">
        <v>10513822.4398292</v>
      </c>
      <c r="BK20" t="n">
        <v>306183.480462324</v>
      </c>
      <c r="BL20" t="n">
        <v>5152553.30192048</v>
      </c>
      <c r="BM20" t="n">
        <v>9301647.03624666</v>
      </c>
      <c r="BN20" t="n">
        <v>23046257.1227542</v>
      </c>
      <c r="BO20" t="n">
        <v>30330389.7706521</v>
      </c>
      <c r="BP20" t="n">
        <v>29838811.3938425</v>
      </c>
      <c r="BQ20" t="n">
        <v>11741508.3985965</v>
      </c>
      <c r="BR20" t="n">
        <v>1628586.36209051</v>
      </c>
      <c r="BS20" t="n">
        <v>23155591.5457694</v>
      </c>
      <c r="BT20" t="n">
        <v>26450628.7975413</v>
      </c>
      <c r="BU20" t="n">
        <v>99537665.2717496</v>
      </c>
      <c r="BV20" t="n">
        <v>0</v>
      </c>
      <c r="BW20" t="n">
        <v>55929438.8378203</v>
      </c>
      <c r="BX20" t="n">
        <v>0</v>
      </c>
      <c r="BY20" t="n">
        <v>0</v>
      </c>
      <c r="BZ20" t="n">
        <v>37037789.2008226</v>
      </c>
      <c r="CA20" t="n">
        <v>321341991.674014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1335346.00481828</v>
      </c>
      <c r="CJ20" t="n">
        <v>0</v>
      </c>
      <c r="CK20" t="n">
        <v>0</v>
      </c>
      <c r="CL20" t="n">
        <v>0</v>
      </c>
      <c r="CM20" t="n">
        <v>484212.007993334</v>
      </c>
      <c r="CN20" t="n">
        <v>0</v>
      </c>
    </row>
    <row r="21">
      <c r="A21" t="s">
        <v>132</v>
      </c>
      <c r="B21" t="n">
        <v>1418652.54293574</v>
      </c>
      <c r="C21" t="n">
        <v>48091.144717342</v>
      </c>
      <c r="D21" t="n">
        <v>179818157.968907</v>
      </c>
      <c r="E21" t="n">
        <v>22695715.7667375</v>
      </c>
      <c r="F21" t="n">
        <v>110345582.373989</v>
      </c>
      <c r="G21" t="n">
        <v>1319039.33842788</v>
      </c>
      <c r="H21" t="n">
        <v>398202404.683159</v>
      </c>
      <c r="I21" t="n">
        <v>1568632.03592239</v>
      </c>
      <c r="J21" t="n">
        <v>788424.570389614</v>
      </c>
      <c r="K21" t="n">
        <v>2447365.26525701</v>
      </c>
      <c r="L21" t="n">
        <v>20908913.4269469</v>
      </c>
      <c r="M21" t="n">
        <v>101639028.723158</v>
      </c>
      <c r="N21" t="n">
        <v>1543657.39561687</v>
      </c>
      <c r="O21" t="n">
        <v>2852692.87009468</v>
      </c>
      <c r="P21" t="n">
        <v>12080291.2429535</v>
      </c>
      <c r="Q21" t="n">
        <v>17525347.8141244</v>
      </c>
      <c r="R21" t="n">
        <v>635390.800611784</v>
      </c>
      <c r="S21" t="n">
        <v>3759668.57375403</v>
      </c>
      <c r="T21" t="n">
        <v>14657984.1198991</v>
      </c>
      <c r="U21" t="n">
        <v>44901.2403462995</v>
      </c>
      <c r="V21" t="n">
        <v>2728.35681112348</v>
      </c>
      <c r="W21" t="n">
        <v>614305.279377849</v>
      </c>
      <c r="X21" t="n">
        <v>4411294.23088303</v>
      </c>
      <c r="Y21" t="n">
        <v>129540.480535425</v>
      </c>
      <c r="Z21" t="n">
        <v>4525371.91491686</v>
      </c>
      <c r="AA21" t="n">
        <v>6770524.59851326</v>
      </c>
      <c r="AB21" t="n">
        <v>13664407.4433587</v>
      </c>
      <c r="AC21" t="n">
        <v>1771064.15313025</v>
      </c>
      <c r="AD21" t="n">
        <v>1388086.16386319</v>
      </c>
      <c r="AE21" t="n">
        <v>1487192.46313635</v>
      </c>
      <c r="AF21" t="n">
        <v>3412449.69976334</v>
      </c>
      <c r="AG21" t="n">
        <v>147401.758074169</v>
      </c>
      <c r="AH21" t="n">
        <v>479634.714639304</v>
      </c>
      <c r="AI21" t="n">
        <v>2957.46356879078</v>
      </c>
      <c r="AJ21" t="n">
        <v>2156184.36312619</v>
      </c>
      <c r="AK21" t="n">
        <v>136578.770405256</v>
      </c>
      <c r="AL21" t="n">
        <v>1414488.73579231</v>
      </c>
      <c r="AM21" t="n">
        <v>359375.512916677</v>
      </c>
      <c r="AN21" t="n">
        <v>8144531.53323491</v>
      </c>
      <c r="AO21" t="n">
        <v>640202.90188182</v>
      </c>
      <c r="AP21" t="n">
        <v>148857.272694955</v>
      </c>
      <c r="AQ21" t="n">
        <v>9714826.61013908</v>
      </c>
      <c r="AR21" t="n">
        <v>8922795.88641557</v>
      </c>
      <c r="AS21" t="n">
        <v>59659.1736187389</v>
      </c>
      <c r="AT21" t="n">
        <v>441132.697154314</v>
      </c>
      <c r="AU21" t="n">
        <v>914631.734096</v>
      </c>
      <c r="AV21" t="n">
        <v>0</v>
      </c>
      <c r="AW21" t="n">
        <v>680087.335850827</v>
      </c>
      <c r="AX21" t="n">
        <v>978150.997479652</v>
      </c>
      <c r="AY21" t="n">
        <v>5574151.1138096</v>
      </c>
      <c r="AZ21" t="n">
        <v>170301.352756098</v>
      </c>
      <c r="BA21" t="n">
        <v>14898375.270725</v>
      </c>
      <c r="BB21" t="n">
        <v>17604805.9405876</v>
      </c>
      <c r="BC21" t="n">
        <v>973739.910046593</v>
      </c>
      <c r="BD21" t="n">
        <v>10686587.4629419</v>
      </c>
      <c r="BE21" t="n">
        <v>21743332.5691171</v>
      </c>
      <c r="BF21" t="n">
        <v>11214498.9158514</v>
      </c>
      <c r="BG21" t="n">
        <v>3064377.70011443</v>
      </c>
      <c r="BH21" t="n">
        <v>5369602.13305498</v>
      </c>
      <c r="BI21" t="n">
        <v>1330123.89870829</v>
      </c>
      <c r="BJ21" t="n">
        <v>1707438.30980025</v>
      </c>
      <c r="BK21" t="n">
        <v>187938.792311292</v>
      </c>
      <c r="BL21" t="n">
        <v>2700882.0196411</v>
      </c>
      <c r="BM21" t="n">
        <v>510521.475764704</v>
      </c>
      <c r="BN21" t="n">
        <v>6432958.23069785</v>
      </c>
      <c r="BO21" t="n">
        <v>37040194.6835278</v>
      </c>
      <c r="BP21" t="n">
        <v>12637015.3006891</v>
      </c>
      <c r="BQ21" t="n">
        <v>804980.828801964</v>
      </c>
      <c r="BR21" t="n">
        <v>517274.231685782</v>
      </c>
      <c r="BS21" t="n">
        <v>19287349.1900218</v>
      </c>
      <c r="BT21" t="n">
        <v>5368093.09761011</v>
      </c>
      <c r="BU21" t="n">
        <v>48755267.4504997</v>
      </c>
      <c r="BV21" t="n">
        <v>0</v>
      </c>
      <c r="BW21" t="n">
        <v>912966995.797988</v>
      </c>
      <c r="BX21" t="n">
        <v>0</v>
      </c>
      <c r="BY21" t="n">
        <v>0</v>
      </c>
      <c r="BZ21" t="n">
        <v>22854593.296866</v>
      </c>
      <c r="CA21" t="n">
        <v>746517636.990769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413148.638315209</v>
      </c>
      <c r="CJ21" t="n">
        <v>0</v>
      </c>
      <c r="CK21" t="n">
        <v>0</v>
      </c>
      <c r="CL21" t="n">
        <v>0</v>
      </c>
      <c r="CM21" t="n">
        <v>72736773.8319094</v>
      </c>
      <c r="CN21" t="n">
        <v>0</v>
      </c>
    </row>
    <row r="22">
      <c r="A22" t="s">
        <v>133</v>
      </c>
      <c r="B22" t="n">
        <v>121070.105655073</v>
      </c>
      <c r="C22" t="n">
        <v>0</v>
      </c>
      <c r="D22" t="n">
        <v>454356.103049201</v>
      </c>
      <c r="E22" t="n">
        <v>42849.9363866214</v>
      </c>
      <c r="F22" t="n">
        <v>112377.799344559</v>
      </c>
      <c r="G22" t="n">
        <v>247182.660282724</v>
      </c>
      <c r="H22" t="n">
        <v>23416486.7738435</v>
      </c>
      <c r="I22" t="n">
        <v>1550171.14776002</v>
      </c>
      <c r="J22" t="n">
        <v>2207434.27473457</v>
      </c>
      <c r="K22" t="n">
        <v>1767754.97978616</v>
      </c>
      <c r="L22" t="n">
        <v>9065688.19557212</v>
      </c>
      <c r="M22" t="n">
        <v>9891566.36500786</v>
      </c>
      <c r="N22" t="n">
        <v>100785072.274954</v>
      </c>
      <c r="O22" t="n">
        <v>3846072.36474529</v>
      </c>
      <c r="P22" t="n">
        <v>1933902.23164184</v>
      </c>
      <c r="Q22" t="n">
        <v>28335398.7102928</v>
      </c>
      <c r="R22" t="n">
        <v>2545274.3928534</v>
      </c>
      <c r="S22" t="n">
        <v>8868420.6372947</v>
      </c>
      <c r="T22" t="n">
        <v>6630146.44413162</v>
      </c>
      <c r="U22" t="n">
        <v>270072.26021268</v>
      </c>
      <c r="V22" t="n">
        <v>17152.7226630513</v>
      </c>
      <c r="W22" t="n">
        <v>759112.175341693</v>
      </c>
      <c r="X22" t="n">
        <v>1866260.68870466</v>
      </c>
      <c r="Y22" t="n">
        <v>362588.042982891</v>
      </c>
      <c r="Z22" t="n">
        <v>4057455.4944685</v>
      </c>
      <c r="AA22" t="n">
        <v>4058422.35971609</v>
      </c>
      <c r="AB22" t="n">
        <v>65994870.2026292</v>
      </c>
      <c r="AC22" t="n">
        <v>1621009.94769082</v>
      </c>
      <c r="AD22" t="n">
        <v>267142.818576921</v>
      </c>
      <c r="AE22" t="n">
        <v>184576.020152655</v>
      </c>
      <c r="AF22" t="n">
        <v>1140874.91073704</v>
      </c>
      <c r="AG22" t="n">
        <v>30550.2258579316</v>
      </c>
      <c r="AH22" t="n">
        <v>159467.379759601</v>
      </c>
      <c r="AI22" t="n">
        <v>62.184209050103</v>
      </c>
      <c r="AJ22" t="n">
        <v>70623.5654515602</v>
      </c>
      <c r="AK22" t="n">
        <v>0</v>
      </c>
      <c r="AL22" t="n">
        <v>0</v>
      </c>
      <c r="AM22" t="n">
        <v>16166.9674837075</v>
      </c>
      <c r="AN22" t="n">
        <v>35925.2694089165</v>
      </c>
      <c r="AO22" t="n">
        <v>6667280.34492644</v>
      </c>
      <c r="AP22" t="n">
        <v>683883.633175981</v>
      </c>
      <c r="AQ22" t="n">
        <v>26082016.7872194</v>
      </c>
      <c r="AR22" t="n">
        <v>9145878.45147946</v>
      </c>
      <c r="AS22" t="n">
        <v>408040.184377497</v>
      </c>
      <c r="AT22" t="n">
        <v>284443.840056092</v>
      </c>
      <c r="AU22" t="n">
        <v>53941.244302222</v>
      </c>
      <c r="AV22" t="n">
        <v>315930.183805793</v>
      </c>
      <c r="AW22" t="n">
        <v>8021.75471557087</v>
      </c>
      <c r="AX22" t="n">
        <v>55870.4266003284</v>
      </c>
      <c r="AY22" t="n">
        <v>196605.034680572</v>
      </c>
      <c r="AZ22" t="n">
        <v>609450.397504747</v>
      </c>
      <c r="BA22" t="n">
        <v>24486189.8781218</v>
      </c>
      <c r="BB22" t="n">
        <v>23407418.5712494</v>
      </c>
      <c r="BC22" t="n">
        <v>9573042.0675727</v>
      </c>
      <c r="BD22" t="n">
        <v>5855359.30314692</v>
      </c>
      <c r="BE22" t="n">
        <v>1706526.22349942</v>
      </c>
      <c r="BF22" t="n">
        <v>2826907.10981069</v>
      </c>
      <c r="BG22" t="n">
        <v>30053968.6250143</v>
      </c>
      <c r="BH22" t="n">
        <v>1225963.83816155</v>
      </c>
      <c r="BI22" t="n">
        <v>244272.629391939</v>
      </c>
      <c r="BJ22" t="n">
        <v>298968.112673761</v>
      </c>
      <c r="BK22" t="n">
        <v>5346.3336401194</v>
      </c>
      <c r="BL22" t="n">
        <v>60751.3175208905</v>
      </c>
      <c r="BM22" t="n">
        <v>481434.461850195</v>
      </c>
      <c r="BN22" t="n">
        <v>176208.687222894</v>
      </c>
      <c r="BO22" t="n">
        <v>5801577.44565005</v>
      </c>
      <c r="BP22" t="n">
        <v>45563702.4582808</v>
      </c>
      <c r="BQ22" t="n">
        <v>11242949.2764634</v>
      </c>
      <c r="BR22" t="n">
        <v>0</v>
      </c>
      <c r="BS22" t="n">
        <v>3713281.90499121</v>
      </c>
      <c r="BT22" t="n">
        <v>2918469.79517394</v>
      </c>
      <c r="BU22" t="n">
        <v>47082849.1309121</v>
      </c>
      <c r="BV22" t="n">
        <v>0</v>
      </c>
      <c r="BW22" t="n">
        <v>441405475.863843</v>
      </c>
      <c r="BX22" t="n">
        <v>0</v>
      </c>
      <c r="BY22" t="n">
        <v>18372.5998169531</v>
      </c>
      <c r="BZ22" t="n">
        <v>16860897.5753486</v>
      </c>
      <c r="CA22" t="n">
        <v>863542578.58081</v>
      </c>
      <c r="CB22" t="n">
        <v>0</v>
      </c>
      <c r="CC22" t="n">
        <v>0</v>
      </c>
      <c r="CD22" t="n">
        <v>0</v>
      </c>
      <c r="CE22" t="n">
        <v>17574592.1793408</v>
      </c>
      <c r="CF22" t="n">
        <v>0</v>
      </c>
      <c r="CG22" t="n">
        <v>0</v>
      </c>
      <c r="CH22" t="n">
        <v>0</v>
      </c>
      <c r="CI22" t="n">
        <v>6045394.79703602</v>
      </c>
      <c r="CJ22" t="n">
        <v>0</v>
      </c>
      <c r="CK22" t="n">
        <v>0</v>
      </c>
      <c r="CL22" t="n">
        <v>0</v>
      </c>
      <c r="CM22" t="n">
        <v>6644296.33312125</v>
      </c>
      <c r="CN22" t="n">
        <v>0</v>
      </c>
    </row>
    <row r="23">
      <c r="A23" t="s">
        <v>134</v>
      </c>
      <c r="B23" t="n">
        <v>569692.33289054</v>
      </c>
      <c r="C23" t="n">
        <v>33199.448750686</v>
      </c>
      <c r="D23" t="n">
        <v>308854.747920445</v>
      </c>
      <c r="E23" t="n">
        <v>7767.42072999892</v>
      </c>
      <c r="F23" t="n">
        <v>611122.714637062</v>
      </c>
      <c r="G23" t="n">
        <v>35411.8846406278</v>
      </c>
      <c r="H23" t="n">
        <v>168079417.006894</v>
      </c>
      <c r="I23" t="n">
        <v>362709.201287667</v>
      </c>
      <c r="J23" t="n">
        <v>59415.0640927947</v>
      </c>
      <c r="K23" t="n">
        <v>2218380.61641907</v>
      </c>
      <c r="L23" t="n">
        <v>4676238.37711728</v>
      </c>
      <c r="M23" t="n">
        <v>18956550.8305958</v>
      </c>
      <c r="N23" t="n">
        <v>5622599.39501504</v>
      </c>
      <c r="O23" t="n">
        <v>8350988.13720988</v>
      </c>
      <c r="P23" t="n">
        <v>1391093.1692734</v>
      </c>
      <c r="Q23" t="n">
        <v>2962643.7645976</v>
      </c>
      <c r="R23" t="n">
        <v>6498.34714371907</v>
      </c>
      <c r="S23" t="n">
        <v>2605549.25185444</v>
      </c>
      <c r="T23" t="n">
        <v>96962.7022608724</v>
      </c>
      <c r="U23" t="n">
        <v>0</v>
      </c>
      <c r="V23" t="n">
        <v>0</v>
      </c>
      <c r="W23" t="n">
        <v>2082.66255281015</v>
      </c>
      <c r="X23" t="n">
        <v>0</v>
      </c>
      <c r="Y23" t="n">
        <v>38541.1600201317</v>
      </c>
      <c r="Z23" t="n">
        <v>950763.336327784</v>
      </c>
      <c r="AA23" t="n">
        <v>1336620.04547254</v>
      </c>
      <c r="AB23" t="n">
        <v>10135665.9774715</v>
      </c>
      <c r="AC23" t="n">
        <v>1239967.15463794</v>
      </c>
      <c r="AD23" t="n">
        <v>538883.981902861</v>
      </c>
      <c r="AE23" t="n">
        <v>3634247.34299945</v>
      </c>
      <c r="AF23" t="n">
        <v>683759.53657546</v>
      </c>
      <c r="AG23" t="n">
        <v>12921.6465920974</v>
      </c>
      <c r="AH23" t="n">
        <v>876836.549079808</v>
      </c>
      <c r="AI23" t="n">
        <v>1341.38586114714</v>
      </c>
      <c r="AJ23" t="n">
        <v>284655.228966985</v>
      </c>
      <c r="AK23" t="n">
        <v>431023.446014727</v>
      </c>
      <c r="AL23" t="n">
        <v>14466.4336140978</v>
      </c>
      <c r="AM23" t="n">
        <v>394897.138661851</v>
      </c>
      <c r="AN23" t="n">
        <v>265223.505413486</v>
      </c>
      <c r="AO23" t="n">
        <v>27408.3993175418</v>
      </c>
      <c r="AP23" t="n">
        <v>0</v>
      </c>
      <c r="AQ23" t="n">
        <v>7700458.5495471</v>
      </c>
      <c r="AR23" t="n">
        <v>1095075.81992024</v>
      </c>
      <c r="AS23" t="n">
        <v>313793.309204642</v>
      </c>
      <c r="AT23" t="n">
        <v>67674.1007218011</v>
      </c>
      <c r="AU23" t="n">
        <v>18252.1647820901</v>
      </c>
      <c r="AV23" t="n">
        <v>0</v>
      </c>
      <c r="AW23" t="n">
        <v>30536.2231914785</v>
      </c>
      <c r="AX23" t="n">
        <v>89798.4866356902</v>
      </c>
      <c r="AY23" t="n">
        <v>1180827.37562085</v>
      </c>
      <c r="AZ23" t="n">
        <v>0</v>
      </c>
      <c r="BA23" t="n">
        <v>17842806.4508909</v>
      </c>
      <c r="BB23" t="n">
        <v>18907510.6866326</v>
      </c>
      <c r="BC23" t="n">
        <v>408434.9280919</v>
      </c>
      <c r="BD23" t="n">
        <v>6145318.96005355</v>
      </c>
      <c r="BE23" t="n">
        <v>1393572.72400235</v>
      </c>
      <c r="BF23" t="n">
        <v>765170.229286234</v>
      </c>
      <c r="BG23" t="n">
        <v>33340.8313529275</v>
      </c>
      <c r="BH23" t="n">
        <v>1705194.25364868</v>
      </c>
      <c r="BI23" t="n">
        <v>98152.6085474178</v>
      </c>
      <c r="BJ23" t="n">
        <v>1836575.76002672</v>
      </c>
      <c r="BK23" t="n">
        <v>20351.7613140054</v>
      </c>
      <c r="BL23" t="n">
        <v>2518170.95391236</v>
      </c>
      <c r="BM23" t="n">
        <v>1119962.02621145</v>
      </c>
      <c r="BN23" t="n">
        <v>1395508.80458143</v>
      </c>
      <c r="BO23" t="n">
        <v>19975141.2262386</v>
      </c>
      <c r="BP23" t="n">
        <v>10695141.5301454</v>
      </c>
      <c r="BQ23" t="n">
        <v>14671585.4249382</v>
      </c>
      <c r="BR23" t="n">
        <v>0</v>
      </c>
      <c r="BS23" t="n">
        <v>3309446.27414442</v>
      </c>
      <c r="BT23" t="n">
        <v>8233096.04815563</v>
      </c>
      <c r="BU23" t="n">
        <v>123705734.386092</v>
      </c>
      <c r="BV23" t="n">
        <v>0</v>
      </c>
      <c r="BW23" t="n">
        <v>43115505.5382852</v>
      </c>
      <c r="BX23" t="n">
        <v>0</v>
      </c>
      <c r="BY23" t="n">
        <v>27066214.7664274</v>
      </c>
      <c r="BZ23" t="n">
        <v>6265753.71076243</v>
      </c>
      <c r="CA23" t="n">
        <v>135883310.706295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205512.793896784</v>
      </c>
      <c r="CJ23" t="n">
        <v>0</v>
      </c>
      <c r="CK23" t="n">
        <v>0</v>
      </c>
      <c r="CL23" t="n">
        <v>0</v>
      </c>
      <c r="CM23" t="n">
        <v>2763066.43688294</v>
      </c>
      <c r="CN23" t="n">
        <v>0</v>
      </c>
    </row>
    <row r="24">
      <c r="A24" t="s">
        <v>135</v>
      </c>
      <c r="B24" t="n">
        <v>2206808.61995145</v>
      </c>
      <c r="C24" t="n">
        <v>58496.2909518594</v>
      </c>
      <c r="D24" t="n">
        <v>8912647.15039531</v>
      </c>
      <c r="E24" t="n">
        <v>2591202.5831475</v>
      </c>
      <c r="F24" t="n">
        <v>4534428.76792855</v>
      </c>
      <c r="G24" t="n">
        <v>44567.5194068879</v>
      </c>
      <c r="H24" t="n">
        <v>6344827.41467081</v>
      </c>
      <c r="I24" t="n">
        <v>1710361.49831927</v>
      </c>
      <c r="J24" t="n">
        <v>1246277.46159694</v>
      </c>
      <c r="K24" t="n">
        <v>495038.845292031</v>
      </c>
      <c r="L24" t="n">
        <v>1935226.10863365</v>
      </c>
      <c r="M24" t="n">
        <v>14980745.6496916</v>
      </c>
      <c r="N24" t="n">
        <v>2014745.89480582</v>
      </c>
      <c r="O24" t="n">
        <v>442848.884888618</v>
      </c>
      <c r="P24" t="n">
        <v>36496629.1160225</v>
      </c>
      <c r="Q24" t="n">
        <v>3938267.91164195</v>
      </c>
      <c r="R24" t="n">
        <v>797673.926141326</v>
      </c>
      <c r="S24" t="n">
        <v>1795610.6682194</v>
      </c>
      <c r="T24" t="n">
        <v>8542247.92333835</v>
      </c>
      <c r="U24" t="n">
        <v>28319.5158690463</v>
      </c>
      <c r="V24" t="n">
        <v>983.310335726295</v>
      </c>
      <c r="W24" t="n">
        <v>367569.601183848</v>
      </c>
      <c r="X24" t="n">
        <v>145793.874063079</v>
      </c>
      <c r="Y24" t="n">
        <v>188162.312888966</v>
      </c>
      <c r="Z24" t="n">
        <v>700639.155077745</v>
      </c>
      <c r="AA24" t="n">
        <v>656369.160128852</v>
      </c>
      <c r="AB24" t="n">
        <v>18257073.6446211</v>
      </c>
      <c r="AC24" t="n">
        <v>10846788.2942727</v>
      </c>
      <c r="AD24" t="n">
        <v>5232432.72174081</v>
      </c>
      <c r="AE24" t="n">
        <v>1053006.72481408</v>
      </c>
      <c r="AF24" t="n">
        <v>7903105.81764435</v>
      </c>
      <c r="AG24" t="n">
        <v>0</v>
      </c>
      <c r="AH24" t="n">
        <v>144051.836852598</v>
      </c>
      <c r="AI24" t="n">
        <v>0</v>
      </c>
      <c r="AJ24" t="n">
        <v>12260178.5359828</v>
      </c>
      <c r="AK24" t="n">
        <v>946966.698874907</v>
      </c>
      <c r="AL24" t="n">
        <v>8496.4534208673</v>
      </c>
      <c r="AM24" t="n">
        <v>201810.736306614</v>
      </c>
      <c r="AN24" t="n">
        <v>2523986.31367597</v>
      </c>
      <c r="AO24" t="n">
        <v>584877.774868305</v>
      </c>
      <c r="AP24" t="n">
        <v>112944.70776597</v>
      </c>
      <c r="AQ24" t="n">
        <v>3282710.99109772</v>
      </c>
      <c r="AR24" t="n">
        <v>909838.958136868</v>
      </c>
      <c r="AS24" t="n">
        <v>221157.222842168</v>
      </c>
      <c r="AT24" t="n">
        <v>36434.2752512548</v>
      </c>
      <c r="AU24" t="n">
        <v>0</v>
      </c>
      <c r="AV24" t="n">
        <v>0</v>
      </c>
      <c r="AW24" t="n">
        <v>0</v>
      </c>
      <c r="AX24" t="n">
        <v>0</v>
      </c>
      <c r="AY24" t="n">
        <v>3920211.50558489</v>
      </c>
      <c r="AZ24" t="n">
        <v>0</v>
      </c>
      <c r="BA24" t="n">
        <v>350180.348308187</v>
      </c>
      <c r="BB24" t="n">
        <v>10988181.6874027</v>
      </c>
      <c r="BC24" t="n">
        <v>1439296.69242306</v>
      </c>
      <c r="BD24" t="n">
        <v>31185136.1981072</v>
      </c>
      <c r="BE24" t="n">
        <v>3798567.14632999</v>
      </c>
      <c r="BF24" t="n">
        <v>832966.630529373</v>
      </c>
      <c r="BG24" t="n">
        <v>1601791.30139962</v>
      </c>
      <c r="BH24" t="n">
        <v>3054694.23612543</v>
      </c>
      <c r="BI24" t="n">
        <v>224520.586137679</v>
      </c>
      <c r="BJ24" t="n">
        <v>5308427.65899328</v>
      </c>
      <c r="BK24" t="n">
        <v>203201.600549651</v>
      </c>
      <c r="BL24" t="n">
        <v>520660.261365755</v>
      </c>
      <c r="BM24" t="n">
        <v>505983.258724927</v>
      </c>
      <c r="BN24" t="n">
        <v>2943361.23053993</v>
      </c>
      <c r="BO24" t="n">
        <v>28454117.0424093</v>
      </c>
      <c r="BP24" t="n">
        <v>13955773.687185</v>
      </c>
      <c r="BQ24" t="n">
        <v>376720.648723338</v>
      </c>
      <c r="BR24" t="n">
        <v>9301548.85257626</v>
      </c>
      <c r="BS24" t="n">
        <v>17452212.4573271</v>
      </c>
      <c r="BT24" t="n">
        <v>2045024.54286224</v>
      </c>
      <c r="BU24" t="n">
        <v>521226460.666829</v>
      </c>
      <c r="BV24" t="n">
        <v>0</v>
      </c>
      <c r="BW24" t="n">
        <v>65982377.5486337</v>
      </c>
      <c r="BX24" t="n">
        <v>0</v>
      </c>
      <c r="BY24" t="n">
        <v>0</v>
      </c>
      <c r="BZ24" t="n">
        <v>6621872.91849693</v>
      </c>
      <c r="CA24" t="n">
        <v>89141789.1778754</v>
      </c>
      <c r="CB24" t="n">
        <v>0</v>
      </c>
      <c r="CC24" t="n">
        <v>0</v>
      </c>
      <c r="CD24" t="n">
        <v>0</v>
      </c>
      <c r="CE24" t="n">
        <v>3482717.36493427</v>
      </c>
      <c r="CF24" t="n">
        <v>0</v>
      </c>
      <c r="CG24" t="n">
        <v>0</v>
      </c>
      <c r="CH24" t="n">
        <v>0</v>
      </c>
      <c r="CI24" t="n">
        <v>153055.133163822</v>
      </c>
      <c r="CJ24" t="n">
        <v>0</v>
      </c>
      <c r="CK24" t="n">
        <v>0</v>
      </c>
      <c r="CL24" t="n">
        <v>0</v>
      </c>
      <c r="CM24" t="n">
        <v>40736678.4235694</v>
      </c>
      <c r="CN24" t="n">
        <v>0</v>
      </c>
    </row>
    <row r="25">
      <c r="A25" t="s">
        <v>136</v>
      </c>
      <c r="B25" t="n">
        <v>0</v>
      </c>
      <c r="C25" t="n">
        <v>37028.2084971618</v>
      </c>
      <c r="D25" t="n">
        <v>0</v>
      </c>
      <c r="E25" t="n">
        <v>0</v>
      </c>
      <c r="F25" t="n">
        <v>0</v>
      </c>
      <c r="G25" t="n">
        <v>0</v>
      </c>
      <c r="H25" t="n">
        <v>276877.335343768</v>
      </c>
      <c r="I25" t="n">
        <v>48136.2516713158</v>
      </c>
      <c r="J25" t="n">
        <v>0</v>
      </c>
      <c r="K25" t="n">
        <v>0</v>
      </c>
      <c r="L25" t="n">
        <v>407173.292179396</v>
      </c>
      <c r="M25" t="n">
        <v>801955.810174066</v>
      </c>
      <c r="N25" t="n">
        <v>0</v>
      </c>
      <c r="O25" t="n">
        <v>0</v>
      </c>
      <c r="P25" t="n">
        <v>381876.252688039</v>
      </c>
      <c r="Q25" t="n">
        <v>245102155.523468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137279.873169611</v>
      </c>
      <c r="AD25" t="n">
        <v>0</v>
      </c>
      <c r="AE25" t="n">
        <v>0</v>
      </c>
      <c r="AF25" t="n">
        <v>0</v>
      </c>
      <c r="AG25" t="n">
        <v>23444474.4719368</v>
      </c>
      <c r="AH25" t="n">
        <v>8670834.02223052</v>
      </c>
      <c r="AI25" t="n">
        <v>106727.88767385</v>
      </c>
      <c r="AJ25" t="n">
        <v>52913.8964884122</v>
      </c>
      <c r="AK25" t="n">
        <v>530807.871829399</v>
      </c>
      <c r="AL25" t="n">
        <v>0</v>
      </c>
      <c r="AM25" t="n">
        <v>11074611.0499023</v>
      </c>
      <c r="AN25" t="n">
        <v>0</v>
      </c>
      <c r="AO25" t="n">
        <v>0</v>
      </c>
      <c r="AP25" t="n">
        <v>0</v>
      </c>
      <c r="AQ25" t="n">
        <v>28586.0558211118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16125554.8488807</v>
      </c>
      <c r="BC25" t="n">
        <v>465028.473085269</v>
      </c>
      <c r="BD25" t="n">
        <v>585307.362038613</v>
      </c>
      <c r="BE25" t="n">
        <v>816001.145925848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338534.382829119</v>
      </c>
      <c r="BM25" t="n">
        <v>0</v>
      </c>
      <c r="BN25" t="n">
        <v>0</v>
      </c>
      <c r="BO25" t="n">
        <v>569837.151400716</v>
      </c>
      <c r="BP25" t="n">
        <v>295551963.639515</v>
      </c>
      <c r="BQ25" t="n">
        <v>3829822.63518227</v>
      </c>
      <c r="BR25" t="n">
        <v>8474.04121842431</v>
      </c>
      <c r="BS25" t="n">
        <v>0</v>
      </c>
      <c r="BT25" t="n">
        <v>366698.101611212</v>
      </c>
      <c r="BU25" t="n">
        <v>139274191.808905</v>
      </c>
      <c r="BV25" t="n">
        <v>0</v>
      </c>
      <c r="BW25" t="n">
        <v>137477699.516888</v>
      </c>
      <c r="BX25" t="n">
        <v>0</v>
      </c>
      <c r="BY25" t="n">
        <v>0</v>
      </c>
      <c r="BZ25" t="n">
        <v>334358369.676564</v>
      </c>
      <c r="CA25" t="n">
        <v>366705988.54664</v>
      </c>
      <c r="CB25" t="n">
        <v>0</v>
      </c>
      <c r="CC25" t="n">
        <v>0</v>
      </c>
      <c r="CD25" t="n">
        <v>0</v>
      </c>
      <c r="CE25" t="n">
        <v>12681702.57846</v>
      </c>
      <c r="CF25" t="n">
        <v>0</v>
      </c>
      <c r="CG25" t="n">
        <v>0</v>
      </c>
      <c r="CH25" t="n">
        <v>0</v>
      </c>
      <c r="CI25" t="n">
        <v>2908075.87683595</v>
      </c>
      <c r="CJ25" t="n">
        <v>0</v>
      </c>
      <c r="CK25" t="n">
        <v>0</v>
      </c>
      <c r="CL25" t="n">
        <v>0</v>
      </c>
      <c r="CM25" t="n">
        <v>986742.989394607</v>
      </c>
      <c r="CN25" t="n">
        <v>0</v>
      </c>
    </row>
    <row r="26">
      <c r="A26" t="s">
        <v>137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261661737.951171</v>
      </c>
      <c r="I26" t="n">
        <v>1333212.8966341</v>
      </c>
      <c r="J26" t="n">
        <v>0</v>
      </c>
      <c r="K26" t="n">
        <v>0</v>
      </c>
      <c r="L26" t="n">
        <v>0</v>
      </c>
      <c r="M26" t="n">
        <v>1370624.93408094</v>
      </c>
      <c r="N26" t="n">
        <v>565114.924101451</v>
      </c>
      <c r="O26" t="n">
        <v>0</v>
      </c>
      <c r="P26" t="n">
        <v>16909.5162135641</v>
      </c>
      <c r="Q26" t="n">
        <v>1236737.59882607</v>
      </c>
      <c r="R26" t="n">
        <v>14685688.7857116</v>
      </c>
      <c r="S26" t="n">
        <v>1127232.06086273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1872545.73048889</v>
      </c>
      <c r="AB26" t="n">
        <v>1037592.11229857</v>
      </c>
      <c r="AC26" t="n">
        <v>538910.204178383</v>
      </c>
      <c r="AD26" t="n">
        <v>0</v>
      </c>
      <c r="AE26" t="n">
        <v>155661.255584321</v>
      </c>
      <c r="AF26" t="n">
        <v>1595892.69391237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14674.3790689677</v>
      </c>
      <c r="AP26" t="n">
        <v>0</v>
      </c>
      <c r="AQ26" t="n">
        <v>1158776.16370449</v>
      </c>
      <c r="AR26" t="n">
        <v>3732303.05906201</v>
      </c>
      <c r="AS26" t="n">
        <v>0</v>
      </c>
      <c r="AT26" t="n">
        <v>0</v>
      </c>
      <c r="AU26" t="n">
        <v>0</v>
      </c>
      <c r="AV26" t="n">
        <v>0</v>
      </c>
      <c r="AW26" t="n">
        <v>17836766.7223852</v>
      </c>
      <c r="AX26" t="n">
        <v>599707.973753959</v>
      </c>
      <c r="AY26" t="n">
        <v>0</v>
      </c>
      <c r="AZ26" t="n">
        <v>83926.4112635795</v>
      </c>
      <c r="BA26" t="n">
        <v>53203.5214105739</v>
      </c>
      <c r="BB26" t="n">
        <v>869758.923016695</v>
      </c>
      <c r="BC26" t="n">
        <v>12148.605514821</v>
      </c>
      <c r="BD26" t="n">
        <v>32576.1019729858</v>
      </c>
      <c r="BE26" t="n">
        <v>0</v>
      </c>
      <c r="BF26" t="n">
        <v>0</v>
      </c>
      <c r="BG26" t="n">
        <v>535517.589421119</v>
      </c>
      <c r="BH26" t="n">
        <v>720754.859458774</v>
      </c>
      <c r="BI26" t="n">
        <v>8297.46750878764</v>
      </c>
      <c r="BJ26" t="n">
        <v>1663545.83341634</v>
      </c>
      <c r="BK26" t="n">
        <v>185236.677461838</v>
      </c>
      <c r="BL26" t="n">
        <v>1238162.66562593</v>
      </c>
      <c r="BM26" t="n">
        <v>25159.0692854223</v>
      </c>
      <c r="BN26" t="n">
        <v>3207384.93824093</v>
      </c>
      <c r="BO26" t="n">
        <v>2223636.73497698</v>
      </c>
      <c r="BP26" t="n">
        <v>0</v>
      </c>
      <c r="BQ26" t="n">
        <v>0</v>
      </c>
      <c r="BR26" t="n">
        <v>997978.912231686</v>
      </c>
      <c r="BS26" t="n">
        <v>112618.736821444</v>
      </c>
      <c r="BT26" t="n">
        <v>3332805.5469988</v>
      </c>
      <c r="BU26" t="n">
        <v>299808794.043836</v>
      </c>
      <c r="BV26" t="n">
        <v>0</v>
      </c>
      <c r="BW26" t="n">
        <v>204457682.002266</v>
      </c>
      <c r="BX26" t="n">
        <v>0</v>
      </c>
      <c r="BY26" t="n">
        <v>5466954.69572023</v>
      </c>
      <c r="BZ26" t="n">
        <v>7880912.01799015</v>
      </c>
      <c r="CA26" t="n">
        <v>30643545.9990751</v>
      </c>
      <c r="CB26" t="n">
        <v>0</v>
      </c>
      <c r="CC26" t="n">
        <v>0</v>
      </c>
      <c r="CD26" t="n">
        <v>0</v>
      </c>
      <c r="CE26" t="n">
        <v>596007.756276341</v>
      </c>
      <c r="CF26" t="n">
        <v>0</v>
      </c>
      <c r="CG26" t="n">
        <v>0</v>
      </c>
      <c r="CH26" t="n">
        <v>0</v>
      </c>
      <c r="CI26" t="n">
        <v>359257.506506657</v>
      </c>
      <c r="CJ26" t="n">
        <v>0</v>
      </c>
      <c r="CK26" t="n">
        <v>0</v>
      </c>
      <c r="CL26" t="n">
        <v>0</v>
      </c>
      <c r="CM26" t="n">
        <v>14929933.414534</v>
      </c>
      <c r="CN26" t="n">
        <v>0</v>
      </c>
    </row>
    <row r="27">
      <c r="A27" t="s">
        <v>138</v>
      </c>
      <c r="B27" t="n">
        <v>819223.324332935</v>
      </c>
      <c r="C27" t="n">
        <v>0</v>
      </c>
      <c r="D27" t="n">
        <v>510040.332548663</v>
      </c>
      <c r="E27" t="n">
        <v>171027.443756808</v>
      </c>
      <c r="F27" t="n">
        <v>420501.377400735</v>
      </c>
      <c r="G27" t="n">
        <v>0</v>
      </c>
      <c r="H27" t="n">
        <v>13189845.2686278</v>
      </c>
      <c r="I27" t="n">
        <v>86390.6478858387</v>
      </c>
      <c r="J27" t="n">
        <v>654117.170014493</v>
      </c>
      <c r="K27" t="n">
        <v>94456.9029722332</v>
      </c>
      <c r="L27" t="n">
        <v>246188.509113825</v>
      </c>
      <c r="M27" t="n">
        <v>5348670.86685859</v>
      </c>
      <c r="N27" t="n">
        <v>9311.18831035016</v>
      </c>
      <c r="O27" t="n">
        <v>709143.582684704</v>
      </c>
      <c r="P27" t="n">
        <v>805390.746619304</v>
      </c>
      <c r="Q27" t="n">
        <v>119294.718085828</v>
      </c>
      <c r="R27" t="n">
        <v>71542.133435766</v>
      </c>
      <c r="S27" t="n">
        <v>49988223.5957836</v>
      </c>
      <c r="T27" t="n">
        <v>525895.656518285</v>
      </c>
      <c r="U27" t="n">
        <v>11849.2424952045</v>
      </c>
      <c r="V27" t="n">
        <v>154368.326696031</v>
      </c>
      <c r="W27" t="n">
        <v>0</v>
      </c>
      <c r="X27" t="n">
        <v>10844.7991277011</v>
      </c>
      <c r="Y27" t="n">
        <v>6629.85129128786</v>
      </c>
      <c r="Z27" t="n">
        <v>575203.433258234</v>
      </c>
      <c r="AA27" t="n">
        <v>654010.063593485</v>
      </c>
      <c r="AB27" t="n">
        <v>5476196.84424079</v>
      </c>
      <c r="AC27" t="n">
        <v>1114174.54196847</v>
      </c>
      <c r="AD27" t="n">
        <v>717668.405997759</v>
      </c>
      <c r="AE27" t="n">
        <v>77798.1016731488</v>
      </c>
      <c r="AF27" t="n">
        <v>3594771.40409476</v>
      </c>
      <c r="AG27" t="n">
        <v>0</v>
      </c>
      <c r="AH27" t="n">
        <v>8438.23466649172</v>
      </c>
      <c r="AI27" t="n">
        <v>0</v>
      </c>
      <c r="AJ27" t="n">
        <v>29017.1256080948</v>
      </c>
      <c r="AK27" t="n">
        <v>93367.3543488614</v>
      </c>
      <c r="AL27" t="n">
        <v>19908.130118898</v>
      </c>
      <c r="AM27" t="n">
        <v>663422.36408379</v>
      </c>
      <c r="AN27" t="n">
        <v>422019.723590957</v>
      </c>
      <c r="AO27" t="n">
        <v>25145.5654526393</v>
      </c>
      <c r="AP27" t="n">
        <v>3308.02428240747</v>
      </c>
      <c r="AQ27" t="n">
        <v>856961.827306174</v>
      </c>
      <c r="AR27" t="n">
        <v>606475.511182514</v>
      </c>
      <c r="AS27" t="n">
        <v>302280.903345689</v>
      </c>
      <c r="AT27" t="n">
        <v>108652.137671682</v>
      </c>
      <c r="AU27" t="n">
        <v>37676.8539980003</v>
      </c>
      <c r="AV27" t="n">
        <v>0</v>
      </c>
      <c r="AW27" t="n">
        <v>0</v>
      </c>
      <c r="AX27" t="n">
        <v>682926.095393157</v>
      </c>
      <c r="AY27" t="n">
        <v>305165.752632179</v>
      </c>
      <c r="AZ27" t="n">
        <v>71906.8608530203</v>
      </c>
      <c r="BA27" t="n">
        <v>288698.416123822</v>
      </c>
      <c r="BB27" t="n">
        <v>12258475.7455115</v>
      </c>
      <c r="BC27" t="n">
        <v>72861.1710201999</v>
      </c>
      <c r="BD27" t="n">
        <v>10987513.8508969</v>
      </c>
      <c r="BE27" t="n">
        <v>2753734.3983108</v>
      </c>
      <c r="BF27" t="n">
        <v>1093238.72917754</v>
      </c>
      <c r="BG27" t="n">
        <v>121046749.846614</v>
      </c>
      <c r="BH27" t="n">
        <v>82561047.6082854</v>
      </c>
      <c r="BI27" t="n">
        <v>2004778.26698765</v>
      </c>
      <c r="BJ27" t="n">
        <v>6513291.97380044</v>
      </c>
      <c r="BK27" t="n">
        <v>457452.302726119</v>
      </c>
      <c r="BL27" t="n">
        <v>2404567.86827403</v>
      </c>
      <c r="BM27" t="n">
        <v>301782.66101041</v>
      </c>
      <c r="BN27" t="n">
        <v>1347493.62490391</v>
      </c>
      <c r="BO27" t="n">
        <v>12025804.972494</v>
      </c>
      <c r="BP27" t="n">
        <v>7481493.97770261</v>
      </c>
      <c r="BQ27" t="n">
        <v>1704520.56031244</v>
      </c>
      <c r="BR27" t="n">
        <v>0</v>
      </c>
      <c r="BS27" t="n">
        <v>24026011.2319683</v>
      </c>
      <c r="BT27" t="n">
        <v>258545.972737032</v>
      </c>
      <c r="BU27" t="n">
        <v>344825656.852379</v>
      </c>
      <c r="BV27" t="n">
        <v>0</v>
      </c>
      <c r="BW27" t="n">
        <v>375328765.916667</v>
      </c>
      <c r="BX27" t="n">
        <v>0</v>
      </c>
      <c r="BY27" t="n">
        <v>0</v>
      </c>
      <c r="BZ27" t="n">
        <v>25978558.5781903</v>
      </c>
      <c r="CA27" t="n">
        <v>269947514.650056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124568.718451582</v>
      </c>
      <c r="CJ27" t="n">
        <v>0</v>
      </c>
      <c r="CK27" t="n">
        <v>0</v>
      </c>
      <c r="CL27" t="n">
        <v>0</v>
      </c>
      <c r="CM27" t="n">
        <v>9350058.32184707</v>
      </c>
      <c r="CN27" t="n">
        <v>0</v>
      </c>
    </row>
    <row r="28">
      <c r="A28" t="s">
        <v>139</v>
      </c>
      <c r="B28" t="n">
        <v>274322624.446721</v>
      </c>
      <c r="C28" t="n">
        <v>648797.10161658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111527.786306034</v>
      </c>
      <c r="J28" t="n">
        <v>3949293.14692123</v>
      </c>
      <c r="K28" t="n">
        <v>21949.3952015828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64490.3333200197</v>
      </c>
      <c r="T28" t="n">
        <v>1389624173.34431</v>
      </c>
      <c r="U28" t="n">
        <v>30288.1068509515</v>
      </c>
      <c r="V28" t="n">
        <v>447052.703434641</v>
      </c>
      <c r="W28" t="n">
        <v>432902.51937211</v>
      </c>
      <c r="X28" t="n">
        <v>1606536.35371268</v>
      </c>
      <c r="Y28" t="n">
        <v>1444321.64505534</v>
      </c>
      <c r="Z28" t="n">
        <v>9562908.59190281</v>
      </c>
      <c r="AA28" t="n">
        <v>831115.453677118</v>
      </c>
      <c r="AB28" t="n">
        <v>22971638.9560603</v>
      </c>
      <c r="AC28" t="n">
        <v>11662.4316809955</v>
      </c>
      <c r="AD28" t="n">
        <v>30296184.1126746</v>
      </c>
      <c r="AE28" t="n">
        <v>10059288.8314809</v>
      </c>
      <c r="AF28" t="n">
        <v>14801980.9984441</v>
      </c>
      <c r="AG28" t="n">
        <v>7479185.10921289</v>
      </c>
      <c r="AH28" t="n">
        <v>19608.3231262589</v>
      </c>
      <c r="AI28" t="n">
        <v>46680.3796764955</v>
      </c>
      <c r="AJ28" t="n">
        <v>151714.036716814</v>
      </c>
      <c r="AK28" t="n">
        <v>0</v>
      </c>
      <c r="AL28" t="n">
        <v>0</v>
      </c>
      <c r="AM28" t="n">
        <v>49200.8227076672</v>
      </c>
      <c r="AN28" t="n">
        <v>0</v>
      </c>
      <c r="AO28" t="n">
        <v>335983.621507747</v>
      </c>
      <c r="AP28" t="n">
        <v>49965.576381453</v>
      </c>
      <c r="AQ28" t="n">
        <v>0</v>
      </c>
      <c r="AR28" t="n">
        <v>1270501.42227929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69453484.869461</v>
      </c>
      <c r="BC28" t="n">
        <v>858648.303350916</v>
      </c>
      <c r="BD28" t="n">
        <v>0</v>
      </c>
      <c r="BE28" t="n">
        <v>0</v>
      </c>
      <c r="BF28" t="n">
        <v>37716521.0101026</v>
      </c>
      <c r="BG28" t="n">
        <v>53309.459275387</v>
      </c>
      <c r="BH28" t="n">
        <v>39981484.5240339</v>
      </c>
      <c r="BI28" t="n">
        <v>36987943.6289333</v>
      </c>
      <c r="BJ28" t="n">
        <v>155290290.811683</v>
      </c>
      <c r="BK28" t="n">
        <v>11063913.4645056</v>
      </c>
      <c r="BL28" t="n">
        <v>100268795.796846</v>
      </c>
      <c r="BM28" t="n">
        <v>77552569.7212404</v>
      </c>
      <c r="BN28" t="n">
        <v>763836270.80216</v>
      </c>
      <c r="BO28" t="n">
        <v>13937328.443857</v>
      </c>
      <c r="BP28" t="n">
        <v>30656168.2595876</v>
      </c>
      <c r="BQ28" t="n">
        <v>530474.285715281</v>
      </c>
      <c r="BR28" t="n">
        <v>7353789.36959529</v>
      </c>
      <c r="BS28" t="n">
        <v>553303663.714985</v>
      </c>
      <c r="BT28" t="n">
        <v>0</v>
      </c>
      <c r="BU28" t="n">
        <v>6635399946.64529</v>
      </c>
      <c r="BV28" t="n">
        <v>0</v>
      </c>
      <c r="BW28" t="n">
        <v>0</v>
      </c>
      <c r="BX28" t="n">
        <v>0</v>
      </c>
      <c r="BY28" t="n">
        <v>0</v>
      </c>
      <c r="BZ28" t="n">
        <v>112516849.28017</v>
      </c>
      <c r="CA28" t="n">
        <v>1409828240.8619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</row>
    <row r="29">
      <c r="A29" t="s">
        <v>140</v>
      </c>
      <c r="B29" t="n">
        <v>67679.3178995884</v>
      </c>
      <c r="C29" t="n">
        <v>11375.7690538463</v>
      </c>
      <c r="D29" t="n">
        <v>0</v>
      </c>
      <c r="E29" t="n">
        <v>0</v>
      </c>
      <c r="F29" t="n">
        <v>0</v>
      </c>
      <c r="G29" t="n">
        <v>0</v>
      </c>
      <c r="H29" t="n">
        <v>6044155.39121444</v>
      </c>
      <c r="I29" t="n">
        <v>533149.580542571</v>
      </c>
      <c r="J29" t="n">
        <v>736646.482559065</v>
      </c>
      <c r="K29" t="n">
        <v>0</v>
      </c>
      <c r="L29" t="n">
        <v>1832.84058891834</v>
      </c>
      <c r="M29" t="n">
        <v>873636.188218294</v>
      </c>
      <c r="N29" t="n">
        <v>5961.56765310599</v>
      </c>
      <c r="O29" t="n">
        <v>0</v>
      </c>
      <c r="P29" t="n">
        <v>463375.68151095</v>
      </c>
      <c r="Q29" t="n">
        <v>1662376.47633162</v>
      </c>
      <c r="R29" t="n">
        <v>3532746.14244617</v>
      </c>
      <c r="S29" t="n">
        <v>6155155.30835272</v>
      </c>
      <c r="T29" t="n">
        <v>286454.074304962</v>
      </c>
      <c r="U29" t="n">
        <v>4393387.59246222</v>
      </c>
      <c r="V29" t="n">
        <v>552446.953194553</v>
      </c>
      <c r="W29" t="n">
        <v>1323056.93042598</v>
      </c>
      <c r="X29" t="n">
        <v>276003.13308965</v>
      </c>
      <c r="Y29" t="n">
        <v>15918.0704246592</v>
      </c>
      <c r="Z29" t="n">
        <v>5532.08646945702</v>
      </c>
      <c r="AA29" t="n">
        <v>1773083.19975169</v>
      </c>
      <c r="AB29" t="n">
        <v>3921686.98801195</v>
      </c>
      <c r="AC29" t="n">
        <v>147813.280286202</v>
      </c>
      <c r="AD29" t="n">
        <v>199113.768508849</v>
      </c>
      <c r="AE29" t="n">
        <v>241938.644936175</v>
      </c>
      <c r="AF29" t="n">
        <v>3045243.79297041</v>
      </c>
      <c r="AG29" t="n">
        <v>0</v>
      </c>
      <c r="AH29" t="n">
        <v>0</v>
      </c>
      <c r="AI29" t="n">
        <v>2050.93160662607</v>
      </c>
      <c r="AJ29" t="n">
        <v>46446.1547886002</v>
      </c>
      <c r="AK29" t="n">
        <v>0</v>
      </c>
      <c r="AL29" t="n">
        <v>6373.1749694462</v>
      </c>
      <c r="AM29" t="n">
        <v>110709.198129908</v>
      </c>
      <c r="AN29" t="n">
        <v>3651.37464746919</v>
      </c>
      <c r="AO29" t="n">
        <v>4024.9156344223</v>
      </c>
      <c r="AP29" t="n">
        <v>203327.110400477</v>
      </c>
      <c r="AQ29" t="n">
        <v>16727.9607258266</v>
      </c>
      <c r="AR29" t="n">
        <v>14708.3755152261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320649.451137935</v>
      </c>
      <c r="AY29" t="n">
        <v>280865.899167952</v>
      </c>
      <c r="AZ29" t="n">
        <v>0</v>
      </c>
      <c r="BA29" t="n">
        <v>0</v>
      </c>
      <c r="BB29" t="n">
        <v>1073515.83459777</v>
      </c>
      <c r="BC29" t="n">
        <v>39985.7019175166</v>
      </c>
      <c r="BD29" t="n">
        <v>80415.297554356</v>
      </c>
      <c r="BE29" t="n">
        <v>34632.3589883397</v>
      </c>
      <c r="BF29" t="n">
        <v>83736.9970769509</v>
      </c>
      <c r="BG29" t="n">
        <v>70503.7188870985</v>
      </c>
      <c r="BH29" t="n">
        <v>114848.456565025</v>
      </c>
      <c r="BI29" t="n">
        <v>482479.060108601</v>
      </c>
      <c r="BJ29" t="n">
        <v>734823.676458134</v>
      </c>
      <c r="BK29" t="n">
        <v>0</v>
      </c>
      <c r="BL29" t="n">
        <v>2603642.39128442</v>
      </c>
      <c r="BM29" t="n">
        <v>731471.62608241</v>
      </c>
      <c r="BN29" t="n">
        <v>261540.587263825</v>
      </c>
      <c r="BO29" t="n">
        <v>835793.228101286</v>
      </c>
      <c r="BP29" t="n">
        <v>2559590.2187073</v>
      </c>
      <c r="BQ29" t="n">
        <v>493698.629404666</v>
      </c>
      <c r="BR29" t="n">
        <v>11901.1951486765</v>
      </c>
      <c r="BS29" t="n">
        <v>2242561.28606887</v>
      </c>
      <c r="BT29" t="n">
        <v>3678.58360056431</v>
      </c>
      <c r="BU29" t="n">
        <v>30947394.3853508</v>
      </c>
      <c r="BV29" t="n">
        <v>0</v>
      </c>
      <c r="BW29" t="n">
        <v>715158.513866103</v>
      </c>
      <c r="BX29" t="n">
        <v>0</v>
      </c>
      <c r="BY29" t="n">
        <v>824865.364592644</v>
      </c>
      <c r="BZ29" t="n">
        <v>1011474.35389004</v>
      </c>
      <c r="CA29" t="n">
        <v>40977307.3297107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5288.67361162418</v>
      </c>
      <c r="CJ29" t="n">
        <v>0</v>
      </c>
      <c r="CK29" t="n">
        <v>0</v>
      </c>
      <c r="CL29" t="n">
        <v>0</v>
      </c>
      <c r="CM29" t="n">
        <v>12484.7852120224</v>
      </c>
      <c r="CN29" t="n">
        <v>0</v>
      </c>
    </row>
    <row r="30">
      <c r="A30" t="s">
        <v>141</v>
      </c>
      <c r="B30" t="n">
        <v>112705.33221698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30121.8282548424</v>
      </c>
      <c r="Q30" t="n">
        <v>0</v>
      </c>
      <c r="R30" t="n">
        <v>0</v>
      </c>
      <c r="S30" t="n">
        <v>418998.893505509</v>
      </c>
      <c r="T30" t="n">
        <v>2510.67150290536</v>
      </c>
      <c r="U30" t="n">
        <v>42449.6117115261</v>
      </c>
      <c r="V30" t="n">
        <v>229196.98211757</v>
      </c>
      <c r="W30" t="n">
        <v>0</v>
      </c>
      <c r="X30" t="n">
        <v>234147.970072572</v>
      </c>
      <c r="Y30" t="n">
        <v>0</v>
      </c>
      <c r="Z30" t="n">
        <v>0</v>
      </c>
      <c r="AA30" t="n">
        <v>1634.32932521292</v>
      </c>
      <c r="AB30" t="n">
        <v>1114678.22534564</v>
      </c>
      <c r="AC30" t="n">
        <v>28896.0096448338</v>
      </c>
      <c r="AD30" t="n">
        <v>0</v>
      </c>
      <c r="AE30" t="n">
        <v>686109.41838076</v>
      </c>
      <c r="AF30" t="n">
        <v>491443.751156652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12064.734723134</v>
      </c>
      <c r="AP30" t="n">
        <v>38092.2215490615</v>
      </c>
      <c r="AQ30" t="n">
        <v>130369.903387349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236707.843062585</v>
      </c>
      <c r="AZ30" t="n">
        <v>0</v>
      </c>
      <c r="BA30" t="n">
        <v>0</v>
      </c>
      <c r="BB30" t="n">
        <v>63563.0040325233</v>
      </c>
      <c r="BC30" t="n">
        <v>19976.2732178936</v>
      </c>
      <c r="BD30" t="n">
        <v>261876.978885142</v>
      </c>
      <c r="BE30" t="n">
        <v>254808.63956379</v>
      </c>
      <c r="BF30" t="n">
        <v>90103.5301879429</v>
      </c>
      <c r="BG30" t="n">
        <v>46963.5055807874</v>
      </c>
      <c r="BH30" t="n">
        <v>41386.4094228979</v>
      </c>
      <c r="BI30" t="n">
        <v>0</v>
      </c>
      <c r="BJ30" t="n">
        <v>84818.988919777</v>
      </c>
      <c r="BK30" t="n">
        <v>277714.015885302</v>
      </c>
      <c r="BL30" t="n">
        <v>79175.5846042252</v>
      </c>
      <c r="BM30" t="n">
        <v>20684.861375257</v>
      </c>
      <c r="BN30" t="n">
        <v>57694.8477453882</v>
      </c>
      <c r="BO30" t="n">
        <v>3243671.05565001</v>
      </c>
      <c r="BP30" t="n">
        <v>159189.325288272</v>
      </c>
      <c r="BQ30" t="n">
        <v>29207.9168691222</v>
      </c>
      <c r="BR30" t="n">
        <v>564838.026552234</v>
      </c>
      <c r="BS30" t="n">
        <v>1410469.30945938</v>
      </c>
      <c r="BT30" t="n">
        <v>56970.7673895769</v>
      </c>
      <c r="BU30" t="n">
        <v>29918382.0490843</v>
      </c>
      <c r="BV30" t="n">
        <v>0</v>
      </c>
      <c r="BW30" t="n">
        <v>0</v>
      </c>
      <c r="BX30" t="n">
        <v>0</v>
      </c>
      <c r="BY30" t="n">
        <v>0</v>
      </c>
      <c r="BZ30" t="n">
        <v>423294.917982234</v>
      </c>
      <c r="CA30" t="n">
        <v>33801749.1494777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</row>
    <row r="31">
      <c r="A31" t="s">
        <v>142</v>
      </c>
      <c r="B31" t="n">
        <v>1198278.51938103</v>
      </c>
      <c r="C31" t="n">
        <v>0</v>
      </c>
      <c r="D31" t="n">
        <v>1074680.6083049</v>
      </c>
      <c r="E31" t="n">
        <v>735141.371673302</v>
      </c>
      <c r="F31" t="n">
        <v>1077397.31746446</v>
      </c>
      <c r="G31" t="n">
        <v>77451.3171299665</v>
      </c>
      <c r="H31" t="n">
        <v>16244354.3864287</v>
      </c>
      <c r="I31" t="n">
        <v>2417350.90879693</v>
      </c>
      <c r="J31" t="n">
        <v>8671210.15045908</v>
      </c>
      <c r="K31" t="n">
        <v>2436071.3937966</v>
      </c>
      <c r="L31" t="n">
        <v>5619672.31003619</v>
      </c>
      <c r="M31" t="n">
        <v>4313223.11923728</v>
      </c>
      <c r="N31" t="n">
        <v>2886368.11548758</v>
      </c>
      <c r="O31" t="n">
        <v>1430477.87574981</v>
      </c>
      <c r="P31" t="n">
        <v>1530878.8259023</v>
      </c>
      <c r="Q31" t="n">
        <v>1664298.68671098</v>
      </c>
      <c r="R31" t="n">
        <v>5689035.90906727</v>
      </c>
      <c r="S31" t="n">
        <v>10772757.0457252</v>
      </c>
      <c r="T31" t="n">
        <v>86331676.8487544</v>
      </c>
      <c r="U31" t="n">
        <v>418246.334969232</v>
      </c>
      <c r="V31" t="n">
        <v>15146.5206095193</v>
      </c>
      <c r="W31" t="n">
        <v>25536866.9895363</v>
      </c>
      <c r="X31" t="n">
        <v>17428561.3310659</v>
      </c>
      <c r="Y31" t="n">
        <v>581687.056707497</v>
      </c>
      <c r="Z31" t="n">
        <v>7431689.64982529</v>
      </c>
      <c r="AA31" t="n">
        <v>10353327.1625491</v>
      </c>
      <c r="AB31" t="n">
        <v>23997336.5266653</v>
      </c>
      <c r="AC31" t="n">
        <v>725859.263254607</v>
      </c>
      <c r="AD31" t="n">
        <v>6399475.47324538</v>
      </c>
      <c r="AE31" t="n">
        <v>2073879.22038687</v>
      </c>
      <c r="AF31" t="n">
        <v>4278818.61698244</v>
      </c>
      <c r="AG31" t="n">
        <v>377678.511185372</v>
      </c>
      <c r="AH31" t="n">
        <v>379776.195470199</v>
      </c>
      <c r="AI31" t="n">
        <v>219.644291455357</v>
      </c>
      <c r="AJ31" t="n">
        <v>726349.634904381</v>
      </c>
      <c r="AK31" t="n">
        <v>4599309.10234872</v>
      </c>
      <c r="AL31" t="n">
        <v>704716.831893022</v>
      </c>
      <c r="AM31" t="n">
        <v>5760390.40488009</v>
      </c>
      <c r="AN31" t="n">
        <v>620048.445219174</v>
      </c>
      <c r="AO31" t="n">
        <v>9333479.97399241</v>
      </c>
      <c r="AP31" t="n">
        <v>112080.387932997</v>
      </c>
      <c r="AQ31" t="n">
        <v>1627737.89799602</v>
      </c>
      <c r="AR31" t="n">
        <v>1082708.10698303</v>
      </c>
      <c r="AS31" t="n">
        <v>3122732.92843811</v>
      </c>
      <c r="AT31" t="n">
        <v>1412859.16865216</v>
      </c>
      <c r="AU31" t="n">
        <v>3080216.55041414</v>
      </c>
      <c r="AV31" t="n">
        <v>6974.4657075514</v>
      </c>
      <c r="AW31" t="n">
        <v>0</v>
      </c>
      <c r="AX31" t="n">
        <v>2795692.93225301</v>
      </c>
      <c r="AY31" t="n">
        <v>2820196.13260419</v>
      </c>
      <c r="AZ31" t="n">
        <v>1269059.22564627</v>
      </c>
      <c r="BA31" t="n">
        <v>3826540.17168399</v>
      </c>
      <c r="BB31" t="n">
        <v>16047092.5677423</v>
      </c>
      <c r="BC31" t="n">
        <v>5721551.15134109</v>
      </c>
      <c r="BD31" t="n">
        <v>22305174.602937</v>
      </c>
      <c r="BE31" t="n">
        <v>1725756.93387239</v>
      </c>
      <c r="BF31" t="n">
        <v>875050.755614809</v>
      </c>
      <c r="BG31" t="n">
        <v>5457187.40726442</v>
      </c>
      <c r="BH31" t="n">
        <v>4202408.36969933</v>
      </c>
      <c r="BI31" t="n">
        <v>2649542.31050749</v>
      </c>
      <c r="BJ31" t="n">
        <v>4877722.79219885</v>
      </c>
      <c r="BK31" t="n">
        <v>363518.566569609</v>
      </c>
      <c r="BL31" t="n">
        <v>1394790.12311915</v>
      </c>
      <c r="BM31" t="n">
        <v>14601420.2203895</v>
      </c>
      <c r="BN31" t="n">
        <v>23178903.0511282</v>
      </c>
      <c r="BO31" t="n">
        <v>4648947.96310997</v>
      </c>
      <c r="BP31" t="n">
        <v>1530661.07650867</v>
      </c>
      <c r="BQ31" t="n">
        <v>9445672.52658104</v>
      </c>
      <c r="BR31" t="n">
        <v>822487.671090558</v>
      </c>
      <c r="BS31" t="n">
        <v>48960129.6646131</v>
      </c>
      <c r="BT31" t="n">
        <v>98784.8431357413</v>
      </c>
      <c r="BU31" t="n">
        <v>94630572.8743949</v>
      </c>
      <c r="BV31" t="n">
        <v>0</v>
      </c>
      <c r="BW31" t="n">
        <v>0</v>
      </c>
      <c r="BX31" t="n">
        <v>0</v>
      </c>
      <c r="BY31" t="n">
        <v>0</v>
      </c>
      <c r="BZ31" t="n">
        <v>2253195.92349633</v>
      </c>
      <c r="CA31" t="n">
        <v>16712163.977126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</row>
    <row r="32">
      <c r="A32" t="s">
        <v>143</v>
      </c>
      <c r="B32" t="n">
        <v>142933.148567752</v>
      </c>
      <c r="C32" t="n">
        <v>0</v>
      </c>
      <c r="D32" t="n">
        <v>247571.303464395</v>
      </c>
      <c r="E32" t="n">
        <v>26683.7010087369</v>
      </c>
      <c r="F32" t="n">
        <v>0</v>
      </c>
      <c r="G32" t="n">
        <v>60825.8632274789</v>
      </c>
      <c r="H32" t="n">
        <v>346069.842595726</v>
      </c>
      <c r="I32" t="n">
        <v>23962.0773264352</v>
      </c>
      <c r="J32" t="n">
        <v>0</v>
      </c>
      <c r="K32" t="n">
        <v>0</v>
      </c>
      <c r="L32" t="n">
        <v>64314.9713118446</v>
      </c>
      <c r="M32" t="n">
        <v>23736.8776443823</v>
      </c>
      <c r="N32" t="n">
        <v>0</v>
      </c>
      <c r="O32" t="n">
        <v>6508.26932903033</v>
      </c>
      <c r="P32" t="n">
        <v>3287.8380553892</v>
      </c>
      <c r="Q32" t="n">
        <v>0</v>
      </c>
      <c r="R32" t="n">
        <v>0</v>
      </c>
      <c r="S32" t="n">
        <v>0</v>
      </c>
      <c r="T32" t="n">
        <v>489852.167008828</v>
      </c>
      <c r="U32" t="n">
        <v>0</v>
      </c>
      <c r="V32" t="n">
        <v>2875.76664352802</v>
      </c>
      <c r="W32" t="n">
        <v>0</v>
      </c>
      <c r="X32" t="n">
        <v>6788326.11141343</v>
      </c>
      <c r="Y32" t="n">
        <v>8275.11495012083</v>
      </c>
      <c r="Z32" t="n">
        <v>400570.671945276</v>
      </c>
      <c r="AA32" t="n">
        <v>0</v>
      </c>
      <c r="AB32" t="n">
        <v>107509673.384961</v>
      </c>
      <c r="AC32" t="n">
        <v>2367894.25814605</v>
      </c>
      <c r="AD32" t="n">
        <v>2314059.51076496</v>
      </c>
      <c r="AE32" t="n">
        <v>2261147.07925165</v>
      </c>
      <c r="AF32" t="n">
        <v>46685258.7161982</v>
      </c>
      <c r="AG32" t="n">
        <v>177560.797175532</v>
      </c>
      <c r="AH32" t="n">
        <v>105322.66678903</v>
      </c>
      <c r="AI32" t="n">
        <v>0</v>
      </c>
      <c r="AJ32" t="n">
        <v>2055372.32054992</v>
      </c>
      <c r="AK32" t="n">
        <v>767775.769980805</v>
      </c>
      <c r="AL32" t="n">
        <v>198788.247805591</v>
      </c>
      <c r="AM32" t="n">
        <v>1867533.33665643</v>
      </c>
      <c r="AN32" t="n">
        <v>85418.6145522415</v>
      </c>
      <c r="AO32" t="n">
        <v>52806420.1847614</v>
      </c>
      <c r="AP32" t="n">
        <v>3109094.43273722</v>
      </c>
      <c r="AQ32" t="n">
        <v>5282906.15464773</v>
      </c>
      <c r="AR32" t="n">
        <v>46290379.2952894</v>
      </c>
      <c r="AS32" t="n">
        <v>8812531.38042875</v>
      </c>
      <c r="AT32" t="n">
        <v>11110763.5540537</v>
      </c>
      <c r="AU32" t="n">
        <v>28835229.8611744</v>
      </c>
      <c r="AV32" t="n">
        <v>0</v>
      </c>
      <c r="AW32" t="n">
        <v>0</v>
      </c>
      <c r="AX32" t="n">
        <v>836164.801021368</v>
      </c>
      <c r="AY32" t="n">
        <v>3732777.61370913</v>
      </c>
      <c r="AZ32" t="n">
        <v>5663304.81299242</v>
      </c>
      <c r="BA32" t="n">
        <v>5727538.15926857</v>
      </c>
      <c r="BB32" t="n">
        <v>83974688.8062303</v>
      </c>
      <c r="BC32" t="n">
        <v>12160297.6037495</v>
      </c>
      <c r="BD32" t="n">
        <v>28903117.1143295</v>
      </c>
      <c r="BE32" t="n">
        <v>184130.412209042</v>
      </c>
      <c r="BF32" t="n">
        <v>5592089.5159704</v>
      </c>
      <c r="BG32" t="n">
        <v>18028117.8636717</v>
      </c>
      <c r="BH32" t="n">
        <v>26243167.4276972</v>
      </c>
      <c r="BI32" t="n">
        <v>1100295.07895094</v>
      </c>
      <c r="BJ32" t="n">
        <v>18017577.5341068</v>
      </c>
      <c r="BK32" t="n">
        <v>7947021.00299917</v>
      </c>
      <c r="BL32" t="n">
        <v>4413654.91806692</v>
      </c>
      <c r="BM32" t="n">
        <v>5192706.84448027</v>
      </c>
      <c r="BN32" t="n">
        <v>11905645.2560227</v>
      </c>
      <c r="BO32" t="n">
        <v>14984964.6348923</v>
      </c>
      <c r="BP32" t="n">
        <v>5947056.85164986</v>
      </c>
      <c r="BQ32" t="n">
        <v>15563780.3636093</v>
      </c>
      <c r="BR32" t="n">
        <v>661226.602513514</v>
      </c>
      <c r="BS32" t="n">
        <v>88519696.4212058</v>
      </c>
      <c r="BT32" t="n">
        <v>2775277.89576071</v>
      </c>
      <c r="BU32" t="n">
        <v>26990121.3730578</v>
      </c>
      <c r="BV32" t="n">
        <v>0</v>
      </c>
      <c r="BW32" t="n">
        <v>0</v>
      </c>
      <c r="BX32" t="n">
        <v>0</v>
      </c>
      <c r="BY32" t="n">
        <v>0</v>
      </c>
      <c r="BZ32" t="n">
        <v>1210660.66818809</v>
      </c>
      <c r="CA32" t="n">
        <v>22137460.2337485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</row>
    <row r="33">
      <c r="A33" t="s">
        <v>144</v>
      </c>
      <c r="B33" t="n">
        <v>53147573.2963228</v>
      </c>
      <c r="C33" t="n">
        <v>691908.811868906</v>
      </c>
      <c r="D33" t="n">
        <v>121656151.88263</v>
      </c>
      <c r="E33" t="n">
        <v>27227476.8184957</v>
      </c>
      <c r="F33" t="n">
        <v>69347172.9832187</v>
      </c>
      <c r="G33" t="n">
        <v>71246134.0986137</v>
      </c>
      <c r="H33" t="n">
        <v>464659759.281147</v>
      </c>
      <c r="I33" t="n">
        <v>3024440.22064754</v>
      </c>
      <c r="J33" t="n">
        <v>5468824.4104025</v>
      </c>
      <c r="K33" t="n">
        <v>4624732.93723413</v>
      </c>
      <c r="L33" t="n">
        <v>3526787.94550751</v>
      </c>
      <c r="M33" t="n">
        <v>2739334.86908184</v>
      </c>
      <c r="N33" t="n">
        <v>1129006.55250215</v>
      </c>
      <c r="O33" t="n">
        <v>1359099.81475216</v>
      </c>
      <c r="P33" t="n">
        <v>243628.025621385</v>
      </c>
      <c r="Q33" t="n">
        <v>888135.268710234</v>
      </c>
      <c r="R33" t="n">
        <v>2010371.88472184</v>
      </c>
      <c r="S33" t="n">
        <v>9284710.15375368</v>
      </c>
      <c r="T33" t="n">
        <v>19965598.3616536</v>
      </c>
      <c r="U33" t="n">
        <v>121652.030461945</v>
      </c>
      <c r="V33" t="n">
        <v>8156.69401128898</v>
      </c>
      <c r="W33" t="n">
        <v>1305100.82729849</v>
      </c>
      <c r="X33" t="n">
        <v>2015633.61407256</v>
      </c>
      <c r="Y33" t="n">
        <v>55720535.1141633</v>
      </c>
      <c r="Z33" t="n">
        <v>14730757.5668611</v>
      </c>
      <c r="AA33" t="n">
        <v>3147418.45091413</v>
      </c>
      <c r="AB33" t="n">
        <v>31535290.5498868</v>
      </c>
      <c r="AC33" t="n">
        <v>6867213.21117041</v>
      </c>
      <c r="AD33" t="n">
        <v>4530927.69437074</v>
      </c>
      <c r="AE33" t="n">
        <v>2331256.66830864</v>
      </c>
      <c r="AF33" t="n">
        <v>10618260.0886636</v>
      </c>
      <c r="AG33" t="n">
        <v>356252008.668523</v>
      </c>
      <c r="AH33" t="n">
        <v>26505035.0960104</v>
      </c>
      <c r="AI33" t="n">
        <v>283508.834445316</v>
      </c>
      <c r="AJ33" t="n">
        <v>111491041.221605</v>
      </c>
      <c r="AK33" t="n">
        <v>12317527.1266224</v>
      </c>
      <c r="AL33" t="n">
        <v>3858738.70119421</v>
      </c>
      <c r="AM33" t="n">
        <v>56055612.7878752</v>
      </c>
      <c r="AN33" t="n">
        <v>16676766.6910062</v>
      </c>
      <c r="AO33" t="n">
        <v>3939176.65850473</v>
      </c>
      <c r="AP33" t="n">
        <v>298634.271313311</v>
      </c>
      <c r="AQ33" t="n">
        <v>5198220.83501905</v>
      </c>
      <c r="AR33" t="n">
        <v>5554702.74142965</v>
      </c>
      <c r="AS33" t="n">
        <v>30976794.5923694</v>
      </c>
      <c r="AT33" t="n">
        <v>23161601.8028764</v>
      </c>
      <c r="AU33" t="n">
        <v>450172.73287908</v>
      </c>
      <c r="AV33" t="n">
        <v>4522554.47782027</v>
      </c>
      <c r="AW33" t="n">
        <v>347129.781899981</v>
      </c>
      <c r="AX33" t="n">
        <v>33445009.7290051</v>
      </c>
      <c r="AY33" t="n">
        <v>11546296.2847411</v>
      </c>
      <c r="AZ33" t="n">
        <v>343664.660161678</v>
      </c>
      <c r="BA33" t="n">
        <v>16648772.9401843</v>
      </c>
      <c r="BB33" t="n">
        <v>22160554.9846826</v>
      </c>
      <c r="BC33" t="n">
        <v>6918450.36102499</v>
      </c>
      <c r="BD33" t="n">
        <v>42784796.0122455</v>
      </c>
      <c r="BE33" t="n">
        <v>12334020.1582733</v>
      </c>
      <c r="BF33" t="n">
        <v>6624641.5505919</v>
      </c>
      <c r="BG33" t="n">
        <v>7179570.47642344</v>
      </c>
      <c r="BH33" t="n">
        <v>6782427.46765613</v>
      </c>
      <c r="BI33" t="n">
        <v>4788204.37894423</v>
      </c>
      <c r="BJ33" t="n">
        <v>6498041.91084443</v>
      </c>
      <c r="BK33" t="n">
        <v>1751686.50575754</v>
      </c>
      <c r="BL33" t="n">
        <v>12174426.5374723</v>
      </c>
      <c r="BM33" t="n">
        <v>7860211.81400821</v>
      </c>
      <c r="BN33" t="n">
        <v>32435165.3938926</v>
      </c>
      <c r="BO33" t="n">
        <v>20064759.2692691</v>
      </c>
      <c r="BP33" t="n">
        <v>76136897.8244824</v>
      </c>
      <c r="BQ33" t="n">
        <v>7327467.59612816</v>
      </c>
      <c r="BR33" t="n">
        <v>12667669.3885798</v>
      </c>
      <c r="BS33" t="n">
        <v>573745075.97922</v>
      </c>
      <c r="BT33" t="n">
        <v>91561583.4634672</v>
      </c>
      <c r="BU33" t="n">
        <v>1409337525.54669</v>
      </c>
      <c r="BV33" t="n">
        <v>0</v>
      </c>
      <c r="BW33" t="n">
        <v>0</v>
      </c>
      <c r="BX33" t="n">
        <v>0</v>
      </c>
      <c r="BY33" t="n">
        <v>0</v>
      </c>
      <c r="BZ33" t="n">
        <v>19043582.8587451</v>
      </c>
      <c r="CA33" t="n">
        <v>13188999.8787639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</row>
    <row r="34">
      <c r="A34" t="s">
        <v>145</v>
      </c>
      <c r="B34" t="n">
        <v>144222268.564934</v>
      </c>
      <c r="C34" t="n">
        <v>2300290.87044526</v>
      </c>
      <c r="D34" t="n">
        <v>113943544.121322</v>
      </c>
      <c r="E34" t="n">
        <v>12189968.1175811</v>
      </c>
      <c r="F34" t="n">
        <v>34265282.6739204</v>
      </c>
      <c r="G34" t="n">
        <v>6532331.58770956</v>
      </c>
      <c r="H34" t="n">
        <v>134123703.213556</v>
      </c>
      <c r="I34" t="n">
        <v>12258360.5848607</v>
      </c>
      <c r="J34" t="n">
        <v>27109166.8977226</v>
      </c>
      <c r="K34" t="n">
        <v>2946493.02560978</v>
      </c>
      <c r="L34" t="n">
        <v>23863731.2875417</v>
      </c>
      <c r="M34" t="n">
        <v>9375073.91140628</v>
      </c>
      <c r="N34" t="n">
        <v>16197100.8889679</v>
      </c>
      <c r="O34" t="n">
        <v>4286864.79712132</v>
      </c>
      <c r="P34" t="n">
        <v>5825046.26906895</v>
      </c>
      <c r="Q34" t="n">
        <v>6459523.02457027</v>
      </c>
      <c r="R34" t="n">
        <v>13295234.1129954</v>
      </c>
      <c r="S34" t="n">
        <v>49927143.1962616</v>
      </c>
      <c r="T34" t="n">
        <v>39389496.9170291</v>
      </c>
      <c r="U34" t="n">
        <v>17112072.1423459</v>
      </c>
      <c r="V34" t="n">
        <v>125118.303444352</v>
      </c>
      <c r="W34" t="n">
        <v>8624068.92449639</v>
      </c>
      <c r="X34" t="n">
        <v>13989349.3483961</v>
      </c>
      <c r="Y34" t="n">
        <v>104379802.163038</v>
      </c>
      <c r="Z34" t="n">
        <v>259898454.189813</v>
      </c>
      <c r="AA34" t="n">
        <v>213540705.827744</v>
      </c>
      <c r="AB34" t="n">
        <v>11388505.8817432</v>
      </c>
      <c r="AC34" t="n">
        <v>1224217.08828904</v>
      </c>
      <c r="AD34" t="n">
        <v>787974.049488103</v>
      </c>
      <c r="AE34" t="n">
        <v>257247.952035054</v>
      </c>
      <c r="AF34" t="n">
        <v>5222433.61945011</v>
      </c>
      <c r="AG34" t="n">
        <v>31660.9881169942</v>
      </c>
      <c r="AH34" t="n">
        <v>1479876.39541208</v>
      </c>
      <c r="AI34" t="n">
        <v>290.003118415564</v>
      </c>
      <c r="AJ34" t="n">
        <v>1265779.58735943</v>
      </c>
      <c r="AK34" t="n">
        <v>107566.349539389</v>
      </c>
      <c r="AL34" t="n">
        <v>53169.1042027901</v>
      </c>
      <c r="AM34" t="n">
        <v>245038.586740196</v>
      </c>
      <c r="AN34" t="n">
        <v>1604337.48051695</v>
      </c>
      <c r="AO34" t="n">
        <v>4219688.36802144</v>
      </c>
      <c r="AP34" t="n">
        <v>686170.792321431</v>
      </c>
      <c r="AQ34" t="n">
        <v>3972675.73478445</v>
      </c>
      <c r="AR34" t="n">
        <v>7665077.3642038</v>
      </c>
      <c r="AS34" t="n">
        <v>320360.559414454</v>
      </c>
      <c r="AT34" t="n">
        <v>345452.119741781</v>
      </c>
      <c r="AU34" t="n">
        <v>335414.822033167</v>
      </c>
      <c r="AV34" t="n">
        <v>0</v>
      </c>
      <c r="AW34" t="n">
        <v>3466693.71138929</v>
      </c>
      <c r="AX34" t="n">
        <v>37589845.2684126</v>
      </c>
      <c r="AY34" t="n">
        <v>923681.676000829</v>
      </c>
      <c r="AZ34" t="n">
        <v>505714.072635552</v>
      </c>
      <c r="BA34" t="n">
        <v>3219403.22931076</v>
      </c>
      <c r="BB34" t="n">
        <v>107814232.068661</v>
      </c>
      <c r="BC34" t="n">
        <v>5698766.21181263</v>
      </c>
      <c r="BD34" t="n">
        <v>69481206.3790775</v>
      </c>
      <c r="BE34" t="n">
        <v>12922840.7880371</v>
      </c>
      <c r="BF34" t="n">
        <v>3898954.82718366</v>
      </c>
      <c r="BG34" t="n">
        <v>239898661.626034</v>
      </c>
      <c r="BH34" t="n">
        <v>78907747.2486861</v>
      </c>
      <c r="BI34" t="n">
        <v>23821794.2942738</v>
      </c>
      <c r="BJ34" t="n">
        <v>3732812.15568439</v>
      </c>
      <c r="BK34" t="n">
        <v>3515585.9767073</v>
      </c>
      <c r="BL34" t="n">
        <v>12859610.2334918</v>
      </c>
      <c r="BM34" t="n">
        <v>805977.942379752</v>
      </c>
      <c r="BN34" t="n">
        <v>5497352.69364602</v>
      </c>
      <c r="BO34" t="n">
        <v>42661930.9221779</v>
      </c>
      <c r="BP34" t="n">
        <v>13582140.5270216</v>
      </c>
      <c r="BQ34" t="n">
        <v>17649204.684942</v>
      </c>
      <c r="BR34" t="n">
        <v>603998.266514035</v>
      </c>
      <c r="BS34" t="n">
        <v>188025117.150874</v>
      </c>
      <c r="BT34" t="n">
        <v>11452148.6126177</v>
      </c>
      <c r="BU34" t="n">
        <v>1376128498.36104</v>
      </c>
      <c r="BV34" t="n">
        <v>0</v>
      </c>
      <c r="BW34" t="n">
        <v>1322816.87072433</v>
      </c>
      <c r="BX34" t="n">
        <v>0</v>
      </c>
      <c r="BY34" t="n">
        <v>0</v>
      </c>
      <c r="BZ34" t="n">
        <v>40765630.0597076</v>
      </c>
      <c r="CA34" t="n">
        <v>556883562.44226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</row>
    <row r="35">
      <c r="A35" t="s">
        <v>146</v>
      </c>
      <c r="B35" t="n">
        <v>14670046.9801453</v>
      </c>
      <c r="C35" t="n">
        <v>211647.486215321</v>
      </c>
      <c r="D35" t="n">
        <v>2690909.71083147</v>
      </c>
      <c r="E35" t="n">
        <v>9210262.66629067</v>
      </c>
      <c r="F35" t="n">
        <v>20258813.750954</v>
      </c>
      <c r="G35" t="n">
        <v>120938.481258791</v>
      </c>
      <c r="H35" t="n">
        <v>356869732.265566</v>
      </c>
      <c r="I35" t="n">
        <v>4185452.91420609</v>
      </c>
      <c r="J35" t="n">
        <v>10145700.6428745</v>
      </c>
      <c r="K35" t="n">
        <v>1610255.42276382</v>
      </c>
      <c r="L35" t="n">
        <v>11610173.9665838</v>
      </c>
      <c r="M35" t="n">
        <v>38151987.8843127</v>
      </c>
      <c r="N35" t="n">
        <v>26052853.5581496</v>
      </c>
      <c r="O35" t="n">
        <v>5323176.22522295</v>
      </c>
      <c r="P35" t="n">
        <v>12654889.2904419</v>
      </c>
      <c r="Q35" t="n">
        <v>20349787.4189277</v>
      </c>
      <c r="R35" t="n">
        <v>23437415.1261282</v>
      </c>
      <c r="S35" t="n">
        <v>50281338.6140456</v>
      </c>
      <c r="T35" t="n">
        <v>156771250.086138</v>
      </c>
      <c r="U35" t="n">
        <v>845326.64443584</v>
      </c>
      <c r="V35" t="n">
        <v>138752.237727246</v>
      </c>
      <c r="W35" t="n">
        <v>4036219.10602043</v>
      </c>
      <c r="X35" t="n">
        <v>9626910.40223377</v>
      </c>
      <c r="Y35" t="n">
        <v>1923378.58310792</v>
      </c>
      <c r="Z35" t="n">
        <v>22846513.7029676</v>
      </c>
      <c r="AA35" t="n">
        <v>102642462.325541</v>
      </c>
      <c r="AB35" t="n">
        <v>178165331.622776</v>
      </c>
      <c r="AC35" t="n">
        <v>11136507.6483919</v>
      </c>
      <c r="AD35" t="n">
        <v>20030607.8521009</v>
      </c>
      <c r="AE35" t="n">
        <v>5174284.11275268</v>
      </c>
      <c r="AF35" t="n">
        <v>31057787.0064433</v>
      </c>
      <c r="AG35" t="n">
        <v>247127.659213649</v>
      </c>
      <c r="AH35" t="n">
        <v>48862.4075429244</v>
      </c>
      <c r="AI35" t="n">
        <v>0</v>
      </c>
      <c r="AJ35" t="n">
        <v>6048952.20814613</v>
      </c>
      <c r="AK35" t="n">
        <v>260785.38362883</v>
      </c>
      <c r="AL35" t="n">
        <v>1590863.14130015</v>
      </c>
      <c r="AM35" t="n">
        <v>15873209.1244527</v>
      </c>
      <c r="AN35" t="n">
        <v>1466247.42308763</v>
      </c>
      <c r="AO35" t="n">
        <v>2853913.06900896</v>
      </c>
      <c r="AP35" t="n">
        <v>294993.653338125</v>
      </c>
      <c r="AQ35" t="n">
        <v>59729384.5901426</v>
      </c>
      <c r="AR35" t="n">
        <v>6480968.11389145</v>
      </c>
      <c r="AS35" t="n">
        <v>391753.18622571</v>
      </c>
      <c r="AT35" t="n">
        <v>970704.97062245</v>
      </c>
      <c r="AU35" t="n">
        <v>5897901.21884987</v>
      </c>
      <c r="AV35" t="n">
        <v>0</v>
      </c>
      <c r="AW35" t="n">
        <v>129779.562014622</v>
      </c>
      <c r="AX35" t="n">
        <v>1001819.10199592</v>
      </c>
      <c r="AY35" t="n">
        <v>10408169.3671358</v>
      </c>
      <c r="AZ35" t="n">
        <v>174881.102645281</v>
      </c>
      <c r="BA35" t="n">
        <v>36039106.1538916</v>
      </c>
      <c r="BB35" t="n">
        <v>91480745.1607723</v>
      </c>
      <c r="BC35" t="n">
        <v>1012583.04557408</v>
      </c>
      <c r="BD35" t="n">
        <v>22120337.3388747</v>
      </c>
      <c r="BE35" t="n">
        <v>4909017.12195076</v>
      </c>
      <c r="BF35" t="n">
        <v>3037088.30937781</v>
      </c>
      <c r="BG35" t="n">
        <v>86018501.2074649</v>
      </c>
      <c r="BH35" t="n">
        <v>26039192.5713412</v>
      </c>
      <c r="BI35" t="n">
        <v>13132009.3467756</v>
      </c>
      <c r="BJ35" t="n">
        <v>11880970.1286862</v>
      </c>
      <c r="BK35" t="n">
        <v>529784.290925533</v>
      </c>
      <c r="BL35" t="n">
        <v>4545737.61276992</v>
      </c>
      <c r="BM35" t="n">
        <v>1897287.29584676</v>
      </c>
      <c r="BN35" t="n">
        <v>86899746.324044</v>
      </c>
      <c r="BO35" t="n">
        <v>33481593.4124929</v>
      </c>
      <c r="BP35" t="n">
        <v>30764980.8905726</v>
      </c>
      <c r="BQ35" t="n">
        <v>6450874.09030692</v>
      </c>
      <c r="BR35" t="n">
        <v>150690.720078858</v>
      </c>
      <c r="BS35" t="n">
        <v>74110561.658581</v>
      </c>
      <c r="BT35" t="n">
        <v>23448465.207705</v>
      </c>
      <c r="BU35" t="n">
        <v>197165750.687125</v>
      </c>
      <c r="BV35" t="n">
        <v>0</v>
      </c>
      <c r="BW35" t="n">
        <v>1928448.94693574</v>
      </c>
      <c r="BX35" t="n">
        <v>0</v>
      </c>
      <c r="BY35" t="n">
        <v>378201.709545525</v>
      </c>
      <c r="BZ35" t="n">
        <v>11743013.5164274</v>
      </c>
      <c r="CA35" t="n">
        <v>162089872.032507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45246.0405423543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</row>
    <row r="36">
      <c r="A36" t="s">
        <v>147</v>
      </c>
      <c r="B36" t="n">
        <v>193037421.834377</v>
      </c>
      <c r="C36" t="n">
        <v>3073528.95967036</v>
      </c>
      <c r="D36" t="n">
        <v>116912802.528804</v>
      </c>
      <c r="E36" t="n">
        <v>23668489.654418</v>
      </c>
      <c r="F36" t="n">
        <v>62414185.6604267</v>
      </c>
      <c r="G36" t="n">
        <v>25184144.0280427</v>
      </c>
      <c r="H36" t="n">
        <v>643317949.873952</v>
      </c>
      <c r="I36" t="n">
        <v>24218719.4156754</v>
      </c>
      <c r="J36" t="n">
        <v>38484472.9942391</v>
      </c>
      <c r="K36" t="n">
        <v>42804138.7300118</v>
      </c>
      <c r="L36" t="n">
        <v>57818934.6382727</v>
      </c>
      <c r="M36" t="n">
        <v>69041693.41863</v>
      </c>
      <c r="N36" t="n">
        <v>61586995.2068215</v>
      </c>
      <c r="O36" t="n">
        <v>13235338.4781609</v>
      </c>
      <c r="P36" t="n">
        <v>22856969.1906174</v>
      </c>
      <c r="Q36" t="n">
        <v>44399058.7965554</v>
      </c>
      <c r="R36" t="n">
        <v>25551700.319966</v>
      </c>
      <c r="S36" t="n">
        <v>53887773.6860016</v>
      </c>
      <c r="T36" t="n">
        <v>348065854.830516</v>
      </c>
      <c r="U36" t="n">
        <v>3964124.59821989</v>
      </c>
      <c r="V36" t="n">
        <v>1155260.29898357</v>
      </c>
      <c r="W36" t="n">
        <v>10319275.4223508</v>
      </c>
      <c r="X36" t="n">
        <v>11043333.4747104</v>
      </c>
      <c r="Y36" t="n">
        <v>43261326.3781323</v>
      </c>
      <c r="Z36" t="n">
        <v>73119838.7943872</v>
      </c>
      <c r="AA36" t="n">
        <v>50686707.9124807</v>
      </c>
      <c r="AB36" t="n">
        <v>275288899.686513</v>
      </c>
      <c r="AC36" t="n">
        <v>22296993.6000921</v>
      </c>
      <c r="AD36" t="n">
        <v>17221517.7449568</v>
      </c>
      <c r="AE36" t="n">
        <v>16368462.1524388</v>
      </c>
      <c r="AF36" t="n">
        <v>70333035.3639154</v>
      </c>
      <c r="AG36" t="n">
        <v>37912204.914587</v>
      </c>
      <c r="AH36" t="n">
        <v>11117209.6942531</v>
      </c>
      <c r="AI36" t="n">
        <v>100792.220050394</v>
      </c>
      <c r="AJ36" t="n">
        <v>37250197.8556478</v>
      </c>
      <c r="AK36" t="n">
        <v>4403953.54161726</v>
      </c>
      <c r="AL36" t="n">
        <v>6648074.45469683</v>
      </c>
      <c r="AM36" t="n">
        <v>21372621.8734508</v>
      </c>
      <c r="AN36" t="n">
        <v>8242909.36088687</v>
      </c>
      <c r="AO36" t="n">
        <v>68197329.0782856</v>
      </c>
      <c r="AP36" t="n">
        <v>757154.906703527</v>
      </c>
      <c r="AQ36" t="n">
        <v>79726720.8865581</v>
      </c>
      <c r="AR36" t="n">
        <v>20188145.6766098</v>
      </c>
      <c r="AS36" t="n">
        <v>9551522.97449139</v>
      </c>
      <c r="AT36" t="n">
        <v>7869465.46617925</v>
      </c>
      <c r="AU36" t="n">
        <v>3983574.14785938</v>
      </c>
      <c r="AV36" t="n">
        <v>2817281.2470097</v>
      </c>
      <c r="AW36" t="n">
        <v>3909896.47687949</v>
      </c>
      <c r="AX36" t="n">
        <v>22419276.6703242</v>
      </c>
      <c r="AY36" t="n">
        <v>61128315.7459316</v>
      </c>
      <c r="AZ36" t="n">
        <v>2386643.70043821</v>
      </c>
      <c r="BA36" t="n">
        <v>36320449.7632321</v>
      </c>
      <c r="BB36" t="n">
        <v>134288977.91803</v>
      </c>
      <c r="BC36" t="n">
        <v>22862560.5890019</v>
      </c>
      <c r="BD36" t="n">
        <v>65559394.2945099</v>
      </c>
      <c r="BE36" t="n">
        <v>19076302.9755019</v>
      </c>
      <c r="BF36" t="n">
        <v>11208787.7489303</v>
      </c>
      <c r="BG36" t="n">
        <v>131073886.216206</v>
      </c>
      <c r="BH36" t="n">
        <v>57817792.8126407</v>
      </c>
      <c r="BI36" t="n">
        <v>14399203.700083</v>
      </c>
      <c r="BJ36" t="n">
        <v>25964749.4651464</v>
      </c>
      <c r="BK36" t="n">
        <v>3671900.89468736</v>
      </c>
      <c r="BL36" t="n">
        <v>35138265.8747365</v>
      </c>
      <c r="BM36" t="n">
        <v>23624300.9681258</v>
      </c>
      <c r="BN36" t="n">
        <v>153308145.424317</v>
      </c>
      <c r="BO36" t="n">
        <v>65502652.7648473</v>
      </c>
      <c r="BP36" t="n">
        <v>74517559.3414694</v>
      </c>
      <c r="BQ36" t="n">
        <v>22723038.2904774</v>
      </c>
      <c r="BR36" t="n">
        <v>9207135.5672232</v>
      </c>
      <c r="BS36" t="n">
        <v>200180653.389707</v>
      </c>
      <c r="BT36" t="n">
        <v>40606089.2486326</v>
      </c>
      <c r="BU36" t="n">
        <v>3019000366.88264</v>
      </c>
      <c r="BV36" t="n">
        <v>446396.791780213</v>
      </c>
      <c r="BW36" t="n">
        <v>1047064285.41483</v>
      </c>
      <c r="BX36" t="n">
        <v>120870557.420445</v>
      </c>
      <c r="BY36" t="n">
        <v>20564891.7883432</v>
      </c>
      <c r="BZ36" t="n">
        <v>158556706.618857</v>
      </c>
      <c r="CA36" t="n">
        <v>3583810797.27056</v>
      </c>
      <c r="CB36" t="n">
        <v>0</v>
      </c>
      <c r="CC36" t="n">
        <v>0</v>
      </c>
      <c r="CD36" t="n">
        <v>0</v>
      </c>
      <c r="CE36" t="n">
        <v>63955905.2098852</v>
      </c>
      <c r="CF36" t="n">
        <v>5655722.42957272</v>
      </c>
      <c r="CG36" t="n">
        <v>0</v>
      </c>
      <c r="CH36" t="n">
        <v>0</v>
      </c>
      <c r="CI36" t="n">
        <v>2157484.32005858</v>
      </c>
      <c r="CJ36" t="n">
        <v>0</v>
      </c>
      <c r="CK36" t="n">
        <v>0</v>
      </c>
      <c r="CL36" t="n">
        <v>0</v>
      </c>
      <c r="CM36" t="n">
        <v>60198134.8113195</v>
      </c>
      <c r="CN36" t="n">
        <v>13676446.2122709</v>
      </c>
    </row>
    <row r="37">
      <c r="A37" t="s">
        <v>148</v>
      </c>
      <c r="B37" t="n">
        <v>224253.445317226</v>
      </c>
      <c r="C37" t="n">
        <v>9941.08453767891</v>
      </c>
      <c r="D37" t="n">
        <v>9044738.83284558</v>
      </c>
      <c r="E37" t="n">
        <v>3412006.40660543</v>
      </c>
      <c r="F37" t="n">
        <v>9826652.67760155</v>
      </c>
      <c r="G37" t="n">
        <v>190864.184128579</v>
      </c>
      <c r="H37" t="n">
        <v>54011851.4017917</v>
      </c>
      <c r="I37" t="n">
        <v>2678647.07838603</v>
      </c>
      <c r="J37" t="n">
        <v>3065128.82336737</v>
      </c>
      <c r="K37" t="n">
        <v>651107.618513028</v>
      </c>
      <c r="L37" t="n">
        <v>3879286.30361828</v>
      </c>
      <c r="M37" t="n">
        <v>16553945.4578633</v>
      </c>
      <c r="N37" t="n">
        <v>2516289.51471622</v>
      </c>
      <c r="O37" t="n">
        <v>15316.6200567777</v>
      </c>
      <c r="P37" t="n">
        <v>4174450.24886619</v>
      </c>
      <c r="Q37" t="n">
        <v>6733560.79263162</v>
      </c>
      <c r="R37" t="n">
        <v>1698713.13855014</v>
      </c>
      <c r="S37" t="n">
        <v>5347826.08733235</v>
      </c>
      <c r="T37" t="n">
        <v>20735434.6067863</v>
      </c>
      <c r="U37" t="n">
        <v>78894.3524717146</v>
      </c>
      <c r="V37" t="n">
        <v>0</v>
      </c>
      <c r="W37" t="n">
        <v>867147.13954303</v>
      </c>
      <c r="X37" t="n">
        <v>350414.338002645</v>
      </c>
      <c r="Y37" t="n">
        <v>19474.7305634394</v>
      </c>
      <c r="Z37" t="n">
        <v>2141636.13712815</v>
      </c>
      <c r="AA37" t="n">
        <v>1390803.17444041</v>
      </c>
      <c r="AB37" t="n">
        <v>1740903.70699386</v>
      </c>
      <c r="AC37" t="n">
        <v>21425608.3359805</v>
      </c>
      <c r="AD37" t="n">
        <v>12390951.6080962</v>
      </c>
      <c r="AE37" t="n">
        <v>2459381.00857991</v>
      </c>
      <c r="AF37" t="n">
        <v>18354772.9027367</v>
      </c>
      <c r="AG37" t="n">
        <v>0</v>
      </c>
      <c r="AH37" t="n">
        <v>132195.903520547</v>
      </c>
      <c r="AI37" t="n">
        <v>0</v>
      </c>
      <c r="AJ37" t="n">
        <v>17757459.0953278</v>
      </c>
      <c r="AK37" t="n">
        <v>64531.8021201414</v>
      </c>
      <c r="AL37" t="n">
        <v>38985.8387519597</v>
      </c>
      <c r="AM37" t="n">
        <v>152030.719448939</v>
      </c>
      <c r="AN37" t="n">
        <v>580738.721548317</v>
      </c>
      <c r="AO37" t="n">
        <v>1206434.92774619</v>
      </c>
      <c r="AP37" t="n">
        <v>239688.294087753</v>
      </c>
      <c r="AQ37" t="n">
        <v>1473521.68894011</v>
      </c>
      <c r="AR37" t="n">
        <v>215936.96412438</v>
      </c>
      <c r="AS37" t="n">
        <v>620141.091139039</v>
      </c>
      <c r="AT37" t="n">
        <v>106386.051679031</v>
      </c>
      <c r="AU37" t="n">
        <v>172158.245921346</v>
      </c>
      <c r="AV37" t="n">
        <v>0</v>
      </c>
      <c r="AW37" t="n">
        <v>1810436.95455714</v>
      </c>
      <c r="AX37" t="n">
        <v>3196940.41501004</v>
      </c>
      <c r="AY37" t="n">
        <v>8396311.2401452</v>
      </c>
      <c r="AZ37" t="n">
        <v>0</v>
      </c>
      <c r="BA37" t="n">
        <v>743887.43057881</v>
      </c>
      <c r="BB37" t="n">
        <v>12112256.9044075</v>
      </c>
      <c r="BC37" t="n">
        <v>0</v>
      </c>
      <c r="BD37" t="n">
        <v>48408040.5725971</v>
      </c>
      <c r="BE37" t="n">
        <v>1251854.30301079</v>
      </c>
      <c r="BF37" t="n">
        <v>0</v>
      </c>
      <c r="BG37" t="n">
        <v>0</v>
      </c>
      <c r="BH37" t="n">
        <v>0</v>
      </c>
      <c r="BI37" t="n">
        <v>0</v>
      </c>
      <c r="BJ37" t="n">
        <v>0</v>
      </c>
      <c r="BK37" t="n">
        <v>91410.5146289562</v>
      </c>
      <c r="BL37" t="n">
        <v>623228.130466736</v>
      </c>
      <c r="BM37" t="n">
        <v>696508.793447637</v>
      </c>
      <c r="BN37" t="n">
        <v>2680335.26322876</v>
      </c>
      <c r="BO37" t="n">
        <v>60720656.0862505</v>
      </c>
      <c r="BP37" t="n">
        <v>0</v>
      </c>
      <c r="BQ37" t="n">
        <v>0</v>
      </c>
      <c r="BR37" t="n">
        <v>0</v>
      </c>
      <c r="BS37" t="n">
        <v>0</v>
      </c>
      <c r="BT37" t="n">
        <v>33753.819981738</v>
      </c>
      <c r="BU37" t="n">
        <v>4994128174.48346</v>
      </c>
      <c r="BV37" t="n">
        <v>0</v>
      </c>
      <c r="BW37" t="n">
        <v>530950777.663011</v>
      </c>
      <c r="BX37" t="n">
        <v>0</v>
      </c>
      <c r="BY37" t="n">
        <v>114354.071200033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</row>
    <row r="38">
      <c r="A38" t="s">
        <v>149</v>
      </c>
      <c r="B38" t="n">
        <v>862513.251220102</v>
      </c>
      <c r="C38" t="n">
        <v>0</v>
      </c>
      <c r="D38" t="n">
        <v>55489.1952935311</v>
      </c>
      <c r="E38" t="n">
        <v>0</v>
      </c>
      <c r="F38" t="n">
        <v>0</v>
      </c>
      <c r="G38" t="n">
        <v>1104285.63674392</v>
      </c>
      <c r="H38" t="n">
        <v>5403770.67638797</v>
      </c>
      <c r="I38" t="n">
        <v>0</v>
      </c>
      <c r="J38" t="n">
        <v>45748.1913935429</v>
      </c>
      <c r="K38" t="n">
        <v>0</v>
      </c>
      <c r="L38" t="n">
        <v>22423.6202521288</v>
      </c>
      <c r="M38" t="n">
        <v>139656.457743503</v>
      </c>
      <c r="N38" t="n">
        <v>18233.9819906972</v>
      </c>
      <c r="O38" t="n">
        <v>10211.0800378518</v>
      </c>
      <c r="P38" t="n">
        <v>10316.8371921314</v>
      </c>
      <c r="Q38" t="n">
        <v>0</v>
      </c>
      <c r="R38" t="n">
        <v>87562.5329149556</v>
      </c>
      <c r="S38" t="n">
        <v>239130.434799414</v>
      </c>
      <c r="T38" t="n">
        <v>215193.539284661</v>
      </c>
      <c r="U38" t="n">
        <v>0</v>
      </c>
      <c r="V38" t="n">
        <v>0</v>
      </c>
      <c r="W38" t="n">
        <v>2806.30142246935</v>
      </c>
      <c r="X38" t="n">
        <v>148660.628243546</v>
      </c>
      <c r="Y38" t="n">
        <v>25966.3074179192</v>
      </c>
      <c r="Z38" t="n">
        <v>246554.047389471</v>
      </c>
      <c r="AA38" t="n">
        <v>10005.7782333842</v>
      </c>
      <c r="AB38" t="n">
        <v>139272.296559509</v>
      </c>
      <c r="AC38" t="n">
        <v>216221.735500721</v>
      </c>
      <c r="AD38" t="n">
        <v>515313.677463357</v>
      </c>
      <c r="AE38" t="n">
        <v>195879.903338223</v>
      </c>
      <c r="AF38" t="n">
        <v>662211.41453011</v>
      </c>
      <c r="AG38" t="n">
        <v>0</v>
      </c>
      <c r="AH38" t="n">
        <v>66097.9517602737</v>
      </c>
      <c r="AI38" t="n">
        <v>0</v>
      </c>
      <c r="AJ38" t="n">
        <v>2969047.16073881</v>
      </c>
      <c r="AK38" t="n">
        <v>301148.409893993</v>
      </c>
      <c r="AL38" t="n">
        <v>0</v>
      </c>
      <c r="AM38" t="n">
        <v>469913.132842174</v>
      </c>
      <c r="AN38" t="n">
        <v>0</v>
      </c>
      <c r="AO38" t="n">
        <v>24621.120974412</v>
      </c>
      <c r="AP38" t="n">
        <v>0</v>
      </c>
      <c r="AQ38" t="n">
        <v>0</v>
      </c>
      <c r="AR38" t="n">
        <v>35989.4940207301</v>
      </c>
      <c r="AS38" t="n">
        <v>56376.4628308217</v>
      </c>
      <c r="AT38" t="n">
        <v>45594.0221481561</v>
      </c>
      <c r="AU38" t="n">
        <v>12297.0175658104</v>
      </c>
      <c r="AV38" t="n">
        <v>0</v>
      </c>
      <c r="AW38" t="n">
        <v>1426404.87328745</v>
      </c>
      <c r="AX38" t="n">
        <v>280209.916853469</v>
      </c>
      <c r="AY38" t="n">
        <v>44820.166762341</v>
      </c>
      <c r="AZ38" t="n">
        <v>0</v>
      </c>
      <c r="BA38" t="n">
        <v>29755.4972231524</v>
      </c>
      <c r="BB38" t="n">
        <v>121609.005064333</v>
      </c>
      <c r="BC38" t="n">
        <v>0</v>
      </c>
      <c r="BD38" t="n">
        <v>1366429.44785276</v>
      </c>
      <c r="BE38" t="n">
        <v>0</v>
      </c>
      <c r="BF38" t="n">
        <v>118207.851886384</v>
      </c>
      <c r="BG38" t="n">
        <v>35940.3100903824</v>
      </c>
      <c r="BH38" t="n">
        <v>57585.9283923714</v>
      </c>
      <c r="BI38" t="n">
        <v>13921.7441743166</v>
      </c>
      <c r="BJ38" t="n">
        <v>16227.6044219354</v>
      </c>
      <c r="BK38" t="n">
        <v>146256.82340633</v>
      </c>
      <c r="BL38" t="n">
        <v>588604.345440807</v>
      </c>
      <c r="BM38" t="n">
        <v>780934.10174432</v>
      </c>
      <c r="BN38" t="n">
        <v>27592908.7563395</v>
      </c>
      <c r="BO38" t="n">
        <v>513243.516983912</v>
      </c>
      <c r="BP38" t="n">
        <v>0</v>
      </c>
      <c r="BQ38" t="n">
        <v>0</v>
      </c>
      <c r="BR38" t="n">
        <v>0</v>
      </c>
      <c r="BS38" t="n">
        <v>377910.306151209</v>
      </c>
      <c r="BT38" t="n">
        <v>0</v>
      </c>
      <c r="BU38" t="n">
        <v>4963884287.39034</v>
      </c>
      <c r="BV38" t="n">
        <v>0</v>
      </c>
      <c r="BW38" t="n">
        <v>5506576.81789453</v>
      </c>
      <c r="BX38" t="n">
        <v>23332.9526181971</v>
      </c>
      <c r="BY38" t="n">
        <v>160627.909503619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</row>
    <row r="39">
      <c r="A39" t="s">
        <v>150</v>
      </c>
      <c r="B39" t="n">
        <v>49353.3951951087</v>
      </c>
      <c r="C39" t="n">
        <v>0</v>
      </c>
      <c r="D39" t="n">
        <v>12026.957005756</v>
      </c>
      <c r="E39" t="n">
        <v>3175.90574805883</v>
      </c>
      <c r="F39" t="n">
        <v>8329.09752006116</v>
      </c>
      <c r="G39" t="n">
        <v>60871.0729060321</v>
      </c>
      <c r="H39" t="n">
        <v>871421.657484351</v>
      </c>
      <c r="I39" t="n">
        <v>3259.40218140926</v>
      </c>
      <c r="J39" t="n">
        <v>5453.60840860777</v>
      </c>
      <c r="K39" t="n">
        <v>641.471591701292</v>
      </c>
      <c r="L39" t="n">
        <v>5346.20671258701</v>
      </c>
      <c r="M39" t="n">
        <v>28857.1297731054</v>
      </c>
      <c r="N39" t="n">
        <v>4742.53013659566</v>
      </c>
      <c r="O39" t="n">
        <v>1217.25537685968</v>
      </c>
      <c r="P39" t="n">
        <v>4723.79047857962</v>
      </c>
      <c r="Q39" t="n">
        <v>5659.12957701863</v>
      </c>
      <c r="R39" t="n">
        <v>11766.7719657802</v>
      </c>
      <c r="S39" t="n">
        <v>30626.8870391835</v>
      </c>
      <c r="T39" t="n">
        <v>40978.2715404418</v>
      </c>
      <c r="U39" t="n">
        <v>301.762716832133</v>
      </c>
      <c r="V39" t="n">
        <v>0</v>
      </c>
      <c r="W39" t="n">
        <v>1034.02388225265</v>
      </c>
      <c r="X39" t="n">
        <v>10817.1566193028</v>
      </c>
      <c r="Y39" t="n">
        <v>1125.60890912744</v>
      </c>
      <c r="Z39" t="n">
        <v>15403.04650421</v>
      </c>
      <c r="AA39" t="n">
        <v>2602.43236151749</v>
      </c>
      <c r="AB39" t="n">
        <v>11319.9194497693</v>
      </c>
      <c r="AC39" t="n">
        <v>37491.8324595747</v>
      </c>
      <c r="AD39" t="n">
        <v>23353.6169343065</v>
      </c>
      <c r="AE39" t="n">
        <v>5189.04442088265</v>
      </c>
      <c r="AF39" t="n">
        <v>36194.6308575964</v>
      </c>
      <c r="AG39" t="n">
        <v>0</v>
      </c>
      <c r="AH39" t="n">
        <v>4297.90278873635</v>
      </c>
      <c r="AI39" t="n">
        <v>4.60890268724821</v>
      </c>
      <c r="AJ39" t="n">
        <v>182896.159714106</v>
      </c>
      <c r="AK39" t="n">
        <v>16784.2666774453</v>
      </c>
      <c r="AL39" t="n">
        <v>844.995145492435</v>
      </c>
      <c r="AM39" t="n">
        <v>26960.5350444557</v>
      </c>
      <c r="AN39" t="n">
        <v>484.121943344939</v>
      </c>
      <c r="AO39" t="n">
        <v>2668.24164439893</v>
      </c>
      <c r="AP39" t="n">
        <v>280.816374326585</v>
      </c>
      <c r="AQ39" t="n">
        <v>1330.73819643209</v>
      </c>
      <c r="AR39" t="n">
        <v>1950.12783550266</v>
      </c>
      <c r="AS39" t="n">
        <v>4582.22513646232</v>
      </c>
      <c r="AT39" t="n">
        <v>2635.26303307453</v>
      </c>
      <c r="AU39" t="n">
        <v>799.591888730829</v>
      </c>
      <c r="AV39" t="n">
        <v>0</v>
      </c>
      <c r="AW39" t="n">
        <v>160527.915463523</v>
      </c>
      <c r="AX39" t="n">
        <v>43341.8859085719</v>
      </c>
      <c r="AY39" t="n">
        <v>15219.3955010094</v>
      </c>
      <c r="AZ39" t="n">
        <v>305.206706935898</v>
      </c>
      <c r="BA39" t="n">
        <v>2579.73166772138</v>
      </c>
      <c r="BB39" t="n">
        <v>20032.1082949624</v>
      </c>
      <c r="BC39" t="n">
        <v>0</v>
      </c>
      <c r="BD39" t="n">
        <v>129523.068599408</v>
      </c>
      <c r="BE39" t="n">
        <v>1252.30183310493</v>
      </c>
      <c r="BF39" t="n">
        <v>14518.4857836536</v>
      </c>
      <c r="BG39" t="n">
        <v>3894.92550706496</v>
      </c>
      <c r="BH39" t="n">
        <v>1997.02585340562</v>
      </c>
      <c r="BI39" t="n">
        <v>301.745624069554</v>
      </c>
      <c r="BJ39" t="n">
        <v>1055.17136979522</v>
      </c>
      <c r="BK39" t="n">
        <v>1585.01535082762</v>
      </c>
      <c r="BL39" t="n">
        <v>5253.15135994338</v>
      </c>
      <c r="BM39" t="n">
        <v>27905.5014270575</v>
      </c>
      <c r="BN39" t="n">
        <v>131951.509215806</v>
      </c>
      <c r="BO39" t="n">
        <v>109958.94881018</v>
      </c>
      <c r="BP39" t="n">
        <v>0</v>
      </c>
      <c r="BQ39" t="n">
        <v>1291.9269577788</v>
      </c>
      <c r="BR39" t="n">
        <v>0</v>
      </c>
      <c r="BS39" t="n">
        <v>9010.08219361723</v>
      </c>
      <c r="BT39" t="n">
        <v>0</v>
      </c>
      <c r="BU39" t="n">
        <v>93980125.2899372</v>
      </c>
      <c r="BV39" t="n">
        <v>0</v>
      </c>
      <c r="BW39" t="n">
        <v>931095.28381556</v>
      </c>
      <c r="BX39" t="n">
        <v>249450.855553008</v>
      </c>
      <c r="BY39" t="n">
        <v>77402.4798774534</v>
      </c>
      <c r="BZ39" t="n">
        <v>0</v>
      </c>
      <c r="CA39" t="n">
        <v>0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</row>
    <row r="40">
      <c r="A40" t="s">
        <v>151</v>
      </c>
      <c r="B40" t="n">
        <v>21259144.5099567</v>
      </c>
      <c r="C40" t="n">
        <v>90750.7056862084</v>
      </c>
      <c r="D40" t="n">
        <v>2743827.35240886</v>
      </c>
      <c r="E40" t="n">
        <v>2054219.94524894</v>
      </c>
      <c r="F40" t="n">
        <v>835252.085519024</v>
      </c>
      <c r="G40" t="n">
        <v>28842466.1220686</v>
      </c>
      <c r="H40" t="n">
        <v>1549398058.633</v>
      </c>
      <c r="I40" t="n">
        <v>2745597.42988791</v>
      </c>
      <c r="J40" t="n">
        <v>295820.218066715</v>
      </c>
      <c r="K40" t="n">
        <v>106944.561374652</v>
      </c>
      <c r="L40" t="n">
        <v>1177036.19627134</v>
      </c>
      <c r="M40" t="n">
        <v>7698999.74405802</v>
      </c>
      <c r="N40" t="n">
        <v>1262286.4247832</v>
      </c>
      <c r="O40" t="n">
        <v>497149.093805558</v>
      </c>
      <c r="P40" t="n">
        <v>829969.151908611</v>
      </c>
      <c r="Q40" t="n">
        <v>595879.656654822</v>
      </c>
      <c r="R40" t="n">
        <v>4369755.65482163</v>
      </c>
      <c r="S40" t="n">
        <v>11311840.3706824</v>
      </c>
      <c r="T40" t="n">
        <v>11611422.7999318</v>
      </c>
      <c r="U40" t="n">
        <v>151810.023686269</v>
      </c>
      <c r="V40" t="n">
        <v>3432.37557806136</v>
      </c>
      <c r="W40" t="n">
        <v>202811.659882642</v>
      </c>
      <c r="X40" t="n">
        <v>6914753.30560116</v>
      </c>
      <c r="Y40" t="n">
        <v>1442009.27031324</v>
      </c>
      <c r="Z40" t="n">
        <v>11934154.5858695</v>
      </c>
      <c r="AA40" t="n">
        <v>768789.148457144</v>
      </c>
      <c r="AB40" t="n">
        <v>7403235.34725375</v>
      </c>
      <c r="AC40" t="n">
        <v>16777780.8909704</v>
      </c>
      <c r="AD40" t="n">
        <v>5773364.75787669</v>
      </c>
      <c r="AE40" t="n">
        <v>8957351.86243918</v>
      </c>
      <c r="AF40" t="n">
        <v>15529234.9032395</v>
      </c>
      <c r="AG40" t="n">
        <v>132454.971880715</v>
      </c>
      <c r="AH40" t="n">
        <v>1785053.97566068</v>
      </c>
      <c r="AI40" t="n">
        <v>75544.366754876</v>
      </c>
      <c r="AJ40" t="n">
        <v>83419359.0536452</v>
      </c>
      <c r="AK40" t="n">
        <v>7388313.09259265</v>
      </c>
      <c r="AL40" t="n">
        <v>415212.018294636</v>
      </c>
      <c r="AM40" t="n">
        <v>16086630.7852317</v>
      </c>
      <c r="AN40" t="n">
        <v>67967.6767609728</v>
      </c>
      <c r="AO40" t="n">
        <v>1180003.70054284</v>
      </c>
      <c r="AP40" t="n">
        <v>73921.5997970364</v>
      </c>
      <c r="AQ40" t="n">
        <v>249103.033734711</v>
      </c>
      <c r="AR40" t="n">
        <v>1286792.72419682</v>
      </c>
      <c r="AS40" t="n">
        <v>2734091.28652422</v>
      </c>
      <c r="AT40" t="n">
        <v>1745816.50989663</v>
      </c>
      <c r="AU40" t="n">
        <v>495804.72447676</v>
      </c>
      <c r="AV40" t="n">
        <v>0</v>
      </c>
      <c r="AW40" t="n">
        <v>65712369.6776254</v>
      </c>
      <c r="AX40" t="n">
        <v>11336570.1555294</v>
      </c>
      <c r="AY40" t="n">
        <v>1875301.73475345</v>
      </c>
      <c r="AZ40" t="n">
        <v>235670.064084161</v>
      </c>
      <c r="BA40" t="n">
        <v>1222351.10501737</v>
      </c>
      <c r="BB40" t="n">
        <v>6568392.27797967</v>
      </c>
      <c r="BC40" t="n">
        <v>0</v>
      </c>
      <c r="BD40" t="n">
        <v>20956209.8385064</v>
      </c>
      <c r="BE40" t="n">
        <v>322328.055657195</v>
      </c>
      <c r="BF40" t="n">
        <v>1298919.28833923</v>
      </c>
      <c r="BG40" t="n">
        <v>3978137.69236333</v>
      </c>
      <c r="BH40" t="n">
        <v>1340518.45444617</v>
      </c>
      <c r="BI40" t="n">
        <v>794309.780420268</v>
      </c>
      <c r="BJ40" t="n">
        <v>691317.31929508</v>
      </c>
      <c r="BK40" t="n">
        <v>4311444.91037055</v>
      </c>
      <c r="BL40" t="n">
        <v>8823773.41695504</v>
      </c>
      <c r="BM40" t="n">
        <v>18769909.2492875</v>
      </c>
      <c r="BN40" t="n">
        <v>89211617.2984644</v>
      </c>
      <c r="BO40" t="n">
        <v>31475772.7009624</v>
      </c>
      <c r="BP40" t="n">
        <v>24308.6253392024</v>
      </c>
      <c r="BQ40" t="n">
        <v>695283.948827414</v>
      </c>
      <c r="BR40" t="n">
        <v>27691.508782013</v>
      </c>
      <c r="BS40" t="n">
        <v>5275453.53579229</v>
      </c>
      <c r="BT40" t="n">
        <v>0</v>
      </c>
      <c r="BU40" t="n">
        <v>13221975049.9701</v>
      </c>
      <c r="BV40" t="n">
        <v>0</v>
      </c>
      <c r="BW40" t="n">
        <v>384650816.861277</v>
      </c>
      <c r="BX40" t="n">
        <v>134170424.66286</v>
      </c>
      <c r="BY40" t="n">
        <v>105980257.63353</v>
      </c>
      <c r="BZ40" t="n">
        <v>0</v>
      </c>
      <c r="CA40" t="n">
        <v>0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</row>
    <row r="41">
      <c r="A41" t="s">
        <v>152</v>
      </c>
      <c r="B41" t="n">
        <v>3476693.19922537</v>
      </c>
      <c r="C41" t="n">
        <v>10301.1273828318</v>
      </c>
      <c r="D41" t="n">
        <v>689986.610925195</v>
      </c>
      <c r="E41" t="n">
        <v>260288.194104557</v>
      </c>
      <c r="F41" t="n">
        <v>9130164.50534048</v>
      </c>
      <c r="G41" t="n">
        <v>6385366.50795485</v>
      </c>
      <c r="H41" t="n">
        <v>7140010.1340969</v>
      </c>
      <c r="I41" t="n">
        <v>594088.934301153</v>
      </c>
      <c r="J41" t="n">
        <v>3531678.75439744</v>
      </c>
      <c r="K41" t="n">
        <v>739858.059107787</v>
      </c>
      <c r="L41" t="n">
        <v>2515270.08510306</v>
      </c>
      <c r="M41" t="n">
        <v>1630449.90041812</v>
      </c>
      <c r="N41" t="n">
        <v>840799.651782243</v>
      </c>
      <c r="O41" t="n">
        <v>140196.944728185</v>
      </c>
      <c r="P41" t="n">
        <v>280625.334153282</v>
      </c>
      <c r="Q41" t="n">
        <v>1110693.67502702</v>
      </c>
      <c r="R41" t="n">
        <v>925485.200476506</v>
      </c>
      <c r="S41" t="n">
        <v>1858433.85144062</v>
      </c>
      <c r="T41" t="n">
        <v>7079848.24417139</v>
      </c>
      <c r="U41" t="n">
        <v>103391.883081783</v>
      </c>
      <c r="V41" t="n">
        <v>11688.2853267016</v>
      </c>
      <c r="W41" t="n">
        <v>251536.73218443</v>
      </c>
      <c r="X41" t="n">
        <v>874754.222326221</v>
      </c>
      <c r="Y41" t="n">
        <v>524681.55436349</v>
      </c>
      <c r="Z41" t="n">
        <v>1149676.46405018</v>
      </c>
      <c r="AA41" t="n">
        <v>2125473.64726033</v>
      </c>
      <c r="AB41" t="n">
        <v>72924887.7465784</v>
      </c>
      <c r="AC41" t="n">
        <v>1965553.94550377</v>
      </c>
      <c r="AD41" t="n">
        <v>788829.857548332</v>
      </c>
      <c r="AE41" t="n">
        <v>868278.588858798</v>
      </c>
      <c r="AF41" t="n">
        <v>2849201.65953877</v>
      </c>
      <c r="AG41" t="n">
        <v>7288960.93688222</v>
      </c>
      <c r="AH41" t="n">
        <v>102737.797608423</v>
      </c>
      <c r="AI41" t="n">
        <v>26110.7620941836</v>
      </c>
      <c r="AJ41" t="n">
        <v>21955587.2771312</v>
      </c>
      <c r="AK41" t="n">
        <v>334344.965764912</v>
      </c>
      <c r="AL41" t="n">
        <v>161591.258816211</v>
      </c>
      <c r="AM41" t="n">
        <v>10025076.5200067</v>
      </c>
      <c r="AN41" t="n">
        <v>2476522.08090717</v>
      </c>
      <c r="AO41" t="n">
        <v>5651094.15423314</v>
      </c>
      <c r="AP41" t="n">
        <v>1127730.62067836</v>
      </c>
      <c r="AQ41" t="n">
        <v>5503163.1591558</v>
      </c>
      <c r="AR41" t="n">
        <v>16110554.1280422</v>
      </c>
      <c r="AS41" t="n">
        <v>41031544.0066451</v>
      </c>
      <c r="AT41" t="n">
        <v>26276278.2892857</v>
      </c>
      <c r="AU41" t="n">
        <v>649861.726716528</v>
      </c>
      <c r="AV41" t="n">
        <v>3519331.73134138</v>
      </c>
      <c r="AW41" t="n">
        <v>99485.206399241</v>
      </c>
      <c r="AX41" t="n">
        <v>73038352.0758564</v>
      </c>
      <c r="AY41" t="n">
        <v>11634083.8335967</v>
      </c>
      <c r="AZ41" t="n">
        <v>5296687.57674863</v>
      </c>
      <c r="BA41" t="n">
        <v>46773921.5910893</v>
      </c>
      <c r="BB41" t="n">
        <v>63624165.1412785</v>
      </c>
      <c r="BC41" t="n">
        <v>4361597.29810122</v>
      </c>
      <c r="BD41" t="n">
        <v>47395506.1823748</v>
      </c>
      <c r="BE41" t="n">
        <v>5128903.68780517</v>
      </c>
      <c r="BF41" t="n">
        <v>4729438.85909655</v>
      </c>
      <c r="BG41" t="n">
        <v>26115941.3593313</v>
      </c>
      <c r="BH41" t="n">
        <v>2744891.581264</v>
      </c>
      <c r="BI41" t="n">
        <v>2387495.91774361</v>
      </c>
      <c r="BJ41" t="n">
        <v>6011480.59042296</v>
      </c>
      <c r="BK41" t="n">
        <v>1420817.84701774</v>
      </c>
      <c r="BL41" t="n">
        <v>4090066.64504962</v>
      </c>
      <c r="BM41" t="n">
        <v>2285493.2606544</v>
      </c>
      <c r="BN41" t="n">
        <v>18365359.3979614</v>
      </c>
      <c r="BO41" t="n">
        <v>6187660.73999645</v>
      </c>
      <c r="BP41" t="n">
        <v>95418524.0943462</v>
      </c>
      <c r="BQ41" t="n">
        <v>40744234.1379622</v>
      </c>
      <c r="BR41" t="n">
        <v>4064245.09977739</v>
      </c>
      <c r="BS41" t="n">
        <v>39492591.1432827</v>
      </c>
      <c r="BT41" t="n">
        <v>507156.414431666</v>
      </c>
      <c r="BU41" t="n">
        <v>1457318785.95085</v>
      </c>
      <c r="BV41" t="n">
        <v>0</v>
      </c>
      <c r="BW41" t="n">
        <v>14155059.9755342</v>
      </c>
      <c r="BX41" t="n">
        <v>1697162.80318905</v>
      </c>
      <c r="BY41" t="n">
        <v>89829.7205964232</v>
      </c>
      <c r="BZ41" t="n">
        <v>940889.0630795</v>
      </c>
      <c r="CA41" t="n">
        <v>1622023049.2629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346227.18407936</v>
      </c>
      <c r="CN41" t="n">
        <v>98922.0525941028</v>
      </c>
    </row>
    <row r="42">
      <c r="A42" t="s">
        <v>153</v>
      </c>
      <c r="B42" t="n">
        <v>31033858.4365921</v>
      </c>
      <c r="C42" t="n">
        <v>169453.218463869</v>
      </c>
      <c r="D42" t="n">
        <v>18247115.9150518</v>
      </c>
      <c r="E42" t="n">
        <v>13633155.3151376</v>
      </c>
      <c r="F42" t="n">
        <v>9123747.2517748</v>
      </c>
      <c r="G42" t="n">
        <v>24187648.6696065</v>
      </c>
      <c r="H42" t="n">
        <v>45670022.1918647</v>
      </c>
      <c r="I42" t="n">
        <v>6274849.36112922</v>
      </c>
      <c r="J42" t="n">
        <v>34474194.41454</v>
      </c>
      <c r="K42" t="n">
        <v>15518093.5265507</v>
      </c>
      <c r="L42" t="n">
        <v>8663820.44036338</v>
      </c>
      <c r="M42" t="n">
        <v>3941130.68736373</v>
      </c>
      <c r="N42" t="n">
        <v>1087841.49527015</v>
      </c>
      <c r="O42" t="n">
        <v>982688.307776329</v>
      </c>
      <c r="P42" t="n">
        <v>1171472.09447752</v>
      </c>
      <c r="Q42" t="n">
        <v>2830424.11987958</v>
      </c>
      <c r="R42" t="n">
        <v>3420470.25891942</v>
      </c>
      <c r="S42" t="n">
        <v>4029837.08218208</v>
      </c>
      <c r="T42" t="n">
        <v>70600677.2164894</v>
      </c>
      <c r="U42" t="n">
        <v>253800.53487947</v>
      </c>
      <c r="V42" t="n">
        <v>6409.06408695478</v>
      </c>
      <c r="W42" t="n">
        <v>5026714.4112633</v>
      </c>
      <c r="X42" t="n">
        <v>791884.861105012</v>
      </c>
      <c r="Y42" t="n">
        <v>17395696.4811207</v>
      </c>
      <c r="Z42" t="n">
        <v>16347259.4262423</v>
      </c>
      <c r="AA42" t="n">
        <v>12898295.2974859</v>
      </c>
      <c r="AB42" t="n">
        <v>3894844.44354451</v>
      </c>
      <c r="AC42" t="n">
        <v>460707.642656706</v>
      </c>
      <c r="AD42" t="n">
        <v>1913161.54292416</v>
      </c>
      <c r="AE42" t="n">
        <v>587402.487623818</v>
      </c>
      <c r="AF42" t="n">
        <v>1196270.80987213</v>
      </c>
      <c r="AG42" t="n">
        <v>4179793.05921097</v>
      </c>
      <c r="AH42" t="n">
        <v>2851931.54728503</v>
      </c>
      <c r="AI42" t="n">
        <v>3926.70583626164</v>
      </c>
      <c r="AJ42" t="n">
        <v>44737458.8477682</v>
      </c>
      <c r="AK42" t="n">
        <v>244442.847728087</v>
      </c>
      <c r="AL42" t="n">
        <v>249203.538582502</v>
      </c>
      <c r="AM42" t="n">
        <v>2581661.07798601</v>
      </c>
      <c r="AN42" t="n">
        <v>317279.669936746</v>
      </c>
      <c r="AO42" t="n">
        <v>559580.553542102</v>
      </c>
      <c r="AP42" t="n">
        <v>36807.8033991078</v>
      </c>
      <c r="AQ42" t="n">
        <v>4622277.01545728</v>
      </c>
      <c r="AR42" t="n">
        <v>690151.312543627</v>
      </c>
      <c r="AS42" t="n">
        <v>700713.82441326</v>
      </c>
      <c r="AT42" t="n">
        <v>485740.122621591</v>
      </c>
      <c r="AU42" t="n">
        <v>1187800.53069331</v>
      </c>
      <c r="AV42" t="n">
        <v>47956.3413420458</v>
      </c>
      <c r="AW42" t="n">
        <v>1110501.47356343</v>
      </c>
      <c r="AX42" t="n">
        <v>2840503.19233511</v>
      </c>
      <c r="AY42" t="n">
        <v>806437.32215206</v>
      </c>
      <c r="AZ42" t="n">
        <v>370043.924790034</v>
      </c>
      <c r="BA42" t="n">
        <v>929875.277957096</v>
      </c>
      <c r="BB42" t="n">
        <v>12886630.3682119</v>
      </c>
      <c r="BC42" t="n">
        <v>521172.908758021</v>
      </c>
      <c r="BD42" t="n">
        <v>8074494.67374317</v>
      </c>
      <c r="BE42" t="n">
        <v>766007.93776987</v>
      </c>
      <c r="BF42" t="n">
        <v>634333.345243811</v>
      </c>
      <c r="BG42" t="n">
        <v>5271165.94869254</v>
      </c>
      <c r="BH42" t="n">
        <v>1840491.00741948</v>
      </c>
      <c r="BI42" t="n">
        <v>840460.655903558</v>
      </c>
      <c r="BJ42" t="n">
        <v>2846794.89843288</v>
      </c>
      <c r="BK42" t="n">
        <v>220739.413451564</v>
      </c>
      <c r="BL42" t="n">
        <v>2090250.23792935</v>
      </c>
      <c r="BM42" t="n">
        <v>2158638.75160511</v>
      </c>
      <c r="BN42" t="n">
        <v>13842261.8809807</v>
      </c>
      <c r="BO42" t="n">
        <v>2425498.66909854</v>
      </c>
      <c r="BP42" t="n">
        <v>3982972.76016653</v>
      </c>
      <c r="BQ42" t="n">
        <v>15748470.5196508</v>
      </c>
      <c r="BR42" t="n">
        <v>12978370.0103434</v>
      </c>
      <c r="BS42" t="n">
        <v>31363337.0900613</v>
      </c>
      <c r="BT42" t="n">
        <v>16917155.6968199</v>
      </c>
      <c r="BU42" t="n">
        <v>131268665.987286</v>
      </c>
      <c r="BV42" t="n">
        <v>0</v>
      </c>
      <c r="BW42" t="n">
        <v>44962699.3017048</v>
      </c>
      <c r="BX42" t="n">
        <v>0</v>
      </c>
      <c r="BY42" t="n">
        <v>600314.021283319</v>
      </c>
      <c r="BZ42" t="n">
        <v>9645429.93297358</v>
      </c>
      <c r="CA42" t="n">
        <v>204915837.634252</v>
      </c>
      <c r="CB42" t="n">
        <v>0</v>
      </c>
      <c r="CC42" t="n">
        <v>0</v>
      </c>
      <c r="CD42" t="n">
        <v>0</v>
      </c>
      <c r="CE42" t="n">
        <v>1907898.22628854</v>
      </c>
      <c r="CF42" t="n">
        <v>0</v>
      </c>
      <c r="CG42" t="n">
        <v>0</v>
      </c>
      <c r="CH42" t="n">
        <v>0</v>
      </c>
      <c r="CI42" t="n">
        <v>2799179.14951822</v>
      </c>
      <c r="CJ42" t="n">
        <v>0</v>
      </c>
      <c r="CK42" t="n">
        <v>0</v>
      </c>
      <c r="CL42" t="n">
        <v>0</v>
      </c>
      <c r="CM42" t="n">
        <v>8665184.12886002</v>
      </c>
      <c r="CN42" t="n">
        <v>0</v>
      </c>
    </row>
    <row r="43">
      <c r="A43" t="s">
        <v>154</v>
      </c>
      <c r="B43" t="n">
        <v>185828.639931385</v>
      </c>
      <c r="C43" t="n">
        <v>1495.15428080338</v>
      </c>
      <c r="D43" t="n">
        <v>246196.959016552</v>
      </c>
      <c r="E43" t="n">
        <v>75952.4516979656</v>
      </c>
      <c r="F43" t="n">
        <v>89791.2634348571</v>
      </c>
      <c r="G43" t="n">
        <v>64332.7891460699</v>
      </c>
      <c r="H43" t="n">
        <v>495321.366963334</v>
      </c>
      <c r="I43" t="n">
        <v>1413.58809541038</v>
      </c>
      <c r="J43" t="n">
        <v>129011.208375609</v>
      </c>
      <c r="K43" t="n">
        <v>57727.1951063806</v>
      </c>
      <c r="L43" t="n">
        <v>26769.589398601</v>
      </c>
      <c r="M43" t="n">
        <v>10152.1964153284</v>
      </c>
      <c r="N43" t="n">
        <v>5827.63975782236</v>
      </c>
      <c r="O43" t="n">
        <v>5279.18192979525</v>
      </c>
      <c r="P43" t="n">
        <v>1721.38174661808</v>
      </c>
      <c r="Q43" t="n">
        <v>5683.73264126381</v>
      </c>
      <c r="R43" t="n">
        <v>3950.86156131866</v>
      </c>
      <c r="S43" t="n">
        <v>21252.3894915474</v>
      </c>
      <c r="T43" t="n">
        <v>260657.355574813</v>
      </c>
      <c r="U43" t="n">
        <v>2442.96520067338</v>
      </c>
      <c r="V43" t="n">
        <v>0</v>
      </c>
      <c r="W43" t="n">
        <v>7333.50126573938</v>
      </c>
      <c r="X43" t="n">
        <v>199.6320114977</v>
      </c>
      <c r="Y43" t="n">
        <v>19038.6897208112</v>
      </c>
      <c r="Z43" t="n">
        <v>65802.5586518631</v>
      </c>
      <c r="AA43" t="n">
        <v>26147.3649094558</v>
      </c>
      <c r="AB43" t="n">
        <v>7855.03720478196</v>
      </c>
      <c r="AC43" t="n">
        <v>4434.55621253557</v>
      </c>
      <c r="AD43" t="n">
        <v>6605.45141457362</v>
      </c>
      <c r="AE43" t="n">
        <v>2045.87752088491</v>
      </c>
      <c r="AF43" t="n">
        <v>5683.55909679656</v>
      </c>
      <c r="AG43" t="n">
        <v>13748.1674148878</v>
      </c>
      <c r="AH43" t="n">
        <v>3417.29876992252</v>
      </c>
      <c r="AI43" t="n">
        <v>11.9931624432712</v>
      </c>
      <c r="AJ43" t="n">
        <v>4807.34809039105</v>
      </c>
      <c r="AK43" t="n">
        <v>404.403395416712</v>
      </c>
      <c r="AL43" t="n">
        <v>3664.70601621555</v>
      </c>
      <c r="AM43" t="n">
        <v>2338.53260589392</v>
      </c>
      <c r="AN43" t="n">
        <v>839.846054890288</v>
      </c>
      <c r="AO43" t="n">
        <v>925.763539268352</v>
      </c>
      <c r="AP43" t="n">
        <v>0</v>
      </c>
      <c r="AQ43" t="n">
        <v>7310.37897746178</v>
      </c>
      <c r="AR43" t="n">
        <v>3721.35142986666</v>
      </c>
      <c r="AS43" t="n">
        <v>1324.86031545672</v>
      </c>
      <c r="AT43" t="n">
        <v>571.450874193521</v>
      </c>
      <c r="AU43" t="n">
        <v>0</v>
      </c>
      <c r="AV43" t="n">
        <v>253.8829171823</v>
      </c>
      <c r="AW43" t="n">
        <v>5672.76000016031</v>
      </c>
      <c r="AX43" t="n">
        <v>11254.3633664215</v>
      </c>
      <c r="AY43" t="n">
        <v>3089.63483568892</v>
      </c>
      <c r="AZ43" t="n">
        <v>0</v>
      </c>
      <c r="BA43" t="n">
        <v>4475.27217800089</v>
      </c>
      <c r="BB43" t="n">
        <v>688625.272897631</v>
      </c>
      <c r="BC43" t="n">
        <v>41003.4642853292</v>
      </c>
      <c r="BD43" t="n">
        <v>49665.6594561783</v>
      </c>
      <c r="BE43" t="n">
        <v>6155.33374903113</v>
      </c>
      <c r="BF43" t="n">
        <v>84448.5460049599</v>
      </c>
      <c r="BG43" t="n">
        <v>55743.986398221</v>
      </c>
      <c r="BH43" t="n">
        <v>41139.8045516945</v>
      </c>
      <c r="BI43" t="n">
        <v>2355.58300852717</v>
      </c>
      <c r="BJ43" t="n">
        <v>4576.23086671517</v>
      </c>
      <c r="BK43" t="n">
        <v>1031.12106435598</v>
      </c>
      <c r="BL43" t="n">
        <v>7811.20513605781</v>
      </c>
      <c r="BM43" t="n">
        <v>3571.22676625932</v>
      </c>
      <c r="BN43" t="n">
        <v>25781.3467467801</v>
      </c>
      <c r="BO43" t="n">
        <v>14102.4956868159</v>
      </c>
      <c r="BP43" t="n">
        <v>515135.862655498</v>
      </c>
      <c r="BQ43" t="n">
        <v>86286.6500559929</v>
      </c>
      <c r="BR43" t="n">
        <v>314797.813781628</v>
      </c>
      <c r="BS43" t="n">
        <v>243338.914477944</v>
      </c>
      <c r="BT43" t="n">
        <v>53304.5732186209</v>
      </c>
      <c r="BU43" t="n">
        <v>11048745.311561</v>
      </c>
      <c r="BV43" t="n">
        <v>0</v>
      </c>
      <c r="BW43" t="n">
        <v>36.2347983895757</v>
      </c>
      <c r="BX43" t="n">
        <v>0</v>
      </c>
      <c r="BY43" t="n">
        <v>0</v>
      </c>
      <c r="BZ43" t="n">
        <v>23899.3054450908</v>
      </c>
      <c r="CA43" t="n">
        <v>2353696.11367298</v>
      </c>
      <c r="CB43" t="n">
        <v>0</v>
      </c>
      <c r="CC43" t="n">
        <v>0</v>
      </c>
      <c r="CD43" t="n">
        <v>0</v>
      </c>
      <c r="CE43" t="n">
        <v>1105.89357074941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</row>
    <row r="44">
      <c r="A44" t="s">
        <v>155</v>
      </c>
      <c r="B44" t="n">
        <v>95654164.9326472</v>
      </c>
      <c r="C44" t="n">
        <v>2149738.77641892</v>
      </c>
      <c r="D44" t="n">
        <v>37992538.1383936</v>
      </c>
      <c r="E44" t="n">
        <v>14089905.5454716</v>
      </c>
      <c r="F44" t="n">
        <v>25247774.1729126</v>
      </c>
      <c r="G44" t="n">
        <v>13411967.7776419</v>
      </c>
      <c r="H44" t="n">
        <v>393129989.357727</v>
      </c>
      <c r="I44" t="n">
        <v>13626087.2256842</v>
      </c>
      <c r="J44" t="n">
        <v>53839946.7416063</v>
      </c>
      <c r="K44" t="n">
        <v>34019315.1506805</v>
      </c>
      <c r="L44" t="n">
        <v>30432980.4230051</v>
      </c>
      <c r="M44" t="n">
        <v>23825718.9779115</v>
      </c>
      <c r="N44" t="n">
        <v>14417162.1882258</v>
      </c>
      <c r="O44" t="n">
        <v>4693042.58044311</v>
      </c>
      <c r="P44" t="n">
        <v>6000118.31597749</v>
      </c>
      <c r="Q44" t="n">
        <v>15687070.9973516</v>
      </c>
      <c r="R44" t="n">
        <v>13217313.4082125</v>
      </c>
      <c r="S44" t="n">
        <v>20327038.9021604</v>
      </c>
      <c r="T44" t="n">
        <v>297478544.221611</v>
      </c>
      <c r="U44" t="n">
        <v>2363343.46483449</v>
      </c>
      <c r="V44" t="n">
        <v>401269.574459872</v>
      </c>
      <c r="W44" t="n">
        <v>6097628.98583188</v>
      </c>
      <c r="X44" t="n">
        <v>4786556.81282465</v>
      </c>
      <c r="Y44" t="n">
        <v>31935232.5905723</v>
      </c>
      <c r="Z44" t="n">
        <v>22657798.6070647</v>
      </c>
      <c r="AA44" t="n">
        <v>18242365.7988016</v>
      </c>
      <c r="AB44" t="n">
        <v>77912718.8971869</v>
      </c>
      <c r="AC44" t="n">
        <v>27120546.7240137</v>
      </c>
      <c r="AD44" t="n">
        <v>21545149.2188548</v>
      </c>
      <c r="AE44" t="n">
        <v>14437726.8651752</v>
      </c>
      <c r="AF44" t="n">
        <v>54053650.7101588</v>
      </c>
      <c r="AG44" t="n">
        <v>42042688.7841579</v>
      </c>
      <c r="AH44" t="n">
        <v>4418919.61031163</v>
      </c>
      <c r="AI44" t="n">
        <v>30698.8511389136</v>
      </c>
      <c r="AJ44" t="n">
        <v>95500593.7936939</v>
      </c>
      <c r="AK44" t="n">
        <v>2037541.68368594</v>
      </c>
      <c r="AL44" t="n">
        <v>3158508.81519044</v>
      </c>
      <c r="AM44" t="n">
        <v>33827676.4545974</v>
      </c>
      <c r="AN44" t="n">
        <v>8871123.02514519</v>
      </c>
      <c r="AO44" t="n">
        <v>12283306.6473482</v>
      </c>
      <c r="AP44" t="n">
        <v>789221.060962069</v>
      </c>
      <c r="AQ44" t="n">
        <v>17390890.235756</v>
      </c>
      <c r="AR44" t="n">
        <v>11816478.6946975</v>
      </c>
      <c r="AS44" t="n">
        <v>2395331.3911751</v>
      </c>
      <c r="AT44" t="n">
        <v>1879343.90243684</v>
      </c>
      <c r="AU44" t="n">
        <v>2089909.91730781</v>
      </c>
      <c r="AV44" t="n">
        <v>304366.268160539</v>
      </c>
      <c r="AW44" t="n">
        <v>2122104.476123</v>
      </c>
      <c r="AX44" t="n">
        <v>8379307.84397052</v>
      </c>
      <c r="AY44" t="n">
        <v>5970072.74344523</v>
      </c>
      <c r="AZ44" t="n">
        <v>1252342.63846598</v>
      </c>
      <c r="BA44" t="n">
        <v>10114047.3140396</v>
      </c>
      <c r="BB44" t="n">
        <v>63040386.2741656</v>
      </c>
      <c r="BC44" t="n">
        <v>4345763.95050308</v>
      </c>
      <c r="BD44" t="n">
        <v>24504654.788813</v>
      </c>
      <c r="BE44" t="n">
        <v>6663652.41655559</v>
      </c>
      <c r="BF44" t="n">
        <v>4048348.6059313</v>
      </c>
      <c r="BG44" t="n">
        <v>21006338.9634193</v>
      </c>
      <c r="BH44" t="n">
        <v>13975239.9330946</v>
      </c>
      <c r="BI44" t="n">
        <v>4486140.70785641</v>
      </c>
      <c r="BJ44" t="n">
        <v>10616521.9975854</v>
      </c>
      <c r="BK44" t="n">
        <v>2372079.95315358</v>
      </c>
      <c r="BL44" t="n">
        <v>15565191.7293318</v>
      </c>
      <c r="BM44" t="n">
        <v>8986972.43900512</v>
      </c>
      <c r="BN44" t="n">
        <v>44311361.1394532</v>
      </c>
      <c r="BO44" t="n">
        <v>25985343.455086</v>
      </c>
      <c r="BP44" t="n">
        <v>70296967.6559115</v>
      </c>
      <c r="BQ44" t="n">
        <v>10142311.9186631</v>
      </c>
      <c r="BR44" t="n">
        <v>13536951.088746</v>
      </c>
      <c r="BS44" t="n">
        <v>77935463.7884217</v>
      </c>
      <c r="BT44" t="n">
        <v>12638227.3023176</v>
      </c>
      <c r="BU44" t="n">
        <v>1265087396.8839</v>
      </c>
      <c r="BV44" t="n">
        <v>85670.9045949744</v>
      </c>
      <c r="BW44" t="n">
        <v>204927098.79329</v>
      </c>
      <c r="BX44" t="n">
        <v>7880138.852626</v>
      </c>
      <c r="BY44" t="n">
        <v>9584495.49853082</v>
      </c>
      <c r="BZ44" t="n">
        <v>21689017.3466277</v>
      </c>
      <c r="CA44" t="n">
        <v>470890127.106277</v>
      </c>
      <c r="CB44" t="n">
        <v>0</v>
      </c>
      <c r="CC44" t="n">
        <v>0</v>
      </c>
      <c r="CD44" t="n">
        <v>0</v>
      </c>
      <c r="CE44" t="n">
        <v>9853881.66676596</v>
      </c>
      <c r="CF44" t="n">
        <v>441931.662630716</v>
      </c>
      <c r="CG44" t="n">
        <v>0</v>
      </c>
      <c r="CH44" t="n">
        <v>0</v>
      </c>
      <c r="CI44" t="n">
        <v>1219065.85297429</v>
      </c>
      <c r="CJ44" t="n">
        <v>549428.55354089</v>
      </c>
      <c r="CK44" t="n">
        <v>0</v>
      </c>
      <c r="CL44" t="n">
        <v>0</v>
      </c>
      <c r="CM44" t="n">
        <v>11630427.9284848</v>
      </c>
      <c r="CN44" t="n">
        <v>1069999.3694206</v>
      </c>
    </row>
    <row r="45">
      <c r="A45" t="s">
        <v>156</v>
      </c>
      <c r="B45" t="n">
        <v>0</v>
      </c>
      <c r="C45" t="n">
        <v>9941.08453767891</v>
      </c>
      <c r="D45" t="n">
        <v>55489.1952935311</v>
      </c>
      <c r="E45" t="n">
        <v>104662.773208755</v>
      </c>
      <c r="F45" t="n">
        <v>8564010.15478124</v>
      </c>
      <c r="G45" t="n">
        <v>14342080.1216618</v>
      </c>
      <c r="H45" t="n">
        <v>15332229.7181726</v>
      </c>
      <c r="I45" t="n">
        <v>601520.747427039</v>
      </c>
      <c r="J45" t="n">
        <v>2607646.90943194</v>
      </c>
      <c r="K45" t="n">
        <v>628910.767881902</v>
      </c>
      <c r="L45" t="n">
        <v>2231150.21508682</v>
      </c>
      <c r="M45" t="n">
        <v>1303460.2722727</v>
      </c>
      <c r="N45" t="n">
        <v>437615.567776734</v>
      </c>
      <c r="O45" t="n">
        <v>71477.5602649628</v>
      </c>
      <c r="P45" t="n">
        <v>159910.976478037</v>
      </c>
      <c r="Q45" t="n">
        <v>522194.510448982</v>
      </c>
      <c r="R45" t="n">
        <v>840600.315983574</v>
      </c>
      <c r="S45" t="n">
        <v>1956521.73926793</v>
      </c>
      <c r="T45" t="n">
        <v>3427725.66146282</v>
      </c>
      <c r="U45" t="n">
        <v>41767.5983673783</v>
      </c>
      <c r="V45" t="n">
        <v>4511.903531138</v>
      </c>
      <c r="W45" t="n">
        <v>204860.003840263</v>
      </c>
      <c r="X45" t="n">
        <v>817633.455339505</v>
      </c>
      <c r="Y45" t="n">
        <v>389494.611268787</v>
      </c>
      <c r="Z45" t="n">
        <v>594630.349586372</v>
      </c>
      <c r="AA45" t="n">
        <v>1610930.29557486</v>
      </c>
      <c r="AB45" t="n">
        <v>27645550.8670624</v>
      </c>
      <c r="AC45" t="n">
        <v>2378439.09050793</v>
      </c>
      <c r="AD45" t="n">
        <v>140540.093853643</v>
      </c>
      <c r="AE45" t="n">
        <v>631168.577423163</v>
      </c>
      <c r="AF45" t="n">
        <v>2144989.14706492</v>
      </c>
      <c r="AG45" t="n">
        <v>34822.7658514531</v>
      </c>
      <c r="AH45" t="n">
        <v>5188689.21318148</v>
      </c>
      <c r="AI45" t="n">
        <v>0</v>
      </c>
      <c r="AJ45" t="n">
        <v>0</v>
      </c>
      <c r="AK45" t="n">
        <v>0</v>
      </c>
      <c r="AL45" t="n">
        <v>155943.355007839</v>
      </c>
      <c r="AM45" t="n">
        <v>2391028.58769694</v>
      </c>
      <c r="AN45" t="n">
        <v>67008.3140248058</v>
      </c>
      <c r="AO45" t="n">
        <v>6204522.48555182</v>
      </c>
      <c r="AP45" t="n">
        <v>1017055.73437236</v>
      </c>
      <c r="AQ45" t="n">
        <v>11767707.9325078</v>
      </c>
      <c r="AR45" t="n">
        <v>26002409.4299775</v>
      </c>
      <c r="AS45" t="n">
        <v>65396696.8837532</v>
      </c>
      <c r="AT45" t="n">
        <v>27751561.4808444</v>
      </c>
      <c r="AU45" t="n">
        <v>15322083.8869998</v>
      </c>
      <c r="AV45" t="n">
        <v>3511111.11111111</v>
      </c>
      <c r="AW45" t="n">
        <v>164585.177687013</v>
      </c>
      <c r="AX45" t="n">
        <v>98481048.959592</v>
      </c>
      <c r="AY45" t="n">
        <v>14880295.3650972</v>
      </c>
      <c r="AZ45" t="n">
        <v>9124766.23434813</v>
      </c>
      <c r="BA45" t="n">
        <v>72662924.2189382</v>
      </c>
      <c r="BB45" t="n">
        <v>116623035.856695</v>
      </c>
      <c r="BC45" t="n">
        <v>5360808.17196029</v>
      </c>
      <c r="BD45" t="n">
        <v>64495469.9386503</v>
      </c>
      <c r="BE45" t="n">
        <v>4795564.94537979</v>
      </c>
      <c r="BF45" t="n">
        <v>6895458.02670574</v>
      </c>
      <c r="BG45" t="n">
        <v>45141029.4735203</v>
      </c>
      <c r="BH45" t="n">
        <v>39100845.3784202</v>
      </c>
      <c r="BI45" t="n">
        <v>9494629.52688389</v>
      </c>
      <c r="BJ45" t="n">
        <v>5387564.66808256</v>
      </c>
      <c r="BK45" t="n">
        <v>45229922.6384075</v>
      </c>
      <c r="BL45" t="n">
        <v>3150764.43735961</v>
      </c>
      <c r="BM45" t="n">
        <v>2807141.50086472</v>
      </c>
      <c r="BN45" t="n">
        <v>26554019.1194291</v>
      </c>
      <c r="BO45" t="n">
        <v>6988007.88508864</v>
      </c>
      <c r="BP45" t="n">
        <v>910689.359396867</v>
      </c>
      <c r="BQ45" t="n">
        <v>139080.874909033</v>
      </c>
      <c r="BR45" t="n">
        <v>382209.009723246</v>
      </c>
      <c r="BS45" t="n">
        <v>340799514.08716</v>
      </c>
      <c r="BT45" t="n">
        <v>11408791.1538274</v>
      </c>
      <c r="BU45" t="n">
        <v>1288755376.48339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</row>
    <row r="46">
      <c r="A46" t="s">
        <v>157</v>
      </c>
      <c r="B46" t="n">
        <v>1230490.88101201</v>
      </c>
      <c r="C46" t="n">
        <v>13796.0028628259</v>
      </c>
      <c r="D46" t="n">
        <v>100077774.296499</v>
      </c>
      <c r="E46" t="n">
        <v>418315.767302639</v>
      </c>
      <c r="F46" t="n">
        <v>761854.582344232</v>
      </c>
      <c r="G46" t="n">
        <v>27384478.9313886</v>
      </c>
      <c r="H46" t="n">
        <v>3351328.57248137</v>
      </c>
      <c r="I46" t="n">
        <v>33912.7879443413</v>
      </c>
      <c r="J46" t="n">
        <v>69837.0881714649</v>
      </c>
      <c r="K46" t="n">
        <v>32857.8839935957</v>
      </c>
      <c r="L46" t="n">
        <v>62237.9435605363</v>
      </c>
      <c r="M46" t="n">
        <v>41346.5474336957</v>
      </c>
      <c r="N46" t="n">
        <v>15182.8143171455</v>
      </c>
      <c r="O46" t="n">
        <v>9919.48737892414</v>
      </c>
      <c r="P46" t="n">
        <v>2505.55611988163</v>
      </c>
      <c r="Q46" t="n">
        <v>11442.4616249983</v>
      </c>
      <c r="R46" t="n">
        <v>24303.4439591049</v>
      </c>
      <c r="S46" t="n">
        <v>102574.780008461</v>
      </c>
      <c r="T46" t="n">
        <v>226113.538729617</v>
      </c>
      <c r="U46" t="n">
        <v>10304.7268931172</v>
      </c>
      <c r="V46" t="n">
        <v>0</v>
      </c>
      <c r="W46" t="n">
        <v>22588.2101100007</v>
      </c>
      <c r="X46" t="n">
        <v>26525.2778659197</v>
      </c>
      <c r="Y46" t="n">
        <v>41087596.7690686</v>
      </c>
      <c r="Z46" t="n">
        <v>555509.90336093</v>
      </c>
      <c r="AA46" t="n">
        <v>55543.1329969559</v>
      </c>
      <c r="AB46" t="n">
        <v>449373.236172384</v>
      </c>
      <c r="AC46" t="n">
        <v>87292.3430778068</v>
      </c>
      <c r="AD46" t="n">
        <v>58511.469139947</v>
      </c>
      <c r="AE46" t="n">
        <v>30204.1682226437</v>
      </c>
      <c r="AF46" t="n">
        <v>135852.380319488</v>
      </c>
      <c r="AG46" t="n">
        <v>5325548.76748234</v>
      </c>
      <c r="AH46" t="n">
        <v>431127.145413604</v>
      </c>
      <c r="AI46" t="n">
        <v>4662.58543315411</v>
      </c>
      <c r="AJ46" t="n">
        <v>1364257.69857434</v>
      </c>
      <c r="AK46" t="n">
        <v>149259.523850814</v>
      </c>
      <c r="AL46" t="n">
        <v>54103.6283308064</v>
      </c>
      <c r="AM46" t="n">
        <v>778725.162338338</v>
      </c>
      <c r="AN46" t="n">
        <v>229381.645961421</v>
      </c>
      <c r="AO46" t="n">
        <v>54669.7783987709</v>
      </c>
      <c r="AP46" t="n">
        <v>3596.04071735017</v>
      </c>
      <c r="AQ46" t="n">
        <v>51122.9669207707</v>
      </c>
      <c r="AR46" t="n">
        <v>64928.9832369586</v>
      </c>
      <c r="AS46" t="n">
        <v>363806.358796039</v>
      </c>
      <c r="AT46" t="n">
        <v>274188.674622467</v>
      </c>
      <c r="AU46" t="n">
        <v>6826.20448097514</v>
      </c>
      <c r="AV46" t="n">
        <v>59970.920144724</v>
      </c>
      <c r="AW46" t="n">
        <v>30454.3241594027</v>
      </c>
      <c r="AX46" t="n">
        <v>385333.549371991</v>
      </c>
      <c r="AY46" t="n">
        <v>136840.816770875</v>
      </c>
      <c r="AZ46" t="n">
        <v>3908.37517214517</v>
      </c>
      <c r="BA46" t="n">
        <v>198211.093762822</v>
      </c>
      <c r="BB46" t="n">
        <v>202519.333859885</v>
      </c>
      <c r="BC46" t="n">
        <v>90519.8875165864</v>
      </c>
      <c r="BD46" t="n">
        <v>652326.714356336</v>
      </c>
      <c r="BE46" t="n">
        <v>144329.031871847</v>
      </c>
      <c r="BF46" t="n">
        <v>98427.6427899982</v>
      </c>
      <c r="BG46" t="n">
        <v>99754.2308424099</v>
      </c>
      <c r="BH46" t="n">
        <v>92703.017536994</v>
      </c>
      <c r="BI46" t="n">
        <v>57960.8055106366</v>
      </c>
      <c r="BJ46" t="n">
        <v>81073.0332659214</v>
      </c>
      <c r="BK46" t="n">
        <v>25371.4716283444</v>
      </c>
      <c r="BL46" t="n">
        <v>153760.233472836</v>
      </c>
      <c r="BM46" t="n">
        <v>99588.935388307</v>
      </c>
      <c r="BN46" t="n">
        <v>403689.035958061</v>
      </c>
      <c r="BO46" t="n">
        <v>257512.008822945</v>
      </c>
      <c r="BP46" t="n">
        <v>1161839.67371645</v>
      </c>
      <c r="BQ46" t="n">
        <v>115807.896480721</v>
      </c>
      <c r="BR46" t="n">
        <v>2556122.4044866</v>
      </c>
      <c r="BS46" t="n">
        <v>7473483.99991416</v>
      </c>
      <c r="BT46" t="n">
        <v>20626426.8798413</v>
      </c>
      <c r="BU46" t="n">
        <v>21143841.8007559</v>
      </c>
      <c r="BV46" t="n">
        <v>0</v>
      </c>
      <c r="BW46" t="n">
        <v>0</v>
      </c>
      <c r="BX46" t="n">
        <v>0</v>
      </c>
      <c r="BY46" t="n">
        <v>0</v>
      </c>
      <c r="BZ46" t="n">
        <v>74670522.9987243</v>
      </c>
      <c r="CA46" t="n">
        <v>341064702.770376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</row>
    <row r="47">
      <c r="A47" t="s">
        <v>158</v>
      </c>
      <c r="B47" t="n">
        <v>0</v>
      </c>
      <c r="C47" t="n">
        <v>367820.12789412</v>
      </c>
      <c r="D47" t="n">
        <v>1165273.10116415</v>
      </c>
      <c r="E47" t="n">
        <v>11073321.4054863</v>
      </c>
      <c r="F47" t="n">
        <v>439180.0079375</v>
      </c>
      <c r="G47" t="n">
        <v>116686182.282608</v>
      </c>
      <c r="H47" t="n">
        <v>0</v>
      </c>
      <c r="I47" t="n">
        <v>6127992.61441296</v>
      </c>
      <c r="J47" t="n">
        <v>19191366.2895912</v>
      </c>
      <c r="K47" t="n">
        <v>991459.328190292</v>
      </c>
      <c r="L47" t="n">
        <v>997851.101219732</v>
      </c>
      <c r="M47" t="n">
        <v>176898.179808438</v>
      </c>
      <c r="N47" t="n">
        <v>0</v>
      </c>
      <c r="O47" t="n">
        <v>20422.1600757036</v>
      </c>
      <c r="P47" t="n">
        <v>14185.6511391807</v>
      </c>
      <c r="Q47" t="n">
        <v>0</v>
      </c>
      <c r="R47" t="n">
        <v>4203001.57991787</v>
      </c>
      <c r="S47" t="n">
        <v>3891304.34809956</v>
      </c>
      <c r="T47" t="n">
        <v>7808451.28261485</v>
      </c>
      <c r="U47" t="n">
        <v>264528.122993396</v>
      </c>
      <c r="V47" t="n">
        <v>0</v>
      </c>
      <c r="W47" t="n">
        <v>1585560.30369518</v>
      </c>
      <c r="X47" t="n">
        <v>3716515.70608866</v>
      </c>
      <c r="Y47" t="n">
        <v>6920020.92687546</v>
      </c>
      <c r="Z47" t="n">
        <v>908865.900180797</v>
      </c>
      <c r="AA47" t="n">
        <v>5353091.35486057</v>
      </c>
      <c r="AB47" t="n">
        <v>1086567639.68315</v>
      </c>
      <c r="AC47" t="n">
        <v>37308077.6345789</v>
      </c>
      <c r="AD47" t="n">
        <v>37735015.1997031</v>
      </c>
      <c r="AE47" t="n">
        <v>11143390.0565745</v>
      </c>
      <c r="AF47" t="n">
        <v>185937448.479802</v>
      </c>
      <c r="AG47" t="n">
        <v>981827883.181721</v>
      </c>
      <c r="AH47" t="n">
        <v>20639085.4371455</v>
      </c>
      <c r="AI47" t="n">
        <v>845892.132225015</v>
      </c>
      <c r="AJ47" t="n">
        <v>697711876.806345</v>
      </c>
      <c r="AK47" t="n">
        <v>12960136.9257951</v>
      </c>
      <c r="AL47" t="n">
        <v>35633056.6192912</v>
      </c>
      <c r="AM47" t="n">
        <v>397795287.925396</v>
      </c>
      <c r="AN47" t="n">
        <v>63423369.2244787</v>
      </c>
      <c r="AO47" t="n">
        <v>31859730.5408891</v>
      </c>
      <c r="AP47" t="n">
        <v>6944482.46654248</v>
      </c>
      <c r="AQ47" t="n">
        <v>2578662.95564518</v>
      </c>
      <c r="AR47" t="n">
        <v>77269443.6625074</v>
      </c>
      <c r="AS47" t="n">
        <v>15672656.6669684</v>
      </c>
      <c r="AT47" t="n">
        <v>67570340.8235674</v>
      </c>
      <c r="AU47" t="n">
        <v>836197.194475108</v>
      </c>
      <c r="AV47" t="n">
        <v>0</v>
      </c>
      <c r="AW47" t="n">
        <v>0</v>
      </c>
      <c r="AX47" t="n">
        <v>0</v>
      </c>
      <c r="AY47" t="n">
        <v>63614756.6913493</v>
      </c>
      <c r="AZ47" t="n">
        <v>9293743.38683606</v>
      </c>
      <c r="BA47" t="n">
        <v>29130631.7814662</v>
      </c>
      <c r="BB47" t="n">
        <v>215466835.172985</v>
      </c>
      <c r="BC47" t="n">
        <v>11577714.9873515</v>
      </c>
      <c r="BD47" t="n">
        <v>50995146.993865</v>
      </c>
      <c r="BE47" t="n">
        <v>32702286.2540357</v>
      </c>
      <c r="BF47" t="n">
        <v>4990998.19075844</v>
      </c>
      <c r="BG47" t="n">
        <v>39444490.3241947</v>
      </c>
      <c r="BH47" t="n">
        <v>57079172.2225185</v>
      </c>
      <c r="BI47" t="n">
        <v>5151045.34449712</v>
      </c>
      <c r="BJ47" t="n">
        <v>21209478.9794696</v>
      </c>
      <c r="BK47" t="n">
        <v>10621901.7998847</v>
      </c>
      <c r="BL47" t="n">
        <v>22055351.0615173</v>
      </c>
      <c r="BM47" t="n">
        <v>2448333.94060382</v>
      </c>
      <c r="BN47" t="n">
        <v>19655791.9303442</v>
      </c>
      <c r="BO47" t="n">
        <v>21872069.8776221</v>
      </c>
      <c r="BP47" t="n">
        <v>63908.0252208328</v>
      </c>
      <c r="BQ47" t="n">
        <v>5066517.58597191</v>
      </c>
      <c r="BR47" t="n">
        <v>23405751.7382902</v>
      </c>
      <c r="BS47" t="n">
        <v>16174561.1032718</v>
      </c>
      <c r="BT47" t="n">
        <v>37027940.5199666</v>
      </c>
      <c r="BU47" t="n">
        <v>415570240.377853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149046492.887325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</row>
    <row r="48">
      <c r="A48" t="s">
        <v>159</v>
      </c>
      <c r="B48" t="n">
        <v>6419680.86423645</v>
      </c>
      <c r="C48" t="n">
        <v>0</v>
      </c>
      <c r="D48" t="n">
        <v>170663.529700693</v>
      </c>
      <c r="E48" t="n">
        <v>1577322.92254279</v>
      </c>
      <c r="F48" t="n">
        <v>0</v>
      </c>
      <c r="G48" t="n">
        <v>4766085.46339089</v>
      </c>
      <c r="H48" t="n">
        <v>0</v>
      </c>
      <c r="I48" t="n">
        <v>5675406.51506747</v>
      </c>
      <c r="J48" t="n">
        <v>20108936.5860249</v>
      </c>
      <c r="K48" t="n">
        <v>261697.902654389</v>
      </c>
      <c r="L48" t="n">
        <v>3425334.90791744</v>
      </c>
      <c r="M48" t="n">
        <v>2085605.90006993</v>
      </c>
      <c r="N48" t="n">
        <v>4075201.21652645</v>
      </c>
      <c r="O48" t="n">
        <v>219837.621805171</v>
      </c>
      <c r="P48" t="n">
        <v>59494.9557716578</v>
      </c>
      <c r="Q48" t="n">
        <v>584666.006913261</v>
      </c>
      <c r="R48" t="n">
        <v>897696.140527835</v>
      </c>
      <c r="S48" t="n">
        <v>5226320.7233958</v>
      </c>
      <c r="T48" t="n">
        <v>29223960.5252734</v>
      </c>
      <c r="U48" t="n">
        <v>2169566.06591434</v>
      </c>
      <c r="V48" t="n">
        <v>326106.882396902</v>
      </c>
      <c r="W48" t="n">
        <v>3686922.16325969</v>
      </c>
      <c r="X48" t="n">
        <v>3505377.88131671</v>
      </c>
      <c r="Y48" t="n">
        <v>4335864.1375231</v>
      </c>
      <c r="Z48" t="n">
        <v>6616590.66653844</v>
      </c>
      <c r="AA48" t="n">
        <v>15894742.468277</v>
      </c>
      <c r="AB48" t="n">
        <v>248308147.300377</v>
      </c>
      <c r="AC48" t="n">
        <v>72960240.6323538</v>
      </c>
      <c r="AD48" t="n">
        <v>73241945.2528715</v>
      </c>
      <c r="AE48" t="n">
        <v>45228497.686697</v>
      </c>
      <c r="AF48" t="n">
        <v>174448544.146847</v>
      </c>
      <c r="AG48" t="n">
        <v>2748938.53904851</v>
      </c>
      <c r="AH48" t="n">
        <v>8470.50019807304</v>
      </c>
      <c r="AI48" t="n">
        <v>97883.07175957</v>
      </c>
      <c r="AJ48" t="n">
        <v>45898570.8997015</v>
      </c>
      <c r="AK48" t="n">
        <v>1488563.45854964</v>
      </c>
      <c r="AL48" t="n">
        <v>11790709.5263854</v>
      </c>
      <c r="AM48" t="n">
        <v>7701037.81784168</v>
      </c>
      <c r="AN48" t="n">
        <v>39546751.5900643</v>
      </c>
      <c r="AO48" t="n">
        <v>5401727.07574867</v>
      </c>
      <c r="AP48" t="n">
        <v>946391.883177935</v>
      </c>
      <c r="AQ48" t="n">
        <v>3975980.92957791</v>
      </c>
      <c r="AR48" t="n">
        <v>12692443.1139836</v>
      </c>
      <c r="AS48" t="n">
        <v>0</v>
      </c>
      <c r="AT48" t="n">
        <v>0</v>
      </c>
      <c r="AU48" t="n">
        <v>113462.760352048</v>
      </c>
      <c r="AV48" t="n">
        <v>0</v>
      </c>
      <c r="AW48" t="n">
        <v>14061.139496465</v>
      </c>
      <c r="AX48" t="n">
        <v>2892315.02145686</v>
      </c>
      <c r="AY48" t="n">
        <v>5498670.60250561</v>
      </c>
      <c r="AZ48" t="n">
        <v>1284836.27636035</v>
      </c>
      <c r="BA48" t="n">
        <v>3797935.67964783</v>
      </c>
      <c r="BB48" t="n">
        <v>15833630.2296385</v>
      </c>
      <c r="BC48" t="n">
        <v>114933.928167658</v>
      </c>
      <c r="BD48" t="n">
        <v>122109286.476315</v>
      </c>
      <c r="BE48" t="n">
        <v>3178903.52561556</v>
      </c>
      <c r="BF48" t="n">
        <v>1252269.50974882</v>
      </c>
      <c r="BG48" t="n">
        <v>6512568.20254782</v>
      </c>
      <c r="BH48" t="n">
        <v>9044533.67949785</v>
      </c>
      <c r="BI48" t="n">
        <v>1277402.39584206</v>
      </c>
      <c r="BJ48" t="n">
        <v>2087897.52936157</v>
      </c>
      <c r="BK48" t="n">
        <v>2361607.5952229</v>
      </c>
      <c r="BL48" t="n">
        <v>2200783.26142379</v>
      </c>
      <c r="BM48" t="n">
        <v>6361668.52532626</v>
      </c>
      <c r="BN48" t="n">
        <v>10948977.6924297</v>
      </c>
      <c r="BO48" t="n">
        <v>7204621.41157742</v>
      </c>
      <c r="BP48" t="n">
        <v>3570778.7560969</v>
      </c>
      <c r="BQ48" t="n">
        <v>13046666.17453</v>
      </c>
      <c r="BR48" t="n">
        <v>0</v>
      </c>
      <c r="BS48" t="n">
        <v>59858835.2285228</v>
      </c>
      <c r="BT48" t="n">
        <v>640185.304106582</v>
      </c>
      <c r="BU48" t="n">
        <v>2355625.04095412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1918752.29993184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</row>
    <row r="49">
      <c r="A49" t="s">
        <v>160</v>
      </c>
      <c r="B49" t="n">
        <v>492587.864158045</v>
      </c>
      <c r="C49" t="n">
        <v>0</v>
      </c>
      <c r="D49" t="n">
        <v>560674.548889045</v>
      </c>
      <c r="E49" t="n">
        <v>9195.95448601981</v>
      </c>
      <c r="F49" t="n">
        <v>241172.149869115</v>
      </c>
      <c r="G49" t="n">
        <v>1557199.77421744</v>
      </c>
      <c r="H49" t="n">
        <v>8223633.93403652</v>
      </c>
      <c r="I49" t="n">
        <v>82580.0635422486</v>
      </c>
      <c r="J49" t="n">
        <v>10048.8997418795</v>
      </c>
      <c r="K49" t="n">
        <v>42255.9662241112</v>
      </c>
      <c r="L49" t="n">
        <v>374337.991784576</v>
      </c>
      <c r="M49" t="n">
        <v>151337.329786076</v>
      </c>
      <c r="N49" t="n">
        <v>336438.270288248</v>
      </c>
      <c r="O49" t="n">
        <v>4485.86562358237</v>
      </c>
      <c r="P49" t="n">
        <v>15863.1416034862</v>
      </c>
      <c r="Q49" t="n">
        <v>784813.811367535</v>
      </c>
      <c r="R49" t="n">
        <v>61547.8487855839</v>
      </c>
      <c r="S49" t="n">
        <v>257857.941944602</v>
      </c>
      <c r="T49" t="n">
        <v>54021.3905855583</v>
      </c>
      <c r="U49" t="n">
        <v>0</v>
      </c>
      <c r="V49" t="n">
        <v>0</v>
      </c>
      <c r="W49" t="n">
        <v>8629.92330258902</v>
      </c>
      <c r="X49" t="n">
        <v>186596.072766287</v>
      </c>
      <c r="Y49" t="n">
        <v>28518.3754768414</v>
      </c>
      <c r="Z49" t="n">
        <v>70085.8717475981</v>
      </c>
      <c r="AA49" t="n">
        <v>35165.3901040383</v>
      </c>
      <c r="AB49" t="n">
        <v>24557810.0124726</v>
      </c>
      <c r="AC49" t="n">
        <v>3341890.44285527</v>
      </c>
      <c r="AD49" t="n">
        <v>792344.94870667</v>
      </c>
      <c r="AE49" t="n">
        <v>1960089.09388468</v>
      </c>
      <c r="AF49" t="n">
        <v>4850748.68093424</v>
      </c>
      <c r="AG49" t="n">
        <v>275366.019862399</v>
      </c>
      <c r="AH49" t="n">
        <v>450084.730666888</v>
      </c>
      <c r="AI49" t="n">
        <v>0</v>
      </c>
      <c r="AJ49" t="n">
        <v>212189.703793834</v>
      </c>
      <c r="AK49" t="n">
        <v>99223.9284090576</v>
      </c>
      <c r="AL49" t="n">
        <v>0</v>
      </c>
      <c r="AM49" t="n">
        <v>2422624.70014732</v>
      </c>
      <c r="AN49" t="n">
        <v>593659.456899142</v>
      </c>
      <c r="AO49" t="n">
        <v>365366891.343085</v>
      </c>
      <c r="AP49" t="n">
        <v>184983.518868707</v>
      </c>
      <c r="AQ49" t="n">
        <v>4792099.47745258</v>
      </c>
      <c r="AR49" t="n">
        <v>19265303.4493639</v>
      </c>
      <c r="AS49" t="n">
        <v>3721233.17583305</v>
      </c>
      <c r="AT49" t="n">
        <v>6149231.75041105</v>
      </c>
      <c r="AU49" t="n">
        <v>2949626.42726809</v>
      </c>
      <c r="AV49" t="n">
        <v>456810.97558711</v>
      </c>
      <c r="AW49" t="n">
        <v>0</v>
      </c>
      <c r="AX49" t="n">
        <v>4426004.82975165</v>
      </c>
      <c r="AY49" t="n">
        <v>4600921.36674256</v>
      </c>
      <c r="AZ49" t="n">
        <v>6631566.15223703</v>
      </c>
      <c r="BA49" t="n">
        <v>13424936.3411747</v>
      </c>
      <c r="BB49" t="n">
        <v>50539559.38402</v>
      </c>
      <c r="BC49" t="n">
        <v>4504193.95202578</v>
      </c>
      <c r="BD49" t="n">
        <v>19329368.4346151</v>
      </c>
      <c r="BE49" t="n">
        <v>203060.874005386</v>
      </c>
      <c r="BF49" t="n">
        <v>3629351.57941302</v>
      </c>
      <c r="BG49" t="n">
        <v>13562806.4225799</v>
      </c>
      <c r="BH49" t="n">
        <v>9041604.38567976</v>
      </c>
      <c r="BI49" t="n">
        <v>727805.259802522</v>
      </c>
      <c r="BJ49" t="n">
        <v>7442682.46573626</v>
      </c>
      <c r="BK49" t="n">
        <v>409610.334422723</v>
      </c>
      <c r="BL49" t="n">
        <v>1034327.41269927</v>
      </c>
      <c r="BM49" t="n">
        <v>1196126.0636227</v>
      </c>
      <c r="BN49" t="n">
        <v>1487858.37450452</v>
      </c>
      <c r="BO49" t="n">
        <v>4336054.26057172</v>
      </c>
      <c r="BP49" t="n">
        <v>421134.902987422</v>
      </c>
      <c r="BQ49" t="n">
        <v>9069002.07225426</v>
      </c>
      <c r="BR49" t="n">
        <v>223879.452697173</v>
      </c>
      <c r="BS49" t="n">
        <v>74643091.4513154</v>
      </c>
      <c r="BT49" t="n">
        <v>1423536.94372197</v>
      </c>
      <c r="BU49" t="n">
        <v>785925167.236544</v>
      </c>
      <c r="BV49" t="n">
        <v>0</v>
      </c>
      <c r="BW49" t="n">
        <v>0</v>
      </c>
      <c r="BX49" t="n">
        <v>1189906616.13215</v>
      </c>
      <c r="BY49" t="n">
        <v>0</v>
      </c>
      <c r="BZ49" t="n">
        <v>6205914.55838968</v>
      </c>
      <c r="CA49" t="n">
        <v>872030290.086685</v>
      </c>
      <c r="CB49" t="n">
        <v>0</v>
      </c>
      <c r="CC49" t="n">
        <v>0</v>
      </c>
      <c r="CD49" t="n">
        <v>0</v>
      </c>
      <c r="CE49" t="n">
        <v>0</v>
      </c>
      <c r="CF49" t="n">
        <v>1290792621.20402</v>
      </c>
      <c r="CG49" t="n">
        <v>0</v>
      </c>
      <c r="CH49" t="n">
        <v>0</v>
      </c>
      <c r="CI49" t="n">
        <v>0</v>
      </c>
      <c r="CJ49" t="n">
        <v>24872010.9467774</v>
      </c>
      <c r="CK49" t="n">
        <v>0</v>
      </c>
      <c r="CL49" t="n">
        <v>0</v>
      </c>
      <c r="CM49" t="n">
        <v>0</v>
      </c>
      <c r="CN49" t="n">
        <v>84682963.0826174</v>
      </c>
    </row>
    <row r="50">
      <c r="A50" t="s">
        <v>161</v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127853.443027819</v>
      </c>
      <c r="AC50" t="n">
        <v>835440.235893334</v>
      </c>
      <c r="AD50" t="n">
        <v>849135.100526767</v>
      </c>
      <c r="AE50" t="n">
        <v>0</v>
      </c>
      <c r="AF50" t="n">
        <v>152963.412312956</v>
      </c>
      <c r="AG50" t="n">
        <v>38089.1360995817</v>
      </c>
      <c r="AH50" t="n">
        <v>0</v>
      </c>
      <c r="AI50" t="n">
        <v>0</v>
      </c>
      <c r="AJ50" t="n">
        <v>4439.56711143631</v>
      </c>
      <c r="AK50" t="n">
        <v>0</v>
      </c>
      <c r="AL50" t="n">
        <v>243672.597816231</v>
      </c>
      <c r="AM50" t="n">
        <v>28075.1339953307</v>
      </c>
      <c r="AN50" t="n">
        <v>0</v>
      </c>
      <c r="AO50" t="n">
        <v>369333.647357648</v>
      </c>
      <c r="AP50" t="n">
        <v>30875445.803007</v>
      </c>
      <c r="AQ50" t="n">
        <v>121491132.746496</v>
      </c>
      <c r="AR50" t="n">
        <v>528619.785792171</v>
      </c>
      <c r="AS50" t="n">
        <v>90294.5440144637</v>
      </c>
      <c r="AT50" t="n">
        <v>71243.9066170759</v>
      </c>
      <c r="AU50" t="n">
        <v>0</v>
      </c>
      <c r="AV50" t="n">
        <v>0</v>
      </c>
      <c r="AW50" t="n">
        <v>0</v>
      </c>
      <c r="AX50" t="n">
        <v>133344.603085881</v>
      </c>
      <c r="AY50" t="n">
        <v>548605.169317629</v>
      </c>
      <c r="AZ50" t="n">
        <v>15402.2653510828</v>
      </c>
      <c r="BA50" t="n">
        <v>185980.333879946</v>
      </c>
      <c r="BB50" t="n">
        <v>11770007.950983</v>
      </c>
      <c r="BC50" t="n">
        <v>949140.712413244</v>
      </c>
      <c r="BD50" t="n">
        <v>170811.465880874</v>
      </c>
      <c r="BE50" t="n">
        <v>0</v>
      </c>
      <c r="BF50" t="n">
        <v>662897.159395168</v>
      </c>
      <c r="BG50" t="n">
        <v>140398.235077156</v>
      </c>
      <c r="BH50" t="n">
        <v>26994.6342407278</v>
      </c>
      <c r="BI50" t="n">
        <v>1216032.76460562</v>
      </c>
      <c r="BJ50" t="n">
        <v>2588928.01085791</v>
      </c>
      <c r="BK50" t="n">
        <v>1054125.5396155</v>
      </c>
      <c r="BL50" t="n">
        <v>210998.306455522</v>
      </c>
      <c r="BM50" t="n">
        <v>1411549.95585216</v>
      </c>
      <c r="BN50" t="n">
        <v>9405626.41475846</v>
      </c>
      <c r="BO50" t="n">
        <v>1008643.50629293</v>
      </c>
      <c r="BP50" t="n">
        <v>49930.420331417</v>
      </c>
      <c r="BQ50" t="n">
        <v>2309841.23157938</v>
      </c>
      <c r="BR50" t="n">
        <v>170636.799136549</v>
      </c>
      <c r="BS50" t="n">
        <v>992059.767739142</v>
      </c>
      <c r="BT50" t="n">
        <v>0</v>
      </c>
      <c r="BU50" t="n">
        <v>61065053.7356322</v>
      </c>
      <c r="BV50" t="n">
        <v>0</v>
      </c>
      <c r="BW50" t="n">
        <v>0</v>
      </c>
      <c r="BX50" t="n">
        <v>43349532.9985933</v>
      </c>
      <c r="BY50" t="n">
        <v>0</v>
      </c>
      <c r="BZ50" t="n">
        <v>-588379.769298191</v>
      </c>
      <c r="CA50" t="n">
        <v>133330822.328156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</row>
    <row r="51">
      <c r="A51" t="s">
        <v>162</v>
      </c>
      <c r="B51" t="n">
        <v>10294151.3029458</v>
      </c>
      <c r="C51" t="n">
        <v>52366.4815582792</v>
      </c>
      <c r="D51" t="n">
        <v>19876365.1942207</v>
      </c>
      <c r="E51" t="n">
        <v>2473110.23109997</v>
      </c>
      <c r="F51" t="n">
        <v>28753015.7993068</v>
      </c>
      <c r="G51" t="n">
        <v>14701585.8074818</v>
      </c>
      <c r="H51" t="n">
        <v>113394438.648614</v>
      </c>
      <c r="I51" t="n">
        <v>2701814.87585371</v>
      </c>
      <c r="J51" t="n">
        <v>14975618.7230117</v>
      </c>
      <c r="K51" t="n">
        <v>1692642.63780711</v>
      </c>
      <c r="L51" t="n">
        <v>9972746.94215869</v>
      </c>
      <c r="M51" t="n">
        <v>7749014.58695448</v>
      </c>
      <c r="N51" t="n">
        <v>4555553.94105297</v>
      </c>
      <c r="O51" t="n">
        <v>557097.584039167</v>
      </c>
      <c r="P51" t="n">
        <v>469703.222622479</v>
      </c>
      <c r="Q51" t="n">
        <v>6494263.97010462</v>
      </c>
      <c r="R51" t="n">
        <v>2648902.40177162</v>
      </c>
      <c r="S51" t="n">
        <v>7721572.52863168</v>
      </c>
      <c r="T51" t="n">
        <v>17234911.1683551</v>
      </c>
      <c r="U51" t="n">
        <v>328281.520590722</v>
      </c>
      <c r="V51" t="n">
        <v>57720.5306312306</v>
      </c>
      <c r="W51" t="n">
        <v>734911.677941056</v>
      </c>
      <c r="X51" t="n">
        <v>3579872.26172718</v>
      </c>
      <c r="Y51" t="n">
        <v>615520.237276395</v>
      </c>
      <c r="Z51" t="n">
        <v>2015455.96109398</v>
      </c>
      <c r="AA51" t="n">
        <v>3448561.21226366</v>
      </c>
      <c r="AB51" t="n">
        <v>157313870.860173</v>
      </c>
      <c r="AC51" t="n">
        <v>27764670.543594</v>
      </c>
      <c r="AD51" t="n">
        <v>13643052.1015626</v>
      </c>
      <c r="AE51" t="n">
        <v>7206454.28901229</v>
      </c>
      <c r="AF51" t="n">
        <v>65389745.936695</v>
      </c>
      <c r="AG51" t="n">
        <v>51335676.1778481</v>
      </c>
      <c r="AH51" t="n">
        <v>1293251.34249195</v>
      </c>
      <c r="AI51" t="n">
        <v>40484.8296361527</v>
      </c>
      <c r="AJ51" t="n">
        <v>16783867.8149303</v>
      </c>
      <c r="AK51" t="n">
        <v>12852707.6545145</v>
      </c>
      <c r="AL51" t="n">
        <v>49522312.0738621</v>
      </c>
      <c r="AM51" t="n">
        <v>13468834.6737021</v>
      </c>
      <c r="AN51" t="n">
        <v>2975104.95118314</v>
      </c>
      <c r="AO51" t="n">
        <v>41891891.7385862</v>
      </c>
      <c r="AP51" t="n">
        <v>5235654.38047722</v>
      </c>
      <c r="AQ51" t="n">
        <v>1445819504.54852</v>
      </c>
      <c r="AR51" t="n">
        <v>213373690.299301</v>
      </c>
      <c r="AS51" t="n">
        <v>95105709.6471923</v>
      </c>
      <c r="AT51" t="n">
        <v>52998584.2839735</v>
      </c>
      <c r="AU51" t="n">
        <v>29871353.9295804</v>
      </c>
      <c r="AV51" t="n">
        <v>11635854.9830876</v>
      </c>
      <c r="AW51" t="n">
        <v>268351.736992266</v>
      </c>
      <c r="AX51" t="n">
        <v>119349751.908854</v>
      </c>
      <c r="AY51" t="n">
        <v>24261924.2163803</v>
      </c>
      <c r="AZ51" t="n">
        <v>37098849.380681</v>
      </c>
      <c r="BA51" t="n">
        <v>54591182.4509221</v>
      </c>
      <c r="BB51" t="n">
        <v>188573655.074717</v>
      </c>
      <c r="BC51" t="n">
        <v>30171747.6374078</v>
      </c>
      <c r="BD51" t="n">
        <v>180715705.564853</v>
      </c>
      <c r="BE51" t="n">
        <v>15869971.1463223</v>
      </c>
      <c r="BF51" t="n">
        <v>21704897.5241973</v>
      </c>
      <c r="BG51" t="n">
        <v>79650536.8119752</v>
      </c>
      <c r="BH51" t="n">
        <v>23964208.6548927</v>
      </c>
      <c r="BI51" t="n">
        <v>13766089.9276203</v>
      </c>
      <c r="BJ51" t="n">
        <v>9708298.68221543</v>
      </c>
      <c r="BK51" t="n">
        <v>11625307.4337076</v>
      </c>
      <c r="BL51" t="n">
        <v>36998530.4965722</v>
      </c>
      <c r="BM51" t="n">
        <v>65517633.8963598</v>
      </c>
      <c r="BN51" t="n">
        <v>90140571.9890401</v>
      </c>
      <c r="BO51" t="n">
        <v>85386354.4660107</v>
      </c>
      <c r="BP51" t="n">
        <v>80001806.0328684</v>
      </c>
      <c r="BQ51" t="n">
        <v>136793225.395089</v>
      </c>
      <c r="BR51" t="n">
        <v>27981537.9145422</v>
      </c>
      <c r="BS51" t="n">
        <v>1067817743.89619</v>
      </c>
      <c r="BT51" t="n">
        <v>15875394.8332843</v>
      </c>
      <c r="BU51" t="n">
        <v>4576075508.03095</v>
      </c>
      <c r="BV51" t="n">
        <v>0</v>
      </c>
      <c r="BW51" t="n">
        <v>112400837.825484</v>
      </c>
      <c r="BX51" t="n">
        <v>500553265.324475</v>
      </c>
      <c r="BY51" t="n">
        <v>0</v>
      </c>
      <c r="BZ51" t="n">
        <v>0</v>
      </c>
      <c r="CA51" t="n">
        <v>220732375.91072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</row>
    <row r="52">
      <c r="A52" t="s">
        <v>163</v>
      </c>
      <c r="B52" t="n">
        <v>0</v>
      </c>
      <c r="C52" t="n">
        <v>0</v>
      </c>
      <c r="D52" t="n">
        <v>2325176.70520394</v>
      </c>
      <c r="E52" t="n">
        <v>168681.100804815</v>
      </c>
      <c r="F52" t="n">
        <v>1282905.79272845</v>
      </c>
      <c r="G52" t="n">
        <v>54523643.9004296</v>
      </c>
      <c r="H52" t="n">
        <v>40711713.0234893</v>
      </c>
      <c r="I52" t="n">
        <v>4582159.52820827</v>
      </c>
      <c r="J52" t="n">
        <v>20036306.69397</v>
      </c>
      <c r="K52" t="n">
        <v>3964933.82334172</v>
      </c>
      <c r="L52" t="n">
        <v>16949338.8174222</v>
      </c>
      <c r="M52" t="n">
        <v>13804852.7730828</v>
      </c>
      <c r="N52" t="n">
        <v>3070944.73292457</v>
      </c>
      <c r="O52" t="n">
        <v>1658024.42420347</v>
      </c>
      <c r="P52" t="n">
        <v>573640.572821444</v>
      </c>
      <c r="Q52" t="n">
        <v>14429035.904355</v>
      </c>
      <c r="R52" t="n">
        <v>6802045.65813702</v>
      </c>
      <c r="S52" t="n">
        <v>13033447.1992511</v>
      </c>
      <c r="T52" t="n">
        <v>21416099.6527258</v>
      </c>
      <c r="U52" t="n">
        <v>456248.04686694</v>
      </c>
      <c r="V52" t="n">
        <v>72716.671938311</v>
      </c>
      <c r="W52" t="n">
        <v>1834000.13624968</v>
      </c>
      <c r="X52" t="n">
        <v>2549930.74410087</v>
      </c>
      <c r="Y52" t="n">
        <v>1386245.88520598</v>
      </c>
      <c r="Z52" t="n">
        <v>2341319.19215749</v>
      </c>
      <c r="AA52" t="n">
        <v>3636399.65489846</v>
      </c>
      <c r="AB52" t="n">
        <v>59313550.5080088</v>
      </c>
      <c r="AC52" t="n">
        <v>74352220.3095272</v>
      </c>
      <c r="AD52" t="n">
        <v>29313294.9273605</v>
      </c>
      <c r="AE52" t="n">
        <v>23028003.7055881</v>
      </c>
      <c r="AF52" t="n">
        <v>115612264.16525</v>
      </c>
      <c r="AG52" t="n">
        <v>23066371.0122333</v>
      </c>
      <c r="AH52" t="n">
        <v>0</v>
      </c>
      <c r="AI52" t="n">
        <v>0</v>
      </c>
      <c r="AJ52" t="n">
        <v>2083465.87183737</v>
      </c>
      <c r="AK52" t="n">
        <v>2392080.65055902</v>
      </c>
      <c r="AL52" t="n">
        <v>3298681.41967308</v>
      </c>
      <c r="AM52" t="n">
        <v>10168423.7437344</v>
      </c>
      <c r="AN52" t="n">
        <v>2006903.52871239</v>
      </c>
      <c r="AO52" t="n">
        <v>76861991.2380074</v>
      </c>
      <c r="AP52" t="n">
        <v>1226753.07606108</v>
      </c>
      <c r="AQ52" t="n">
        <v>62965717.0255949</v>
      </c>
      <c r="AR52" t="n">
        <v>248078530.007771</v>
      </c>
      <c r="AS52" t="n">
        <v>233998184.605486</v>
      </c>
      <c r="AT52" t="n">
        <v>57450825.9906889</v>
      </c>
      <c r="AU52" t="n">
        <v>25427322.9162444</v>
      </c>
      <c r="AV52" t="n">
        <v>34681468.7683705</v>
      </c>
      <c r="AW52" t="n">
        <v>22104.6510435854</v>
      </c>
      <c r="AX52" t="n">
        <v>15416115.1670173</v>
      </c>
      <c r="AY52" t="n">
        <v>15036918.4605827</v>
      </c>
      <c r="AZ52" t="n">
        <v>48974766.0748074</v>
      </c>
      <c r="BA52" t="n">
        <v>106557851.442095</v>
      </c>
      <c r="BB52" t="n">
        <v>352728085.083008</v>
      </c>
      <c r="BC52" t="n">
        <v>26625742.4213748</v>
      </c>
      <c r="BD52" t="n">
        <v>536417611.069231</v>
      </c>
      <c r="BE52" t="n">
        <v>26756042.9425352</v>
      </c>
      <c r="BF52" t="n">
        <v>52443499.9372694</v>
      </c>
      <c r="BG52" t="n">
        <v>29729319.3743136</v>
      </c>
      <c r="BH52" t="n">
        <v>34487861.5851506</v>
      </c>
      <c r="BI52" t="n">
        <v>4072344.09591804</v>
      </c>
      <c r="BJ52" t="n">
        <v>11769042.0579232</v>
      </c>
      <c r="BK52" t="n">
        <v>17546160.7601139</v>
      </c>
      <c r="BL52" t="n">
        <v>40958570.5305817</v>
      </c>
      <c r="BM52" t="n">
        <v>18436825.2398812</v>
      </c>
      <c r="BN52" t="n">
        <v>192264440.119354</v>
      </c>
      <c r="BO52" t="n">
        <v>123853623.425227</v>
      </c>
      <c r="BP52" t="n">
        <v>23238966.2816573</v>
      </c>
      <c r="BQ52" t="n">
        <v>71984645.3849747</v>
      </c>
      <c r="BR52" t="n">
        <v>8418558.05193441</v>
      </c>
      <c r="BS52" t="n">
        <v>528713224.712374</v>
      </c>
      <c r="BT52" t="n">
        <v>27009489.2241875</v>
      </c>
      <c r="BU52" t="n">
        <v>956385717.781399</v>
      </c>
      <c r="BV52" t="n">
        <v>0</v>
      </c>
      <c r="BW52" t="n">
        <v>0</v>
      </c>
      <c r="BX52" t="n">
        <v>757081053.803157</v>
      </c>
      <c r="BY52" t="n">
        <v>0</v>
      </c>
      <c r="BZ52" t="n">
        <v>0</v>
      </c>
      <c r="CA52" t="n">
        <v>141894189.86103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46569768.6539017</v>
      </c>
      <c r="CK52" t="n">
        <v>0</v>
      </c>
      <c r="CL52" t="n">
        <v>0</v>
      </c>
      <c r="CM52" t="n">
        <v>0</v>
      </c>
      <c r="CN52" t="n">
        <v>91406245.2637076</v>
      </c>
    </row>
    <row r="53">
      <c r="A53" t="s">
        <v>164</v>
      </c>
      <c r="B53" t="n">
        <v>12167979.456288</v>
      </c>
      <c r="C53" t="n">
        <v>686377.691903957</v>
      </c>
      <c r="D53" t="n">
        <v>25989920.8442972</v>
      </c>
      <c r="E53" t="n">
        <v>3174741.59157949</v>
      </c>
      <c r="F53" t="n">
        <v>8357985.76219821</v>
      </c>
      <c r="G53" t="n">
        <v>17768267.0389907</v>
      </c>
      <c r="H53" t="n">
        <v>41480171.6544135</v>
      </c>
      <c r="I53" t="n">
        <v>1348906.20429935</v>
      </c>
      <c r="J53" t="n">
        <v>4804539.68918193</v>
      </c>
      <c r="K53" t="n">
        <v>1700465.59808413</v>
      </c>
      <c r="L53" t="n">
        <v>4464204.47708766</v>
      </c>
      <c r="M53" t="n">
        <v>4299406.94572284</v>
      </c>
      <c r="N53" t="n">
        <v>11744371.8153628</v>
      </c>
      <c r="O53" t="n">
        <v>1179323.19724291</v>
      </c>
      <c r="P53" t="n">
        <v>874644.596443014</v>
      </c>
      <c r="Q53" t="n">
        <v>2244089.5940456</v>
      </c>
      <c r="R53" t="n">
        <v>1783146.43633692</v>
      </c>
      <c r="S53" t="n">
        <v>6960951.96114538</v>
      </c>
      <c r="T53" t="n">
        <v>13745980.0731819</v>
      </c>
      <c r="U53" t="n">
        <v>366328.576948717</v>
      </c>
      <c r="V53" t="n">
        <v>377152.048224152</v>
      </c>
      <c r="W53" t="n">
        <v>596518.978602246</v>
      </c>
      <c r="X53" t="n">
        <v>1318036.07484676</v>
      </c>
      <c r="Y53" t="n">
        <v>1936359.24601535</v>
      </c>
      <c r="Z53" t="n">
        <v>4457388.95441656</v>
      </c>
      <c r="AA53" t="n">
        <v>3696793.97784471</v>
      </c>
      <c r="AB53" t="n">
        <v>132496766.127793</v>
      </c>
      <c r="AC53" t="n">
        <v>16850326.7987132</v>
      </c>
      <c r="AD53" t="n">
        <v>11779609.6902417</v>
      </c>
      <c r="AE53" t="n">
        <v>12055492.8472398</v>
      </c>
      <c r="AF53" t="n">
        <v>31868094.3254528</v>
      </c>
      <c r="AG53" t="n">
        <v>11386761.5962274</v>
      </c>
      <c r="AH53" t="n">
        <v>21536577.0188443</v>
      </c>
      <c r="AI53" t="n">
        <v>35838.463194406</v>
      </c>
      <c r="AJ53" t="n">
        <v>5601283.87704703</v>
      </c>
      <c r="AK53" t="n">
        <v>11950353.7223102</v>
      </c>
      <c r="AL53" t="n">
        <v>29201055.2929441</v>
      </c>
      <c r="AM53" t="n">
        <v>5864964.37163399</v>
      </c>
      <c r="AN53" t="n">
        <v>794919.04077063</v>
      </c>
      <c r="AO53" t="n">
        <v>23933062.7430319</v>
      </c>
      <c r="AP53" t="n">
        <v>1811714.48153081</v>
      </c>
      <c r="AQ53" t="n">
        <v>68552124.0039609</v>
      </c>
      <c r="AR53" t="n">
        <v>13457431.1160945</v>
      </c>
      <c r="AS53" t="n">
        <v>259774332.034429</v>
      </c>
      <c r="AT53" t="n">
        <v>179793721.517673</v>
      </c>
      <c r="AU53" t="n">
        <v>1547832.22868712</v>
      </c>
      <c r="AV53" t="n">
        <v>8705859.12591505</v>
      </c>
      <c r="AW53" t="n">
        <v>674709596.93909</v>
      </c>
      <c r="AX53" t="n">
        <v>144753948.924853</v>
      </c>
      <c r="AY53" t="n">
        <v>39960173.6521881</v>
      </c>
      <c r="AZ53" t="n">
        <v>6000068.28824692</v>
      </c>
      <c r="BA53" t="n">
        <v>20925430.7457207</v>
      </c>
      <c r="BB53" t="n">
        <v>72228242.3280219</v>
      </c>
      <c r="BC53" t="n">
        <v>116731467.591753</v>
      </c>
      <c r="BD53" t="n">
        <v>27861663.4661259</v>
      </c>
      <c r="BE53" t="n">
        <v>4019130.39208668</v>
      </c>
      <c r="BF53" t="n">
        <v>5492018.19452081</v>
      </c>
      <c r="BG53" t="n">
        <v>21305199.977623</v>
      </c>
      <c r="BH53" t="n">
        <v>15841433.9337405</v>
      </c>
      <c r="BI53" t="n">
        <v>3285970.21203549</v>
      </c>
      <c r="BJ53" t="n">
        <v>3836520.41085612</v>
      </c>
      <c r="BK53" t="n">
        <v>3932213.50834604</v>
      </c>
      <c r="BL53" t="n">
        <v>13940594.2452842</v>
      </c>
      <c r="BM53" t="n">
        <v>26014028.6254634</v>
      </c>
      <c r="BN53" t="n">
        <v>35095149.385192</v>
      </c>
      <c r="BO53" t="n">
        <v>43361677.6557439</v>
      </c>
      <c r="BP53" t="n">
        <v>0</v>
      </c>
      <c r="BQ53" t="n">
        <v>19687232.5675071</v>
      </c>
      <c r="BR53" t="n">
        <v>5513686.25935047</v>
      </c>
      <c r="BS53" t="n">
        <v>88051687.5103423</v>
      </c>
      <c r="BT53" t="n">
        <v>8346655.90050021</v>
      </c>
      <c r="BU53" t="n">
        <v>987630226.83821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988475188.105266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</row>
    <row r="54">
      <c r="A54" t="s">
        <v>165</v>
      </c>
      <c r="B54" t="n">
        <v>3694073.45513112</v>
      </c>
      <c r="C54" t="n">
        <v>47839.1562425091</v>
      </c>
      <c r="D54" t="n">
        <v>93905142.4550851</v>
      </c>
      <c r="E54" t="n">
        <v>27936632.1503915</v>
      </c>
      <c r="F54" t="n">
        <v>347706818.382348</v>
      </c>
      <c r="G54" t="n">
        <v>6648114.30083194</v>
      </c>
      <c r="H54" t="n">
        <v>24677211.2793641</v>
      </c>
      <c r="I54" t="n">
        <v>188455.640295058</v>
      </c>
      <c r="J54" t="n">
        <v>1082416.58801558</v>
      </c>
      <c r="K54" t="n">
        <v>8236791.35005693</v>
      </c>
      <c r="L54" t="n">
        <v>17229383.3034192</v>
      </c>
      <c r="M54" t="n">
        <v>12336111.8990721</v>
      </c>
      <c r="N54" t="n">
        <v>2003551.83379926</v>
      </c>
      <c r="O54" t="n">
        <v>1285789.35700292</v>
      </c>
      <c r="P54" t="n">
        <v>1740761.20731691</v>
      </c>
      <c r="Q54" t="n">
        <v>5058944.14870017</v>
      </c>
      <c r="R54" t="n">
        <v>7275729.84887751</v>
      </c>
      <c r="S54" t="n">
        <v>13756807.6647371</v>
      </c>
      <c r="T54" t="n">
        <v>1319117.44649214</v>
      </c>
      <c r="U54" t="n">
        <v>22332.9831826032</v>
      </c>
      <c r="V54" t="n">
        <v>3618.74765204837</v>
      </c>
      <c r="W54" t="n">
        <v>42764.7966440125</v>
      </c>
      <c r="X54" t="n">
        <v>204398.480861269</v>
      </c>
      <c r="Y54" t="n">
        <v>187435.218898696</v>
      </c>
      <c r="Z54" t="n">
        <v>93057.5674336292</v>
      </c>
      <c r="AA54" t="n">
        <v>569780.675268312</v>
      </c>
      <c r="AB54" t="n">
        <v>39193645.1706633</v>
      </c>
      <c r="AC54" t="n">
        <v>1292763.28646777</v>
      </c>
      <c r="AD54" t="n">
        <v>4452416.96328301</v>
      </c>
      <c r="AE54" t="n">
        <v>10054682.2123725</v>
      </c>
      <c r="AF54" t="n">
        <v>6754499.76112765</v>
      </c>
      <c r="AG54" t="n">
        <v>58093172.1366977</v>
      </c>
      <c r="AH54" t="n">
        <v>5420630.59912338</v>
      </c>
      <c r="AI54" t="n">
        <v>168331.678231185</v>
      </c>
      <c r="AJ54" t="n">
        <v>4386620.19099891</v>
      </c>
      <c r="AK54" t="n">
        <v>21263657.1157446</v>
      </c>
      <c r="AL54" t="n">
        <v>6034797.26778709</v>
      </c>
      <c r="AM54" t="n">
        <v>16816001.6067717</v>
      </c>
      <c r="AN54" t="n">
        <v>206017.337602812</v>
      </c>
      <c r="AO54" t="n">
        <v>5489731.60050375</v>
      </c>
      <c r="AP54" t="n">
        <v>3304461.60327723</v>
      </c>
      <c r="AQ54" t="n">
        <v>2642703.29450142</v>
      </c>
      <c r="AR54" t="n">
        <v>1804073.60340156</v>
      </c>
      <c r="AS54" t="n">
        <v>554986522.531282</v>
      </c>
      <c r="AT54" t="n">
        <v>463882814.419776</v>
      </c>
      <c r="AU54" t="n">
        <v>25357145.5736145</v>
      </c>
      <c r="AV54" t="n">
        <v>1022080883.56041</v>
      </c>
      <c r="AW54" t="n">
        <v>44001.5484378512</v>
      </c>
      <c r="AX54" t="n">
        <v>70047632.8784383</v>
      </c>
      <c r="AY54" t="n">
        <v>29165624.5699894</v>
      </c>
      <c r="AZ54" t="n">
        <v>5217797.38405871</v>
      </c>
      <c r="BA54" t="n">
        <v>11646234.4251656</v>
      </c>
      <c r="BB54" t="n">
        <v>44281271.4239941</v>
      </c>
      <c r="BC54" t="n">
        <v>140791693.70715</v>
      </c>
      <c r="BD54" t="n">
        <v>17432709.2563751</v>
      </c>
      <c r="BE54" t="n">
        <v>556085.312431096</v>
      </c>
      <c r="BF54" t="n">
        <v>11103065.978084</v>
      </c>
      <c r="BG54" t="n">
        <v>18924091.712819</v>
      </c>
      <c r="BH54" t="n">
        <v>97933812.6422585</v>
      </c>
      <c r="BI54" t="n">
        <v>3651235.92147809</v>
      </c>
      <c r="BJ54" t="n">
        <v>29232277.8664755</v>
      </c>
      <c r="BK54" t="n">
        <v>13167428.84448</v>
      </c>
      <c r="BL54" t="n">
        <v>2110506.18272786</v>
      </c>
      <c r="BM54" t="n">
        <v>81221573.9840923</v>
      </c>
      <c r="BN54" t="n">
        <v>86989814.8825523</v>
      </c>
      <c r="BO54" t="n">
        <v>52785448.2222767</v>
      </c>
      <c r="BP54" t="n">
        <v>0</v>
      </c>
      <c r="BQ54" t="n">
        <v>63742.3189630947</v>
      </c>
      <c r="BR54" t="n">
        <v>248158.434563584</v>
      </c>
      <c r="BS54" t="n">
        <v>341806887.946377</v>
      </c>
      <c r="BT54" t="n">
        <v>23390266.2928312</v>
      </c>
      <c r="BU54" t="n">
        <v>3162064332.88865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1102011676.37414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</row>
    <row r="55">
      <c r="A55" t="s">
        <v>166</v>
      </c>
      <c r="B55" t="n">
        <v>11019558.7225067</v>
      </c>
      <c r="C55" t="n">
        <v>545608.550235278</v>
      </c>
      <c r="D55" t="n">
        <v>32829721.3001346</v>
      </c>
      <c r="E55" t="n">
        <v>3249852.23004188</v>
      </c>
      <c r="F55" t="n">
        <v>45757147.0377076</v>
      </c>
      <c r="G55" t="n">
        <v>5198815.19296892</v>
      </c>
      <c r="H55" t="n">
        <v>2061312.7126315</v>
      </c>
      <c r="I55" t="n">
        <v>427503.403085687</v>
      </c>
      <c r="J55" t="n">
        <v>5044741.84326989</v>
      </c>
      <c r="K55" t="n">
        <v>1039429.91251794</v>
      </c>
      <c r="L55" t="n">
        <v>2271342.63093041</v>
      </c>
      <c r="M55" t="n">
        <v>2961274.2178977</v>
      </c>
      <c r="N55" t="n">
        <v>1107872.39193123</v>
      </c>
      <c r="O55" t="n">
        <v>872346.675994206</v>
      </c>
      <c r="P55" t="n">
        <v>925753.767652798</v>
      </c>
      <c r="Q55" t="n">
        <v>3060689.51752879</v>
      </c>
      <c r="R55" t="n">
        <v>1534328.88979618</v>
      </c>
      <c r="S55" t="n">
        <v>2754791.71293593</v>
      </c>
      <c r="T55" t="n">
        <v>13688885.355639</v>
      </c>
      <c r="U55" t="n">
        <v>267171.88991676</v>
      </c>
      <c r="V55" t="n">
        <v>56796.3879127654</v>
      </c>
      <c r="W55" t="n">
        <v>222789.69811571</v>
      </c>
      <c r="X55" t="n">
        <v>156837.621758466</v>
      </c>
      <c r="Y55" t="n">
        <v>529524.574920424</v>
      </c>
      <c r="Z55" t="n">
        <v>2398534.87603536</v>
      </c>
      <c r="AA55" t="n">
        <v>1474500.88243423</v>
      </c>
      <c r="AB55" t="n">
        <v>139246045.974118</v>
      </c>
      <c r="AC55" t="n">
        <v>12678757.5195864</v>
      </c>
      <c r="AD55" t="n">
        <v>6168386.53266539</v>
      </c>
      <c r="AE55" t="n">
        <v>6202756.11243721</v>
      </c>
      <c r="AF55" t="n">
        <v>22168920.784005</v>
      </c>
      <c r="AG55" t="n">
        <v>5938224.58217206</v>
      </c>
      <c r="AH55" t="n">
        <v>135901.339824654</v>
      </c>
      <c r="AI55" t="n">
        <v>35297.678751605</v>
      </c>
      <c r="AJ55" t="n">
        <v>34055706.4739259</v>
      </c>
      <c r="AK55" t="n">
        <v>21075557.9149272</v>
      </c>
      <c r="AL55" t="n">
        <v>4083110.37291072</v>
      </c>
      <c r="AM55" t="n">
        <v>10506078.3218363</v>
      </c>
      <c r="AN55" t="n">
        <v>5269118.11497239</v>
      </c>
      <c r="AO55" t="n">
        <v>2243919.63860663</v>
      </c>
      <c r="AP55" t="n">
        <v>2510548.8784822</v>
      </c>
      <c r="AQ55" t="n">
        <v>7258103.90524076</v>
      </c>
      <c r="AR55" t="n">
        <v>4155887.9243648</v>
      </c>
      <c r="AS55" t="n">
        <v>14134335.3156061</v>
      </c>
      <c r="AT55" t="n">
        <v>33196867.2229583</v>
      </c>
      <c r="AU55" t="n">
        <v>648867067.091229</v>
      </c>
      <c r="AV55" t="n">
        <v>35340500.7771269</v>
      </c>
      <c r="AW55" t="n">
        <v>27394039.8946623</v>
      </c>
      <c r="AX55" t="n">
        <v>118532794.027387</v>
      </c>
      <c r="AY55" t="n">
        <v>27703556.5468353</v>
      </c>
      <c r="AZ55" t="n">
        <v>7740298.21810565</v>
      </c>
      <c r="BA55" t="n">
        <v>13754056.2342702</v>
      </c>
      <c r="BB55" t="n">
        <v>56734559.3657679</v>
      </c>
      <c r="BC55" t="n">
        <v>1303464.30316585</v>
      </c>
      <c r="BD55" t="n">
        <v>28863672.1867577</v>
      </c>
      <c r="BE55" t="n">
        <v>5184948.43535355</v>
      </c>
      <c r="BF55" t="n">
        <v>5696340.9140105</v>
      </c>
      <c r="BG55" t="n">
        <v>39671287.2071363</v>
      </c>
      <c r="BH55" t="n">
        <v>32997386.0298124</v>
      </c>
      <c r="BI55" t="n">
        <v>8187614.64770665</v>
      </c>
      <c r="BJ55" t="n">
        <v>31845118.3308928</v>
      </c>
      <c r="BK55" t="n">
        <v>8628615.44132738</v>
      </c>
      <c r="BL55" t="n">
        <v>10466172.8605877</v>
      </c>
      <c r="BM55" t="n">
        <v>6178154.89357393</v>
      </c>
      <c r="BN55" t="n">
        <v>29782210.464116</v>
      </c>
      <c r="BO55" t="n">
        <v>12451066.3657834</v>
      </c>
      <c r="BP55" t="n">
        <v>0</v>
      </c>
      <c r="BQ55" t="n">
        <v>3258093.81631093</v>
      </c>
      <c r="BR55" t="n">
        <v>12573513.1285958</v>
      </c>
      <c r="BS55" t="n">
        <v>12736558.4286407</v>
      </c>
      <c r="BT55" t="n">
        <v>23397670.968683</v>
      </c>
      <c r="BU55" t="n">
        <v>1207466964.22522</v>
      </c>
      <c r="BV55" t="n">
        <v>0</v>
      </c>
      <c r="BW55" t="n">
        <v>0</v>
      </c>
      <c r="BX55" t="n">
        <v>0</v>
      </c>
      <c r="BY55" t="n">
        <v>15500600.5661171</v>
      </c>
      <c r="BZ55" t="n">
        <v>0</v>
      </c>
      <c r="CA55" t="n">
        <v>235813240.017301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</row>
    <row r="56">
      <c r="A56" t="s">
        <v>167</v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36253649.476915</v>
      </c>
      <c r="AV56" t="n">
        <v>101036719.014964</v>
      </c>
      <c r="AW56" t="n">
        <v>0</v>
      </c>
      <c r="AX56" t="n">
        <v>0</v>
      </c>
      <c r="AY56" t="n">
        <v>0</v>
      </c>
      <c r="AZ56" t="n">
        <v>0</v>
      </c>
      <c r="BA56" t="n">
        <v>0</v>
      </c>
      <c r="BB56" t="n">
        <v>0</v>
      </c>
      <c r="BC56" t="n">
        <v>1307087.6719855</v>
      </c>
      <c r="BD56" t="n">
        <v>0</v>
      </c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t="n">
        <v>0</v>
      </c>
      <c r="BK56" t="n">
        <v>0</v>
      </c>
      <c r="BL56" t="n">
        <v>0</v>
      </c>
      <c r="BM56" t="n">
        <v>0</v>
      </c>
      <c r="BN56" t="n">
        <v>0</v>
      </c>
      <c r="BO56" t="n">
        <v>0</v>
      </c>
      <c r="BP56" t="n">
        <v>0</v>
      </c>
      <c r="BQ56" t="n">
        <v>987418.538212048</v>
      </c>
      <c r="BR56" t="n">
        <v>0</v>
      </c>
      <c r="BS56" t="n">
        <v>17024143.2325544</v>
      </c>
      <c r="BT56" t="n">
        <v>0</v>
      </c>
      <c r="BU56" t="n">
        <v>2218596204.64784</v>
      </c>
      <c r="BV56" t="n">
        <v>0</v>
      </c>
      <c r="BW56" t="n">
        <v>0</v>
      </c>
      <c r="BX56" t="n">
        <v>0</v>
      </c>
      <c r="BY56" t="n">
        <v>0</v>
      </c>
      <c r="BZ56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</row>
    <row r="57">
      <c r="A57" t="s">
        <v>168</v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t="n">
        <v>0</v>
      </c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t="n">
        <v>0</v>
      </c>
      <c r="BK57" t="n">
        <v>0</v>
      </c>
      <c r="BL57" t="n">
        <v>0</v>
      </c>
      <c r="BM57" t="n">
        <v>0</v>
      </c>
      <c r="BN57" t="n">
        <v>0</v>
      </c>
      <c r="BO57" t="n">
        <v>0</v>
      </c>
      <c r="BP57" t="n">
        <v>0</v>
      </c>
      <c r="BQ57" t="n">
        <v>0</v>
      </c>
      <c r="BR57" t="n">
        <v>0</v>
      </c>
      <c r="BS57" t="n">
        <v>0</v>
      </c>
      <c r="BT57" t="n">
        <v>0</v>
      </c>
      <c r="BU57" t="n">
        <v>47751884418.5369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</row>
    <row r="58">
      <c r="A58" t="s">
        <v>169</v>
      </c>
      <c r="B58" t="n">
        <v>59116658.2386258</v>
      </c>
      <c r="C58" t="n">
        <v>129234.098989826</v>
      </c>
      <c r="D58" t="n">
        <v>105873384.620057</v>
      </c>
      <c r="E58" t="n">
        <v>4374903.92012598</v>
      </c>
      <c r="F58" t="n">
        <v>60936226.1013281</v>
      </c>
      <c r="G58" t="n">
        <v>118526658.343848</v>
      </c>
      <c r="H58" t="n">
        <v>423097145.207716</v>
      </c>
      <c r="I58" t="n">
        <v>6889292.31037531</v>
      </c>
      <c r="J58" t="n">
        <v>25115757.075055</v>
      </c>
      <c r="K58" t="n">
        <v>3307330.74403777</v>
      </c>
      <c r="L58" t="n">
        <v>56664488.3771295</v>
      </c>
      <c r="M58" t="n">
        <v>19626387.5282204</v>
      </c>
      <c r="N58" t="n">
        <v>56981193.7209289</v>
      </c>
      <c r="O58" t="n">
        <v>3517717.07303995</v>
      </c>
      <c r="P58" t="n">
        <v>2260676.9497258</v>
      </c>
      <c r="Q58" t="n">
        <v>16091836.0983094</v>
      </c>
      <c r="R58" t="n">
        <v>21155107.9522533</v>
      </c>
      <c r="S58" t="n">
        <v>38608695.6548872</v>
      </c>
      <c r="T58" t="n">
        <v>80574609.4950139</v>
      </c>
      <c r="U58" t="n">
        <v>2538541.81188399</v>
      </c>
      <c r="V58" t="n">
        <v>681297.433201838</v>
      </c>
      <c r="W58" t="n">
        <v>4341348.30056009</v>
      </c>
      <c r="X58" t="n">
        <v>19389593.3694797</v>
      </c>
      <c r="Y58" t="n">
        <v>1129534.37267948</v>
      </c>
      <c r="Z58" t="n">
        <v>22025494.9001261</v>
      </c>
      <c r="AA58" t="n">
        <v>28176271.50521</v>
      </c>
      <c r="AB58" t="n">
        <v>1593762525.67874</v>
      </c>
      <c r="AC58" t="n">
        <v>388334236.959295</v>
      </c>
      <c r="AD58" t="n">
        <v>617322362.252126</v>
      </c>
      <c r="AE58" t="n">
        <v>395481524.839872</v>
      </c>
      <c r="AF58" t="n">
        <v>1551331009.83899</v>
      </c>
      <c r="AG58" t="n">
        <v>13720169.7454725</v>
      </c>
      <c r="AH58" t="n">
        <v>3569289.39505478</v>
      </c>
      <c r="AI58" t="n">
        <v>220510.342161222</v>
      </c>
      <c r="AJ58" t="n">
        <v>108405736.285157</v>
      </c>
      <c r="AK58" t="n">
        <v>33330675.795053</v>
      </c>
      <c r="AL58" t="n">
        <v>19570891.0534838</v>
      </c>
      <c r="AM58" t="n">
        <v>103657308.715185</v>
      </c>
      <c r="AN58" t="n">
        <v>104510633.774022</v>
      </c>
      <c r="AO58" t="n">
        <v>192857240.592569</v>
      </c>
      <c r="AP58" t="n">
        <v>25154314.7552094</v>
      </c>
      <c r="AQ58" t="n">
        <v>545428146.276983</v>
      </c>
      <c r="AR58" t="n">
        <v>224808374.40049</v>
      </c>
      <c r="AS58" t="n">
        <v>369308113.889005</v>
      </c>
      <c r="AT58" t="n">
        <v>445408002.365337</v>
      </c>
      <c r="AU58" t="n">
        <v>272059216.62599</v>
      </c>
      <c r="AV58" t="n">
        <v>10978974.3589744</v>
      </c>
      <c r="AW58" t="n">
        <v>140638034.333553</v>
      </c>
      <c r="AX58" t="n">
        <v>2520055150.40727</v>
      </c>
      <c r="AY58" t="n">
        <v>167851524.524967</v>
      </c>
      <c r="AZ58" t="n">
        <v>288781953.601869</v>
      </c>
      <c r="BA58" t="n">
        <v>262354219.016535</v>
      </c>
      <c r="BB58" t="n">
        <v>1505470839.09441</v>
      </c>
      <c r="BC58" t="n">
        <v>799738816.071719</v>
      </c>
      <c r="BD58" t="n">
        <v>762576946.257669</v>
      </c>
      <c r="BE58" t="n">
        <v>62014936.2414575</v>
      </c>
      <c r="BF58" t="n">
        <v>461969419.377754</v>
      </c>
      <c r="BG58" t="n">
        <v>931662688.317938</v>
      </c>
      <c r="BH58" t="n">
        <v>897073592.496362</v>
      </c>
      <c r="BI58" t="n">
        <v>395795186.87582</v>
      </c>
      <c r="BJ58" t="n">
        <v>206690997.522191</v>
      </c>
      <c r="BK58" t="n">
        <v>277028705.634515</v>
      </c>
      <c r="BL58" t="n">
        <v>690952253.977455</v>
      </c>
      <c r="BM58" t="n">
        <v>63593363.4744767</v>
      </c>
      <c r="BN58" t="n">
        <v>1207667647.32283</v>
      </c>
      <c r="BO58" t="n">
        <v>1249728223.72056</v>
      </c>
      <c r="BP58" t="n">
        <v>4617354.82220517</v>
      </c>
      <c r="BQ58" t="n">
        <v>251438353.139116</v>
      </c>
      <c r="BR58" t="n">
        <v>11411669.0045941</v>
      </c>
      <c r="BS58" t="n">
        <v>448862966.131099</v>
      </c>
      <c r="BT58" t="n">
        <v>26868040.7054635</v>
      </c>
      <c r="BU58" t="n">
        <v>138705867.254417</v>
      </c>
      <c r="BV58" t="n">
        <v>463263438.060334</v>
      </c>
      <c r="BW58" t="n">
        <v>0</v>
      </c>
      <c r="BX58" t="n">
        <v>0</v>
      </c>
      <c r="BY58" t="n">
        <v>2944093665.11012</v>
      </c>
      <c r="BZ58" t="n">
        <v>0</v>
      </c>
      <c r="CA58" t="n">
        <v>41223672.981185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</row>
    <row r="59">
      <c r="A59" t="s">
        <v>170</v>
      </c>
      <c r="B59" t="n">
        <v>12644415.2425023</v>
      </c>
      <c r="C59" t="n">
        <v>177032.842323858</v>
      </c>
      <c r="D59" t="n">
        <v>80041187.0386387</v>
      </c>
      <c r="E59" t="n">
        <v>18631901.5257937</v>
      </c>
      <c r="F59" t="n">
        <v>107887989.106828</v>
      </c>
      <c r="G59" t="n">
        <v>10643389.3404718</v>
      </c>
      <c r="H59" t="n">
        <v>218313157.887383</v>
      </c>
      <c r="I59" t="n">
        <v>741232.352137243</v>
      </c>
      <c r="J59" t="n">
        <v>5331874.96569485</v>
      </c>
      <c r="K59" t="n">
        <v>1421147.29124956</v>
      </c>
      <c r="L59" t="n">
        <v>6275097.09790287</v>
      </c>
      <c r="M59" t="n">
        <v>4325656.48228724</v>
      </c>
      <c r="N59" t="n">
        <v>3160167.27874692</v>
      </c>
      <c r="O59" t="n">
        <v>613713.296535142</v>
      </c>
      <c r="P59" t="n">
        <v>2177215.22986694</v>
      </c>
      <c r="Q59" t="n">
        <v>3447924.57422474</v>
      </c>
      <c r="R59" t="n">
        <v>1347707.74968919</v>
      </c>
      <c r="S59" t="n">
        <v>5177928.32202622</v>
      </c>
      <c r="T59" t="n">
        <v>16482413.5625076</v>
      </c>
      <c r="U59" t="n">
        <v>112161.196896287</v>
      </c>
      <c r="V59" t="n">
        <v>2516642.01391816</v>
      </c>
      <c r="W59" t="n">
        <v>757659.468167788</v>
      </c>
      <c r="X59" t="n">
        <v>1448629.311597</v>
      </c>
      <c r="Y59" t="n">
        <v>2340967.07672786</v>
      </c>
      <c r="Z59" t="n">
        <v>5502191.56391799</v>
      </c>
      <c r="AA59" t="n">
        <v>2914596.20337202</v>
      </c>
      <c r="AB59" t="n">
        <v>130647287.846346</v>
      </c>
      <c r="AC59" t="n">
        <v>4963170.72312783</v>
      </c>
      <c r="AD59" t="n">
        <v>7627478.52629505</v>
      </c>
      <c r="AE59" t="n">
        <v>19261611.8124367</v>
      </c>
      <c r="AF59" t="n">
        <v>27399020.2680478</v>
      </c>
      <c r="AG59" t="n">
        <v>153604197.090669</v>
      </c>
      <c r="AH59" t="n">
        <v>34829124.5520744</v>
      </c>
      <c r="AI59" t="n">
        <v>566800.09113872</v>
      </c>
      <c r="AJ59" t="n">
        <v>107856478.952583</v>
      </c>
      <c r="AK59" t="n">
        <v>5769918.43340564</v>
      </c>
      <c r="AL59" t="n">
        <v>1029003.90462182</v>
      </c>
      <c r="AM59" t="n">
        <v>11849242.8812187</v>
      </c>
      <c r="AN59" t="n">
        <v>16688408.9543448</v>
      </c>
      <c r="AO59" t="n">
        <v>12864041.534456</v>
      </c>
      <c r="AP59" t="n">
        <v>2731622.44545077</v>
      </c>
      <c r="AQ59" t="n">
        <v>53711580.1942868</v>
      </c>
      <c r="AR59" t="n">
        <v>53641725.8935843</v>
      </c>
      <c r="AS59" t="n">
        <v>17887580.800035</v>
      </c>
      <c r="AT59" t="n">
        <v>30351373.0752238</v>
      </c>
      <c r="AU59" t="n">
        <v>13029772.5394117</v>
      </c>
      <c r="AV59" t="n">
        <v>128832.231152106</v>
      </c>
      <c r="AW59" t="n">
        <v>42542624.065349</v>
      </c>
      <c r="AX59" t="n">
        <v>12070051.7650062</v>
      </c>
      <c r="AY59" t="n">
        <v>49410312.5214033</v>
      </c>
      <c r="AZ59" t="n">
        <v>8373757.8125997</v>
      </c>
      <c r="BA59" t="n">
        <v>28074808.7413956</v>
      </c>
      <c r="BB59" t="n">
        <v>124717530.373573</v>
      </c>
      <c r="BC59" t="n">
        <v>112125000.865726</v>
      </c>
      <c r="BD59" t="n">
        <v>56262879.0427055</v>
      </c>
      <c r="BE59" t="n">
        <v>15427680.8282796</v>
      </c>
      <c r="BF59" t="n">
        <v>6503160.55817053</v>
      </c>
      <c r="BG59" t="n">
        <v>22658286.5063132</v>
      </c>
      <c r="BH59" t="n">
        <v>14525501.1993172</v>
      </c>
      <c r="BI59" t="n">
        <v>2271135.58580161</v>
      </c>
      <c r="BJ59" t="n">
        <v>2384121.7850305</v>
      </c>
      <c r="BK59" t="n">
        <v>12348457.4672635</v>
      </c>
      <c r="BL59" t="n">
        <v>26557298.4538969</v>
      </c>
      <c r="BM59" t="n">
        <v>13846625.3000986</v>
      </c>
      <c r="BN59" t="n">
        <v>66226101.1830334</v>
      </c>
      <c r="BO59" t="n">
        <v>17275499.0518349</v>
      </c>
      <c r="BP59" t="n">
        <v>1981490.80690185</v>
      </c>
      <c r="BQ59" t="n">
        <v>2015543.17312739</v>
      </c>
      <c r="BR59" t="n">
        <v>1169136.02620553</v>
      </c>
      <c r="BS59" t="n">
        <v>53100137.2226015</v>
      </c>
      <c r="BT59" t="n">
        <v>2161079.09331545</v>
      </c>
      <c r="BU59" t="n">
        <v>557723359.879251</v>
      </c>
      <c r="BV59" t="n">
        <v>0</v>
      </c>
      <c r="BW59" t="n">
        <v>0</v>
      </c>
      <c r="BX59" t="n">
        <v>0</v>
      </c>
      <c r="BY59" t="n">
        <v>0</v>
      </c>
      <c r="BZ59" t="n">
        <v>0</v>
      </c>
      <c r="CA59" t="n">
        <v>1289090893.23753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</row>
    <row r="60">
      <c r="A60" t="s">
        <v>171</v>
      </c>
      <c r="B60" t="n">
        <v>4244108.20874695</v>
      </c>
      <c r="C60" t="n">
        <v>296662.770104066</v>
      </c>
      <c r="D60" t="n">
        <v>34185419.0236957</v>
      </c>
      <c r="E60" t="n">
        <v>7371120.67981196</v>
      </c>
      <c r="F60" t="n">
        <v>18384876.6432647</v>
      </c>
      <c r="G60" t="n">
        <v>62481876.5399044</v>
      </c>
      <c r="H60" t="n">
        <v>102071212.461513</v>
      </c>
      <c r="I60" t="n">
        <v>2530541.34821856</v>
      </c>
      <c r="J60" t="n">
        <v>7144660.6794099</v>
      </c>
      <c r="K60" t="n">
        <v>2119681.54447776</v>
      </c>
      <c r="L60" t="n">
        <v>13346179.2689248</v>
      </c>
      <c r="M60" t="n">
        <v>9255250.18681672</v>
      </c>
      <c r="N60" t="n">
        <v>36300196.5291494</v>
      </c>
      <c r="O60" t="n">
        <v>914160.002855403</v>
      </c>
      <c r="P60" t="n">
        <v>1958433.54491084</v>
      </c>
      <c r="Q60" t="n">
        <v>9842132.96049183</v>
      </c>
      <c r="R60" t="n">
        <v>3216953.9750307</v>
      </c>
      <c r="S60" t="n">
        <v>23570928.5949827</v>
      </c>
      <c r="T60" t="n">
        <v>13241192.8463334</v>
      </c>
      <c r="U60" t="n">
        <v>443176.020717616</v>
      </c>
      <c r="V60" t="n">
        <v>227399.845143545</v>
      </c>
      <c r="W60" t="n">
        <v>1384599.01663082</v>
      </c>
      <c r="X60" t="n">
        <v>2211130.33643795</v>
      </c>
      <c r="Y60" t="n">
        <v>3108165.72915536</v>
      </c>
      <c r="Z60" t="n">
        <v>13291929.3667416</v>
      </c>
      <c r="AA60" t="n">
        <v>7040168.01515704</v>
      </c>
      <c r="AB60" t="n">
        <v>207000696.383671</v>
      </c>
      <c r="AC60" t="n">
        <v>8186213.63762743</v>
      </c>
      <c r="AD60" t="n">
        <v>10811227.2276679</v>
      </c>
      <c r="AE60" t="n">
        <v>9641411.09600466</v>
      </c>
      <c r="AF60" t="n">
        <v>44984290.9442131</v>
      </c>
      <c r="AG60" t="n">
        <v>10946073.782872</v>
      </c>
      <c r="AH60" t="n">
        <v>11813090.6932218</v>
      </c>
      <c r="AI60" t="n">
        <v>36805.0558398817</v>
      </c>
      <c r="AJ60" t="n">
        <v>2232728.53492399</v>
      </c>
      <c r="AK60" t="n">
        <v>2068413.23414529</v>
      </c>
      <c r="AL60" t="n">
        <v>2818059.42554501</v>
      </c>
      <c r="AM60" t="n">
        <v>6406673.74109987</v>
      </c>
      <c r="AN60" t="n">
        <v>2547725.59429555</v>
      </c>
      <c r="AO60" t="n">
        <v>70421301.4646684</v>
      </c>
      <c r="AP60" t="n">
        <v>4953260.56531914</v>
      </c>
      <c r="AQ60" t="n">
        <v>44637994.7317838</v>
      </c>
      <c r="AR60" t="n">
        <v>77256531.6754942</v>
      </c>
      <c r="AS60" t="n">
        <v>52256954.0165656</v>
      </c>
      <c r="AT60" t="n">
        <v>116761443.688041</v>
      </c>
      <c r="AU60" t="n">
        <v>107603390.256728</v>
      </c>
      <c r="AV60" t="n">
        <v>21725950.645523</v>
      </c>
      <c r="AW60" t="n">
        <v>27031805.0439013</v>
      </c>
      <c r="AX60" t="n">
        <v>108765781.083196</v>
      </c>
      <c r="AY60" t="n">
        <v>9531122.51916485</v>
      </c>
      <c r="AZ60" t="n">
        <v>24466102.9861921</v>
      </c>
      <c r="BA60" t="n">
        <v>82699263.0661542</v>
      </c>
      <c r="BB60" t="n">
        <v>244324936.368467</v>
      </c>
      <c r="BC60" t="n">
        <v>151813262.203335</v>
      </c>
      <c r="BD60" t="n">
        <v>106177565.812426</v>
      </c>
      <c r="BE60" t="n">
        <v>6373202.85976121</v>
      </c>
      <c r="BF60" t="n">
        <v>3797581.22830472</v>
      </c>
      <c r="BG60" t="n">
        <v>57213734.5969866</v>
      </c>
      <c r="BH60" t="n">
        <v>136508781.71615</v>
      </c>
      <c r="BI60" t="n">
        <v>15011737.3429578</v>
      </c>
      <c r="BJ60" t="n">
        <v>8888965.62314785</v>
      </c>
      <c r="BK60" t="n">
        <v>28018369.7340673</v>
      </c>
      <c r="BL60" t="n">
        <v>46266469.4308018</v>
      </c>
      <c r="BM60" t="n">
        <v>18041903.1900656</v>
      </c>
      <c r="BN60" t="n">
        <v>31925831.0075912</v>
      </c>
      <c r="BO60" t="n">
        <v>61081771.7323175</v>
      </c>
      <c r="BP60" t="n">
        <v>0</v>
      </c>
      <c r="BQ60" t="n">
        <v>1594305.37841657</v>
      </c>
      <c r="BR60" t="n">
        <v>1025929.02836226</v>
      </c>
      <c r="BS60" t="n">
        <v>174928642.305771</v>
      </c>
      <c r="BT60" t="n">
        <v>9744546.19926876</v>
      </c>
      <c r="BU60" t="n">
        <v>1214485937.65014</v>
      </c>
      <c r="BV60" t="n">
        <v>0</v>
      </c>
      <c r="BW60" t="n">
        <v>0</v>
      </c>
      <c r="BX60" t="n">
        <v>0</v>
      </c>
      <c r="BY60" t="n">
        <v>257167131.067128</v>
      </c>
      <c r="BZ60" t="n">
        <v>0</v>
      </c>
      <c r="CA60" t="n">
        <v>225803235.377806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</row>
    <row r="61">
      <c r="A61" t="s">
        <v>172</v>
      </c>
      <c r="B61" t="n">
        <v>4915325.07508924</v>
      </c>
      <c r="C61" t="n">
        <v>96724.0380895645</v>
      </c>
      <c r="D61" t="n">
        <v>132312769.967489</v>
      </c>
      <c r="E61" t="n">
        <v>7710290.12081497</v>
      </c>
      <c r="F61" t="n">
        <v>5150613.48384726</v>
      </c>
      <c r="G61" t="n">
        <v>20891884.4456219</v>
      </c>
      <c r="H61" t="n">
        <v>82926807.4882767</v>
      </c>
      <c r="I61" t="n">
        <v>1802819.87086735</v>
      </c>
      <c r="J61" t="n">
        <v>5659349.93337786</v>
      </c>
      <c r="K61" t="n">
        <v>1527211.44803392</v>
      </c>
      <c r="L61" t="n">
        <v>11446432.3747381</v>
      </c>
      <c r="M61" t="n">
        <v>12391136.9901231</v>
      </c>
      <c r="N61" t="n">
        <v>5385711.28597604</v>
      </c>
      <c r="O61" t="n">
        <v>383211.07939021</v>
      </c>
      <c r="P61" t="n">
        <v>549401.29825337</v>
      </c>
      <c r="Q61" t="n">
        <v>17630028.6803516</v>
      </c>
      <c r="R61" t="n">
        <v>2714099.66430988</v>
      </c>
      <c r="S61" t="n">
        <v>7010238.04787891</v>
      </c>
      <c r="T61" t="n">
        <v>13342470.3959366</v>
      </c>
      <c r="U61" t="n">
        <v>287051.366084944</v>
      </c>
      <c r="V61" t="n">
        <v>28221.1645889001</v>
      </c>
      <c r="W61" t="n">
        <v>585097.426418874</v>
      </c>
      <c r="X61" t="n">
        <v>2700981.62871158</v>
      </c>
      <c r="Y61" t="n">
        <v>2842257.1606688</v>
      </c>
      <c r="Z61" t="n">
        <v>1199451.77915183</v>
      </c>
      <c r="AA61" t="n">
        <v>3762017.0096686</v>
      </c>
      <c r="AB61" t="n">
        <v>222366440.66566</v>
      </c>
      <c r="AC61" t="n">
        <v>50599969.8963162</v>
      </c>
      <c r="AD61" t="n">
        <v>13120689.1768284</v>
      </c>
      <c r="AE61" t="n">
        <v>22492149.2587976</v>
      </c>
      <c r="AF61" t="n">
        <v>53596088.2846561</v>
      </c>
      <c r="AG61" t="n">
        <v>11011520.1042297</v>
      </c>
      <c r="AH61" t="n">
        <v>14389698.6229887</v>
      </c>
      <c r="AI61" t="n">
        <v>11674.812509008</v>
      </c>
      <c r="AJ61" t="n">
        <v>6535840.06241146</v>
      </c>
      <c r="AK61" t="n">
        <v>2735748.97486245</v>
      </c>
      <c r="AL61" t="n">
        <v>514793.553560545</v>
      </c>
      <c r="AM61" t="n">
        <v>2324484.46607475</v>
      </c>
      <c r="AN61" t="n">
        <v>2390566.19454209</v>
      </c>
      <c r="AO61" t="n">
        <v>113703916.482982</v>
      </c>
      <c r="AP61" t="n">
        <v>3142484.46733043</v>
      </c>
      <c r="AQ61" t="n">
        <v>51032763.5789369</v>
      </c>
      <c r="AR61" t="n">
        <v>143956545.326763</v>
      </c>
      <c r="AS61" t="n">
        <v>69888291.9802143</v>
      </c>
      <c r="AT61" t="n">
        <v>83093761.2933403</v>
      </c>
      <c r="AU61" t="n">
        <v>54413574.9730464</v>
      </c>
      <c r="AV61" t="n">
        <v>12341546.8093962</v>
      </c>
      <c r="AW61" t="n">
        <v>11590860.1615</v>
      </c>
      <c r="AX61" t="n">
        <v>33725501.2249212</v>
      </c>
      <c r="AY61" t="n">
        <v>6364807.96031645</v>
      </c>
      <c r="AZ61" t="n">
        <v>34555491.583271</v>
      </c>
      <c r="BA61" t="n">
        <v>133382711.926526</v>
      </c>
      <c r="BB61" t="n">
        <v>166293458.606089</v>
      </c>
      <c r="BC61" t="n">
        <v>29394443.0785184</v>
      </c>
      <c r="BD61" t="n">
        <v>200007228.240028</v>
      </c>
      <c r="BE61" t="n">
        <v>6799496.56703872</v>
      </c>
      <c r="BF61" t="n">
        <v>13719409.3078824</v>
      </c>
      <c r="BG61" t="n">
        <v>47732603.5778722</v>
      </c>
      <c r="BH61" t="n">
        <v>36291130.8332229</v>
      </c>
      <c r="BI61" t="n">
        <v>9201248.97957106</v>
      </c>
      <c r="BJ61" t="n">
        <v>17931811.028366</v>
      </c>
      <c r="BK61" t="n">
        <v>6111444.08609608</v>
      </c>
      <c r="BL61" t="n">
        <v>25530689.4662836</v>
      </c>
      <c r="BM61" t="n">
        <v>14697822.6316932</v>
      </c>
      <c r="BN61" t="n">
        <v>69543813.9532874</v>
      </c>
      <c r="BO61" t="n">
        <v>42624960.9679983</v>
      </c>
      <c r="BP61" t="n">
        <v>54807901.541961</v>
      </c>
      <c r="BQ61" t="n">
        <v>150676786.033088</v>
      </c>
      <c r="BR61" t="n">
        <v>1543171.07029887</v>
      </c>
      <c r="BS61" t="n">
        <v>422325589.602909</v>
      </c>
      <c r="BT61" t="n">
        <v>36931099.4937258</v>
      </c>
      <c r="BU61" t="n">
        <v>0</v>
      </c>
      <c r="BV61" t="n">
        <v>0</v>
      </c>
      <c r="BW61" t="n">
        <v>818070003.533912</v>
      </c>
      <c r="BX61" t="n">
        <v>4664022846.14691</v>
      </c>
      <c r="BY61" t="n">
        <v>0</v>
      </c>
      <c r="BZ61" t="n">
        <v>0</v>
      </c>
      <c r="CA61" t="n">
        <v>1095430782.34566</v>
      </c>
      <c r="CB61" t="n">
        <v>0</v>
      </c>
      <c r="CC61" t="n">
        <v>0</v>
      </c>
      <c r="CD61" t="n">
        <v>0</v>
      </c>
      <c r="CE61" t="n">
        <v>623049770.951685</v>
      </c>
      <c r="CF61" t="n">
        <v>1635025493.25268</v>
      </c>
      <c r="CG61" t="n">
        <v>0</v>
      </c>
      <c r="CH61" t="n">
        <v>0</v>
      </c>
      <c r="CI61" t="n">
        <v>0</v>
      </c>
      <c r="CJ61" t="n">
        <v>4500654933.99396</v>
      </c>
      <c r="CK61" t="n">
        <v>0</v>
      </c>
      <c r="CL61" t="n">
        <v>0</v>
      </c>
      <c r="CM61" t="n">
        <v>16705922.835323</v>
      </c>
      <c r="CN61" t="n">
        <v>116105500.245494</v>
      </c>
    </row>
    <row r="62">
      <c r="A62" t="s">
        <v>173</v>
      </c>
      <c r="B62" t="n">
        <v>6786322.23490079</v>
      </c>
      <c r="C62" t="n">
        <v>458258.221413368</v>
      </c>
      <c r="D62" t="n">
        <v>34007059.2912104</v>
      </c>
      <c r="E62" t="n">
        <v>6985480.43050181</v>
      </c>
      <c r="F62" t="n">
        <v>26701416.7963432</v>
      </c>
      <c r="G62" t="n">
        <v>41491335.9404766</v>
      </c>
      <c r="H62" t="n">
        <v>233040198.075135</v>
      </c>
      <c r="I62" t="n">
        <v>2884687.22733008</v>
      </c>
      <c r="J62" t="n">
        <v>10913868.414218</v>
      </c>
      <c r="K62" t="n">
        <v>3502551.39314235</v>
      </c>
      <c r="L62" t="n">
        <v>11326204.3133439</v>
      </c>
      <c r="M62" t="n">
        <v>8558056.28723754</v>
      </c>
      <c r="N62" t="n">
        <v>18491864.4180857</v>
      </c>
      <c r="O62" t="n">
        <v>1508667.67279687</v>
      </c>
      <c r="P62" t="n">
        <v>1331470.01532482</v>
      </c>
      <c r="Q62" t="n">
        <v>9399160.43522293</v>
      </c>
      <c r="R62" t="n">
        <v>6247804.08382778</v>
      </c>
      <c r="S62" t="n">
        <v>17781162.624177</v>
      </c>
      <c r="T62" t="n">
        <v>37135901.8610097</v>
      </c>
      <c r="U62" t="n">
        <v>619851.033006962</v>
      </c>
      <c r="V62" t="n">
        <v>138658.036054401</v>
      </c>
      <c r="W62" t="n">
        <v>1342281.60826552</v>
      </c>
      <c r="X62" t="n">
        <v>3079189.22895425</v>
      </c>
      <c r="Y62" t="n">
        <v>3581986.56606763</v>
      </c>
      <c r="Z62" t="n">
        <v>9755056.15235878</v>
      </c>
      <c r="AA62" t="n">
        <v>8361461.18364604</v>
      </c>
      <c r="AB62" t="n">
        <v>449601906.676556</v>
      </c>
      <c r="AC62" t="n">
        <v>92156508.7303408</v>
      </c>
      <c r="AD62" t="n">
        <v>46175704.4199336</v>
      </c>
      <c r="AE62" t="n">
        <v>22067959.6209171</v>
      </c>
      <c r="AF62" t="n">
        <v>181331019.564076</v>
      </c>
      <c r="AG62" t="n">
        <v>11970694.1492492</v>
      </c>
      <c r="AH62" t="n">
        <v>7285321.69428804</v>
      </c>
      <c r="AI62" t="n">
        <v>104054.876724894</v>
      </c>
      <c r="AJ62" t="n">
        <v>9593393.6176405</v>
      </c>
      <c r="AK62" t="n">
        <v>4570180.24730627</v>
      </c>
      <c r="AL62" t="n">
        <v>15237341.1388914</v>
      </c>
      <c r="AM62" t="n">
        <v>6804019.70129906</v>
      </c>
      <c r="AN62" t="n">
        <v>5145982.47834593</v>
      </c>
      <c r="AO62" t="n">
        <v>100726147.970271</v>
      </c>
      <c r="AP62" t="n">
        <v>9606946.04471732</v>
      </c>
      <c r="AQ62" t="n">
        <v>144821518.022079</v>
      </c>
      <c r="AR62" t="n">
        <v>153764431.279267</v>
      </c>
      <c r="AS62" t="n">
        <v>132497599.214534</v>
      </c>
      <c r="AT62" t="n">
        <v>117070173.856176</v>
      </c>
      <c r="AU62" t="n">
        <v>90683165.1796177</v>
      </c>
      <c r="AV62" t="n">
        <v>9231267.60255017</v>
      </c>
      <c r="AW62" t="n">
        <v>11434463.0242604</v>
      </c>
      <c r="AX62" t="n">
        <v>137005488.521419</v>
      </c>
      <c r="AY62" t="n">
        <v>30994345.2875134</v>
      </c>
      <c r="AZ62" t="n">
        <v>27479302.5495745</v>
      </c>
      <c r="BA62" t="n">
        <v>158249868.99832</v>
      </c>
      <c r="BB62" t="n">
        <v>649024409.72953</v>
      </c>
      <c r="BC62" t="n">
        <v>185558360.200792</v>
      </c>
      <c r="BD62" t="n">
        <v>192311612.929119</v>
      </c>
      <c r="BE62" t="n">
        <v>10498088.5040519</v>
      </c>
      <c r="BF62" t="n">
        <v>20318893.5022534</v>
      </c>
      <c r="BG62" t="n">
        <v>90186951.0927987</v>
      </c>
      <c r="BH62" t="n">
        <v>86974341.2056593</v>
      </c>
      <c r="BI62" t="n">
        <v>21334283.4649201</v>
      </c>
      <c r="BJ62" t="n">
        <v>19858502.6999609</v>
      </c>
      <c r="BK62" t="n">
        <v>27515673.59574</v>
      </c>
      <c r="BL62" t="n">
        <v>53154478.2578618</v>
      </c>
      <c r="BM62" t="n">
        <v>35213195.4735327</v>
      </c>
      <c r="BN62" t="n">
        <v>100270447.409136</v>
      </c>
      <c r="BO62" t="n">
        <v>104891432.717996</v>
      </c>
      <c r="BP62" t="n">
        <v>200459801.631308</v>
      </c>
      <c r="BQ62" t="n">
        <v>34764883.9208973</v>
      </c>
      <c r="BR62" t="n">
        <v>6123928.80067143</v>
      </c>
      <c r="BS62" t="n">
        <v>267232567.224374</v>
      </c>
      <c r="BT62" t="n">
        <v>49174655.3281399</v>
      </c>
      <c r="BU62" t="n">
        <v>270098274.490222</v>
      </c>
      <c r="BV62" t="n">
        <v>0</v>
      </c>
      <c r="BW62" t="n">
        <v>221845073.671366</v>
      </c>
      <c r="BX62" t="n">
        <v>2161480173.52477</v>
      </c>
      <c r="BY62" t="n">
        <v>10782661.8089994</v>
      </c>
      <c r="BZ62" t="n">
        <v>0</v>
      </c>
      <c r="CA62" t="n">
        <v>3642338664.20115</v>
      </c>
      <c r="CB62" t="n">
        <v>0</v>
      </c>
      <c r="CC62" t="n">
        <v>0</v>
      </c>
      <c r="CD62" t="n">
        <v>0</v>
      </c>
      <c r="CE62" t="n">
        <v>0</v>
      </c>
      <c r="CF62" t="n">
        <v>172507295.847447</v>
      </c>
      <c r="CG62" t="n">
        <v>0</v>
      </c>
      <c r="CH62" t="n">
        <v>0</v>
      </c>
      <c r="CI62" t="n">
        <v>0</v>
      </c>
      <c r="CJ62" t="n">
        <v>309068680.178892</v>
      </c>
      <c r="CK62" t="n">
        <v>0</v>
      </c>
      <c r="CL62" t="n">
        <v>0</v>
      </c>
      <c r="CM62" t="n">
        <v>0</v>
      </c>
      <c r="CN62" t="n">
        <v>84899045.3080514</v>
      </c>
    </row>
    <row r="63">
      <c r="A63" t="s">
        <v>174</v>
      </c>
      <c r="B63" t="n">
        <v>0</v>
      </c>
      <c r="C63" t="n">
        <v>0</v>
      </c>
      <c r="D63" t="n">
        <v>1067638988.08844</v>
      </c>
      <c r="E63" t="n">
        <v>107024075.389444</v>
      </c>
      <c r="F63" t="n">
        <v>287623164.698764</v>
      </c>
      <c r="G63" t="n">
        <v>713839.398186393</v>
      </c>
      <c r="H63" t="n">
        <v>220502892.049262</v>
      </c>
      <c r="I63" t="n">
        <v>3452440.740073</v>
      </c>
      <c r="J63" t="n">
        <v>43264608.5790651</v>
      </c>
      <c r="K63" t="n">
        <v>6097284.94217088</v>
      </c>
      <c r="L63" t="n">
        <v>43225415.9642402</v>
      </c>
      <c r="M63" t="n">
        <v>99247329.1970617</v>
      </c>
      <c r="N63" t="n">
        <v>63424187.4731426</v>
      </c>
      <c r="O63" t="n">
        <v>9813024.35418065</v>
      </c>
      <c r="P63" t="n">
        <v>8601569.04028996</v>
      </c>
      <c r="Q63" t="n">
        <v>37183431.1087323</v>
      </c>
      <c r="R63" t="n">
        <v>6672678.57033145</v>
      </c>
      <c r="S63" t="n">
        <v>80677258.7359904</v>
      </c>
      <c r="T63" t="n">
        <v>340902123.369953</v>
      </c>
      <c r="U63" t="n">
        <v>3364575.33408592</v>
      </c>
      <c r="V63" t="n">
        <v>1203035.80163877</v>
      </c>
      <c r="W63" t="n">
        <v>5414153.77750164</v>
      </c>
      <c r="X63" t="n">
        <v>3541269.85015193</v>
      </c>
      <c r="Y63" t="n">
        <v>29022441.1285168</v>
      </c>
      <c r="Z63" t="n">
        <v>82111940.9707316</v>
      </c>
      <c r="AA63" t="n">
        <v>16160544.9909438</v>
      </c>
      <c r="AB63" t="n">
        <v>1373322032.66333</v>
      </c>
      <c r="AC63" t="n">
        <v>28834163.8622478</v>
      </c>
      <c r="AD63" t="n">
        <v>89814549.1623142</v>
      </c>
      <c r="AE63" t="n">
        <v>198552945.870713</v>
      </c>
      <c r="AF63" t="n">
        <v>314962862.62508</v>
      </c>
      <c r="AG63" t="n">
        <v>191310316.404141</v>
      </c>
      <c r="AH63" t="n">
        <v>199668.714642849</v>
      </c>
      <c r="AI63" t="n">
        <v>330767.806475811</v>
      </c>
      <c r="AJ63" t="n">
        <v>47662472.569708</v>
      </c>
      <c r="AK63" t="n">
        <v>2954388.97989835</v>
      </c>
      <c r="AL63" t="n">
        <v>125619.663634712</v>
      </c>
      <c r="AM63" t="n">
        <v>81864192.8465586</v>
      </c>
      <c r="AN63" t="n">
        <v>14484185.2005005</v>
      </c>
      <c r="AO63" t="n">
        <v>79492524.162498</v>
      </c>
      <c r="AP63" t="n">
        <v>3131029.09592461</v>
      </c>
      <c r="AQ63" t="n">
        <v>68021156.6528216</v>
      </c>
      <c r="AR63" t="n">
        <v>54242572.8683241</v>
      </c>
      <c r="AS63" t="n">
        <v>81483848.2829237</v>
      </c>
      <c r="AT63" t="n">
        <v>188060199.706788</v>
      </c>
      <c r="AU63" t="n">
        <v>58285860.1772972</v>
      </c>
      <c r="AV63" t="n">
        <v>13228041.6238685</v>
      </c>
      <c r="AW63" t="n">
        <v>441936.852845542</v>
      </c>
      <c r="AX63" t="n">
        <v>232740097.387737</v>
      </c>
      <c r="AY63" t="n">
        <v>149413448.647247</v>
      </c>
      <c r="AZ63" t="n">
        <v>48140751.904988</v>
      </c>
      <c r="BA63" t="n">
        <v>110139596.282714</v>
      </c>
      <c r="BB63" t="n">
        <v>349586263.376021</v>
      </c>
      <c r="BC63" t="n">
        <v>886663.908538799</v>
      </c>
      <c r="BD63" t="n">
        <v>315276364.831645</v>
      </c>
      <c r="BE63" t="n">
        <v>57821662.609125</v>
      </c>
      <c r="BF63" t="n">
        <v>75521587.7850465</v>
      </c>
      <c r="BG63" t="n">
        <v>682056272.775013</v>
      </c>
      <c r="BH63" t="n">
        <v>102564216.82175</v>
      </c>
      <c r="BI63" t="n">
        <v>70921230.6197085</v>
      </c>
      <c r="BJ63" t="n">
        <v>28980832.5933779</v>
      </c>
      <c r="BK63" t="n">
        <v>56655110.196757</v>
      </c>
      <c r="BL63" t="n">
        <v>82697045.3309807</v>
      </c>
      <c r="BM63" t="n">
        <v>346486474.328473</v>
      </c>
      <c r="BN63" t="n">
        <v>820488179.743364</v>
      </c>
      <c r="BO63" t="n">
        <v>172293856.743645</v>
      </c>
      <c r="BP63" t="n">
        <v>0</v>
      </c>
      <c r="BQ63" t="n">
        <v>0</v>
      </c>
      <c r="BR63" t="n">
        <v>3049549.6831229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90501856.5912688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</row>
    <row r="64">
      <c r="A64" t="s">
        <v>175</v>
      </c>
      <c r="B64" t="n">
        <v>4597659.47706654</v>
      </c>
      <c r="C64" t="n">
        <v>93643.7167414696</v>
      </c>
      <c r="D64" t="n">
        <v>14266661.6474603</v>
      </c>
      <c r="E64" t="n">
        <v>6738982.36968888</v>
      </c>
      <c r="F64" t="n">
        <v>77629930.8887037</v>
      </c>
      <c r="G64" t="n">
        <v>91157345.8064507</v>
      </c>
      <c r="H64" t="n">
        <v>112693928.984665</v>
      </c>
      <c r="I64" t="n">
        <v>3333086.35507268</v>
      </c>
      <c r="J64" t="n">
        <v>15209717.0202662</v>
      </c>
      <c r="K64" t="n">
        <v>15148879.1775964</v>
      </c>
      <c r="L64" t="n">
        <v>60877028.5703586</v>
      </c>
      <c r="M64" t="n">
        <v>17504494.6452678</v>
      </c>
      <c r="N64" t="n">
        <v>23915294.5232334</v>
      </c>
      <c r="O64" t="n">
        <v>1595573.23611267</v>
      </c>
      <c r="P64" t="n">
        <v>2509614.71158604</v>
      </c>
      <c r="Q64" t="n">
        <v>40814027.1765635</v>
      </c>
      <c r="R64" t="n">
        <v>3532202.9543256</v>
      </c>
      <c r="S64" t="n">
        <v>23561719.0439077</v>
      </c>
      <c r="T64" t="n">
        <v>34596890.4253886</v>
      </c>
      <c r="U64" t="n">
        <v>655742.193865879</v>
      </c>
      <c r="V64" t="n">
        <v>862531.281752376</v>
      </c>
      <c r="W64" t="n">
        <v>2320059.34442645</v>
      </c>
      <c r="X64" t="n">
        <v>16457215.2224388</v>
      </c>
      <c r="Y64" t="n">
        <v>9068156.42448224</v>
      </c>
      <c r="Z64" t="n">
        <v>15151209.9122802</v>
      </c>
      <c r="AA64" t="n">
        <v>11144045.7073011</v>
      </c>
      <c r="AB64" t="n">
        <v>700607511.405514</v>
      </c>
      <c r="AC64" t="n">
        <v>68379186.4367557</v>
      </c>
      <c r="AD64" t="n">
        <v>37730275.3696935</v>
      </c>
      <c r="AE64" t="n">
        <v>58104547.2475476</v>
      </c>
      <c r="AF64" t="n">
        <v>162960329.229285</v>
      </c>
      <c r="AG64" t="n">
        <v>96401023.8822828</v>
      </c>
      <c r="AH64" t="n">
        <v>8790127.97025997</v>
      </c>
      <c r="AI64" t="n">
        <v>855426.660895537</v>
      </c>
      <c r="AJ64" t="n">
        <v>78559245.811338</v>
      </c>
      <c r="AK64" t="n">
        <v>61664177.9648049</v>
      </c>
      <c r="AL64" t="n">
        <v>71828117.7729893</v>
      </c>
      <c r="AM64" t="n">
        <v>78612855.8265312</v>
      </c>
      <c r="AN64" t="n">
        <v>34889798.9064116</v>
      </c>
      <c r="AO64" t="n">
        <v>255134157.739142</v>
      </c>
      <c r="AP64" t="n">
        <v>6974512.47200508</v>
      </c>
      <c r="AQ64" t="n">
        <v>404458899.378129</v>
      </c>
      <c r="AR64" t="n">
        <v>237421111.877628</v>
      </c>
      <c r="AS64" t="n">
        <v>188892968.380699</v>
      </c>
      <c r="AT64" t="n">
        <v>127457392.840264</v>
      </c>
      <c r="AU64" t="n">
        <v>81092222.4117057</v>
      </c>
      <c r="AV64" t="n">
        <v>1092496.45202431</v>
      </c>
      <c r="AW64" t="n">
        <v>37132902.008568</v>
      </c>
      <c r="AX64" t="n">
        <v>1022200985.67559</v>
      </c>
      <c r="AY64" t="n">
        <v>203252100.753627</v>
      </c>
      <c r="AZ64" t="n">
        <v>76466070.2078786</v>
      </c>
      <c r="BA64" t="n">
        <v>516217071.458074</v>
      </c>
      <c r="BB64" t="n">
        <v>824358206.911812</v>
      </c>
      <c r="BC64" t="n">
        <v>205064577.130157</v>
      </c>
      <c r="BD64" t="n">
        <v>928763224.129729</v>
      </c>
      <c r="BE64" t="n">
        <v>54959606.3127635</v>
      </c>
      <c r="BF64" t="n">
        <v>36345304.1953719</v>
      </c>
      <c r="BG64" t="n">
        <v>285967772.198599</v>
      </c>
      <c r="BH64" t="n">
        <v>264818644.197566</v>
      </c>
      <c r="BI64" t="n">
        <v>74179526.6682206</v>
      </c>
      <c r="BJ64" t="n">
        <v>33278937.4760434</v>
      </c>
      <c r="BK64" t="n">
        <v>53447437.8263806</v>
      </c>
      <c r="BL64" t="n">
        <v>61757751.20161</v>
      </c>
      <c r="BM64" t="n">
        <v>65855817.5387285</v>
      </c>
      <c r="BN64" t="n">
        <v>128913097.076712</v>
      </c>
      <c r="BO64" t="n">
        <v>185369768.699766</v>
      </c>
      <c r="BP64" t="n">
        <v>68584332.5933832</v>
      </c>
      <c r="BQ64" t="n">
        <v>120685508.871408</v>
      </c>
      <c r="BR64" t="n">
        <v>7089782.38194509</v>
      </c>
      <c r="BS64" t="n">
        <v>461714578.63395</v>
      </c>
      <c r="BT64" t="n">
        <v>49426660.7730687</v>
      </c>
      <c r="BU64" t="n">
        <v>725468599.29058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57536638.5168181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</row>
    <row r="65">
      <c r="A65" t="s">
        <v>176</v>
      </c>
      <c r="B65" t="n">
        <v>203557.650681078</v>
      </c>
      <c r="C65" t="n">
        <v>737.78241705851</v>
      </c>
      <c r="D65" t="n">
        <v>1964361.16479775</v>
      </c>
      <c r="E65" t="n">
        <v>146030.85265244</v>
      </c>
      <c r="F65" t="n">
        <v>619285.194133918</v>
      </c>
      <c r="G65" t="n">
        <v>538272.968646152</v>
      </c>
      <c r="H65" t="n">
        <v>3027974.10568679</v>
      </c>
      <c r="I65" t="n">
        <v>74636.1019065122</v>
      </c>
      <c r="J65" t="n">
        <v>358196.15761892</v>
      </c>
      <c r="K65" t="n">
        <v>123002.137063056</v>
      </c>
      <c r="L65" t="n">
        <v>257947.879464012</v>
      </c>
      <c r="M65" t="n">
        <v>160306.924435472</v>
      </c>
      <c r="N65" t="n">
        <v>110965.99399051</v>
      </c>
      <c r="O65" t="n">
        <v>20082.2370021686</v>
      </c>
      <c r="P65" t="n">
        <v>15887.6334681167</v>
      </c>
      <c r="Q65" t="n">
        <v>160119.008305112</v>
      </c>
      <c r="R65" t="n">
        <v>103975.934509608</v>
      </c>
      <c r="S65" t="n">
        <v>164564.77258599</v>
      </c>
      <c r="T65" t="n">
        <v>1238869.47370855</v>
      </c>
      <c r="U65" t="n">
        <v>17909.9705670235</v>
      </c>
      <c r="V65" t="n">
        <v>334.85311186329</v>
      </c>
      <c r="W65" t="n">
        <v>51442.9426827965</v>
      </c>
      <c r="X65" t="n">
        <v>52800.4063278571</v>
      </c>
      <c r="Y65" t="n">
        <v>215835.43700305</v>
      </c>
      <c r="Z65" t="n">
        <v>494408.252850931</v>
      </c>
      <c r="AA65" t="n">
        <v>185645.92277628</v>
      </c>
      <c r="AB65" t="n">
        <v>2585332.30255477</v>
      </c>
      <c r="AC65" t="n">
        <v>903008.517164247</v>
      </c>
      <c r="AD65" t="n">
        <v>516297.440417744</v>
      </c>
      <c r="AE65" t="n">
        <v>290746.443187986</v>
      </c>
      <c r="AF65" t="n">
        <v>993610.822258355</v>
      </c>
      <c r="AG65" t="n">
        <v>297204.675207683</v>
      </c>
      <c r="AH65" t="n">
        <v>182729.561792132</v>
      </c>
      <c r="AI65" t="n">
        <v>157.813713972358</v>
      </c>
      <c r="AJ65" t="n">
        <v>719034.482887128</v>
      </c>
      <c r="AK65" t="n">
        <v>43103.3313200353</v>
      </c>
      <c r="AL65" t="n">
        <v>734911.651144275</v>
      </c>
      <c r="AM65" t="n">
        <v>243098.089304229</v>
      </c>
      <c r="AN65" t="n">
        <v>155822.37650579</v>
      </c>
      <c r="AO65" t="n">
        <v>78572.5433876669</v>
      </c>
      <c r="AP65" t="n">
        <v>22115.535814738</v>
      </c>
      <c r="AQ65" t="n">
        <v>104801.53913321</v>
      </c>
      <c r="AR65" t="n">
        <v>93484.2222228432</v>
      </c>
      <c r="AS65" t="n">
        <v>407940.64051575</v>
      </c>
      <c r="AT65" t="n">
        <v>135351.299896459</v>
      </c>
      <c r="AU65" t="n">
        <v>1097892.8445319</v>
      </c>
      <c r="AV65" t="n">
        <v>342761.366128921</v>
      </c>
      <c r="AW65" t="n">
        <v>4071.58963208657</v>
      </c>
      <c r="AX65" t="n">
        <v>44406840.8233774</v>
      </c>
      <c r="AY65" t="n">
        <v>726253.180298275</v>
      </c>
      <c r="AZ65" t="n">
        <v>276940.93178153</v>
      </c>
      <c r="BA65" t="n">
        <v>598454.361681893</v>
      </c>
      <c r="BB65" t="n">
        <v>3487364.85844781</v>
      </c>
      <c r="BC65" t="n">
        <v>874373.306602793</v>
      </c>
      <c r="BD65" t="n">
        <v>2949009.34612033</v>
      </c>
      <c r="BE65" t="n">
        <v>16154378.9605207</v>
      </c>
      <c r="BF65" t="n">
        <v>236867.03472201</v>
      </c>
      <c r="BG65" t="n">
        <v>1951150.1163706</v>
      </c>
      <c r="BH65" t="n">
        <v>1561634.69691475</v>
      </c>
      <c r="BI65" t="n">
        <v>712914.213644441</v>
      </c>
      <c r="BJ65" t="n">
        <v>491370.53372673</v>
      </c>
      <c r="BK65" t="n">
        <v>153320.111692529</v>
      </c>
      <c r="BL65" t="n">
        <v>1225709.22723709</v>
      </c>
      <c r="BM65" t="n">
        <v>1312656.87158179</v>
      </c>
      <c r="BN65" t="n">
        <v>2552066.23563174</v>
      </c>
      <c r="BO65" t="n">
        <v>2017337.67093293</v>
      </c>
      <c r="BP65" t="n">
        <v>123317.093380703</v>
      </c>
      <c r="BQ65" t="n">
        <v>1356599.7577978</v>
      </c>
      <c r="BR65" t="n">
        <v>321479.375889567</v>
      </c>
      <c r="BS65" t="n">
        <v>29861424.6711629</v>
      </c>
      <c r="BT65" t="n">
        <v>3363455.38158988</v>
      </c>
      <c r="BU65" t="n">
        <v>38199008.2087312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4358217.40275668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</row>
    <row r="66">
      <c r="A66" t="s">
        <v>177</v>
      </c>
      <c r="B66" t="n">
        <v>9423.20495650899</v>
      </c>
      <c r="C66" t="n">
        <v>0</v>
      </c>
      <c r="D66" t="n">
        <v>0</v>
      </c>
      <c r="E66" t="n">
        <v>0</v>
      </c>
      <c r="F66" t="n">
        <v>0</v>
      </c>
      <c r="G66" t="n">
        <v>435667.472422438</v>
      </c>
      <c r="H66" t="n">
        <v>28247.7255665514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55105.4304124211</v>
      </c>
      <c r="Y66" t="n">
        <v>10638.3511970675</v>
      </c>
      <c r="Z66" t="n">
        <v>0</v>
      </c>
      <c r="AA66" t="n">
        <v>2732.90001368616</v>
      </c>
      <c r="AB66" t="n">
        <v>7650743.88697948</v>
      </c>
      <c r="AC66" t="n">
        <v>375817.996987082</v>
      </c>
      <c r="AD66" t="n">
        <v>2731805.23960425</v>
      </c>
      <c r="AE66" t="n">
        <v>0</v>
      </c>
      <c r="AF66" t="n">
        <v>10750043.2310841</v>
      </c>
      <c r="AG66" t="n">
        <v>1426682.68852643</v>
      </c>
      <c r="AH66" t="n">
        <v>45133.694015818</v>
      </c>
      <c r="AI66" t="n">
        <v>0</v>
      </c>
      <c r="AJ66" t="n">
        <v>0</v>
      </c>
      <c r="AK66" t="n">
        <v>0</v>
      </c>
      <c r="AL66" t="n">
        <v>106482.870970808</v>
      </c>
      <c r="AM66" t="n">
        <v>113248.586486245</v>
      </c>
      <c r="AN66" t="n">
        <v>0</v>
      </c>
      <c r="AO66" t="n">
        <v>0</v>
      </c>
      <c r="AP66" t="n">
        <v>0</v>
      </c>
      <c r="AQ66" t="n">
        <v>83847.1229228334</v>
      </c>
      <c r="AR66" t="n">
        <v>545558.835667319</v>
      </c>
      <c r="AS66" t="n">
        <v>142433.591885218</v>
      </c>
      <c r="AT66" t="n">
        <v>33208.5190100688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682683.439230546</v>
      </c>
      <c r="BB66" t="n">
        <v>245793.460989268</v>
      </c>
      <c r="BC66" t="n">
        <v>0</v>
      </c>
      <c r="BD66" t="n">
        <v>1278886.32241126</v>
      </c>
      <c r="BE66" t="n">
        <v>0</v>
      </c>
      <c r="BF66" t="n">
        <v>8046480.42698912</v>
      </c>
      <c r="BG66" t="n">
        <v>0</v>
      </c>
      <c r="BH66" t="n">
        <v>15728.5701142721</v>
      </c>
      <c r="BI66" t="n">
        <v>0</v>
      </c>
      <c r="BJ66" t="n">
        <v>0</v>
      </c>
      <c r="BK66" t="n">
        <v>14401053.887499</v>
      </c>
      <c r="BL66" t="n">
        <v>2449329.2929659</v>
      </c>
      <c r="BM66" t="n">
        <v>0</v>
      </c>
      <c r="BN66" t="n">
        <v>0</v>
      </c>
      <c r="BO66" t="n">
        <v>10535315.6845206</v>
      </c>
      <c r="BP66" t="n">
        <v>0</v>
      </c>
      <c r="BQ66" t="n">
        <v>103108.826655064</v>
      </c>
      <c r="BR66" t="n">
        <v>606476.987081899</v>
      </c>
      <c r="BS66" t="n">
        <v>44095355.6484209</v>
      </c>
      <c r="BT66" t="n">
        <v>24584.6784230533</v>
      </c>
      <c r="BU66" t="n">
        <v>1782080033.25256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35926277.4719306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</row>
    <row r="67">
      <c r="A67" t="s">
        <v>178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  <c r="AV67" t="n">
        <v>0</v>
      </c>
      <c r="AW67" t="n">
        <v>0</v>
      </c>
      <c r="AX67" t="n">
        <v>0</v>
      </c>
      <c r="AY67" t="n">
        <v>0</v>
      </c>
      <c r="AZ67" t="n">
        <v>0</v>
      </c>
      <c r="BA67" t="n">
        <v>0</v>
      </c>
      <c r="BB67" t="n">
        <v>2115996.68811939</v>
      </c>
      <c r="BC67" t="n">
        <v>0</v>
      </c>
      <c r="BD67" t="n">
        <v>1730810.63394683</v>
      </c>
      <c r="BE67" t="n">
        <v>0</v>
      </c>
      <c r="BF67" t="n">
        <v>0</v>
      </c>
      <c r="BG67" t="n">
        <v>273865162.888714</v>
      </c>
      <c r="BH67" t="n">
        <v>149066934.236493</v>
      </c>
      <c r="BI67" t="n">
        <v>1280800.46403712</v>
      </c>
      <c r="BJ67" t="n">
        <v>16227.6044219354</v>
      </c>
      <c r="BK67" t="n">
        <v>2486365.99790761</v>
      </c>
      <c r="BL67" t="n">
        <v>103871.355077789</v>
      </c>
      <c r="BM67" t="n">
        <v>0</v>
      </c>
      <c r="BN67" t="n">
        <v>0</v>
      </c>
      <c r="BO67" t="n">
        <v>1046227.16923644</v>
      </c>
      <c r="BP67" t="n">
        <v>0</v>
      </c>
      <c r="BQ67" t="n">
        <v>12020561.3314236</v>
      </c>
      <c r="BR67" t="n">
        <v>0</v>
      </c>
      <c r="BS67" t="n">
        <v>194340374.938259</v>
      </c>
      <c r="BT67" t="n">
        <v>0</v>
      </c>
      <c r="BU67" t="n">
        <v>19658484997.2113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18321591.7555646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</row>
    <row r="68">
      <c r="A68" t="s">
        <v>179</v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0</v>
      </c>
      <c r="AO68" t="n">
        <v>0</v>
      </c>
      <c r="AP68" t="n">
        <v>0</v>
      </c>
      <c r="AQ68" t="n">
        <v>0</v>
      </c>
      <c r="AR68" t="n">
        <v>0</v>
      </c>
      <c r="AS68" t="n">
        <v>0</v>
      </c>
      <c r="AT68" t="n">
        <v>0</v>
      </c>
      <c r="AU68" t="n">
        <v>0</v>
      </c>
      <c r="AV68" t="n">
        <v>0</v>
      </c>
      <c r="AW68" t="n">
        <v>0</v>
      </c>
      <c r="AX68" t="n">
        <v>0</v>
      </c>
      <c r="AY68" t="n">
        <v>0</v>
      </c>
      <c r="AZ68" t="n">
        <v>0</v>
      </c>
      <c r="BA68" t="n">
        <v>0</v>
      </c>
      <c r="BB68" t="n">
        <v>0</v>
      </c>
      <c r="BC68" t="n">
        <v>0</v>
      </c>
      <c r="BD68" t="n">
        <v>0</v>
      </c>
      <c r="BE68" t="n">
        <v>0</v>
      </c>
      <c r="BF68" t="n">
        <v>0</v>
      </c>
      <c r="BG68" t="n">
        <v>0</v>
      </c>
      <c r="BH68" t="n">
        <v>10745534.2380165</v>
      </c>
      <c r="BI68" t="n">
        <v>0</v>
      </c>
      <c r="BJ68" t="n">
        <v>0</v>
      </c>
      <c r="BK68" t="n">
        <v>0</v>
      </c>
      <c r="BL68" t="n">
        <v>0</v>
      </c>
      <c r="BM68" t="n">
        <v>0</v>
      </c>
      <c r="BN68" t="n">
        <v>0</v>
      </c>
      <c r="BO68" t="n">
        <v>0</v>
      </c>
      <c r="BP68" t="n">
        <v>0</v>
      </c>
      <c r="BQ68" t="n">
        <v>0</v>
      </c>
      <c r="BR68" t="n">
        <v>0</v>
      </c>
      <c r="BS68" t="n">
        <v>0</v>
      </c>
      <c r="BT68" t="n">
        <v>0</v>
      </c>
      <c r="BU68" t="n">
        <v>19460506146.5302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58059750.5709142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</row>
    <row r="69">
      <c r="A69" t="s">
        <v>180</v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n">
        <v>0</v>
      </c>
      <c r="AY69" t="n">
        <v>0</v>
      </c>
      <c r="AZ69" t="n">
        <v>0</v>
      </c>
      <c r="BA69" t="n">
        <v>0</v>
      </c>
      <c r="BB69" t="n">
        <v>0</v>
      </c>
      <c r="BC69" t="n">
        <v>0</v>
      </c>
      <c r="BD69" t="n">
        <v>0</v>
      </c>
      <c r="BE69" t="n">
        <v>0</v>
      </c>
      <c r="BF69" t="n">
        <v>0</v>
      </c>
      <c r="BG69" t="n">
        <v>0</v>
      </c>
      <c r="BH69" t="n">
        <v>0</v>
      </c>
      <c r="BI69" t="n">
        <v>0</v>
      </c>
      <c r="BJ69" t="n">
        <v>0</v>
      </c>
      <c r="BK69" t="n">
        <v>0</v>
      </c>
      <c r="BL69" t="n">
        <v>0</v>
      </c>
      <c r="BM69" t="n">
        <v>0</v>
      </c>
      <c r="BN69" t="n">
        <v>0</v>
      </c>
      <c r="BO69" t="n">
        <v>0</v>
      </c>
      <c r="BP69" t="n">
        <v>0</v>
      </c>
      <c r="BQ69" t="n">
        <v>37810129.2788414</v>
      </c>
      <c r="BR69" t="n">
        <v>0</v>
      </c>
      <c r="BS69" t="n">
        <v>23279274.8589145</v>
      </c>
      <c r="BT69" t="n">
        <v>0</v>
      </c>
      <c r="BU69" t="n">
        <v>4407980574.9869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3693703.20193526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</row>
    <row r="70">
      <c r="A70" t="s">
        <v>181</v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4279770093.11952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</row>
    <row r="71">
      <c r="A71" t="s">
        <v>182</v>
      </c>
      <c r="B71" t="n">
        <v>1134393.63851288</v>
      </c>
      <c r="C71" t="n">
        <v>0</v>
      </c>
      <c r="D71" t="n">
        <v>0</v>
      </c>
      <c r="E71" t="n">
        <v>0</v>
      </c>
      <c r="F71" t="n">
        <v>1320772.40993034</v>
      </c>
      <c r="G71" t="n">
        <v>1311993.87890309</v>
      </c>
      <c r="H71" t="n">
        <v>3690836.3121407</v>
      </c>
      <c r="I71" t="n">
        <v>188436.402510421</v>
      </c>
      <c r="J71" t="n">
        <v>678734.329880186</v>
      </c>
      <c r="K71" t="n">
        <v>272949.369090787</v>
      </c>
      <c r="L71" t="n">
        <v>656376.090285867</v>
      </c>
      <c r="M71" t="n">
        <v>410663.979263867</v>
      </c>
      <c r="N71" t="n">
        <v>87737.8383395153</v>
      </c>
      <c r="O71" t="n">
        <v>20472.2627712818</v>
      </c>
      <c r="P71" t="n">
        <v>39300.1623968794</v>
      </c>
      <c r="Q71" t="n">
        <v>165308.095602291</v>
      </c>
      <c r="R71" t="n">
        <v>210665.650580614</v>
      </c>
      <c r="S71" t="n">
        <v>523019.138890162</v>
      </c>
      <c r="T71" t="n">
        <v>1355963.61522288</v>
      </c>
      <c r="U71" t="n">
        <v>18608.9195034024</v>
      </c>
      <c r="V71" t="n">
        <v>3618.37824581634</v>
      </c>
      <c r="W71" t="n">
        <v>87771.4113299119</v>
      </c>
      <c r="X71" t="n">
        <v>263987.753498531</v>
      </c>
      <c r="Y71" t="n">
        <v>244682.111337694</v>
      </c>
      <c r="Z71" t="n">
        <v>155080.113336923</v>
      </c>
      <c r="AA71" t="n">
        <v>730207.725818504</v>
      </c>
      <c r="AB71" t="n">
        <v>45737539.9051082</v>
      </c>
      <c r="AC71" t="n">
        <v>6368573.81848758</v>
      </c>
      <c r="AD71" t="n">
        <v>7138167.6494593</v>
      </c>
      <c r="AE71" t="n">
        <v>1256706.97724845</v>
      </c>
      <c r="AF71" t="n">
        <v>7007799.69887417</v>
      </c>
      <c r="AG71" t="n">
        <v>0</v>
      </c>
      <c r="AH71" t="n">
        <v>2027559.46193493</v>
      </c>
      <c r="AI71" t="n">
        <v>0</v>
      </c>
      <c r="AJ71" t="n">
        <v>751915.268466727</v>
      </c>
      <c r="AK71" t="n">
        <v>232884.436257389</v>
      </c>
      <c r="AL71" t="n">
        <v>0</v>
      </c>
      <c r="AM71" t="n">
        <v>3535765.93126357</v>
      </c>
      <c r="AN71" t="n">
        <v>62694.528247343</v>
      </c>
      <c r="AO71" t="n">
        <v>3573884.84729211</v>
      </c>
      <c r="AP71" t="n">
        <v>60144413.1866436</v>
      </c>
      <c r="AQ71" t="n">
        <v>489079978.783631</v>
      </c>
      <c r="AR71" t="n">
        <v>7143402.18770172</v>
      </c>
      <c r="AS71" t="n">
        <v>32021270.9461185</v>
      </c>
      <c r="AT71" t="n">
        <v>9506823.08538229</v>
      </c>
      <c r="AU71" t="n">
        <v>2061105.57399293</v>
      </c>
      <c r="AV71" t="n">
        <v>3400595.93667401</v>
      </c>
      <c r="AW71" t="n">
        <v>0</v>
      </c>
      <c r="AX71" t="n">
        <v>54943525.5141411</v>
      </c>
      <c r="AY71" t="n">
        <v>3390726.86437102</v>
      </c>
      <c r="AZ71" t="n">
        <v>6075516.08816341</v>
      </c>
      <c r="BA71" t="n">
        <v>22096951.2120696</v>
      </c>
      <c r="BB71" t="n">
        <v>105191418.009832</v>
      </c>
      <c r="BC71" t="n">
        <v>67331837.8226719</v>
      </c>
      <c r="BD71" t="n">
        <v>32991650.6884694</v>
      </c>
      <c r="BE71" t="n">
        <v>1637195.16485711</v>
      </c>
      <c r="BF71" t="n">
        <v>14809598.8464182</v>
      </c>
      <c r="BG71" t="n">
        <v>14584330.4167328</v>
      </c>
      <c r="BH71" t="n">
        <v>12792349.0267063</v>
      </c>
      <c r="BI71" t="n">
        <v>2288767.44879111</v>
      </c>
      <c r="BJ71" t="n">
        <v>11048829.2233814</v>
      </c>
      <c r="BK71" t="n">
        <v>349179814.193183</v>
      </c>
      <c r="BL71" t="n">
        <v>19409121.4080853</v>
      </c>
      <c r="BM71" t="n">
        <v>4773269.22582285</v>
      </c>
      <c r="BN71" t="n">
        <v>53804873.3038323</v>
      </c>
      <c r="BO71" t="n">
        <v>22194854.1888212</v>
      </c>
      <c r="BP71" t="n">
        <v>0</v>
      </c>
      <c r="BQ71" t="n">
        <v>270877.201290735</v>
      </c>
      <c r="BR71" t="n">
        <v>452478.009974231</v>
      </c>
      <c r="BS71" t="n">
        <v>23639457.017289</v>
      </c>
      <c r="BT71" t="n">
        <v>270693.039184543</v>
      </c>
      <c r="BU71" t="n">
        <v>1840210910.73711</v>
      </c>
      <c r="BV71" t="n">
        <v>0</v>
      </c>
      <c r="BW71" t="n">
        <v>0</v>
      </c>
      <c r="BX71" t="n">
        <v>91756575.1143293</v>
      </c>
      <c r="BY71" t="n">
        <v>0</v>
      </c>
      <c r="BZ71" t="n">
        <v>0</v>
      </c>
      <c r="CA71" t="n">
        <v>28087837.0339407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</row>
    <row r="72">
      <c r="A72" t="s">
        <v>183</v>
      </c>
      <c r="B72" t="n">
        <v>122997.363803382</v>
      </c>
      <c r="C72" t="n">
        <v>0</v>
      </c>
      <c r="D72" t="n">
        <v>0</v>
      </c>
      <c r="E72" t="n">
        <v>0</v>
      </c>
      <c r="F72" t="n">
        <v>316870.809595365</v>
      </c>
      <c r="G72" t="n">
        <v>226815.756734655</v>
      </c>
      <c r="H72" t="n">
        <v>842757.437723489</v>
      </c>
      <c r="I72" t="n">
        <v>19147.0832119688</v>
      </c>
      <c r="J72" t="n">
        <v>108730.830747984</v>
      </c>
      <c r="K72" t="n">
        <v>20097.4440682792</v>
      </c>
      <c r="L72" t="n">
        <v>76135.3707302875</v>
      </c>
      <c r="M72" t="n">
        <v>41095.4606060164</v>
      </c>
      <c r="N72" t="n">
        <v>12382.0414646857</v>
      </c>
      <c r="O72" t="n">
        <v>1733.49431424812</v>
      </c>
      <c r="P72" t="n">
        <v>4378.62071085721</v>
      </c>
      <c r="Q72" t="n">
        <v>18663.3428216015</v>
      </c>
      <c r="R72" t="n">
        <v>29730.2836500286</v>
      </c>
      <c r="S72" t="n">
        <v>59049.0469072384</v>
      </c>
      <c r="T72" t="n">
        <v>114816.581028528</v>
      </c>
      <c r="U72" t="n">
        <v>0</v>
      </c>
      <c r="V72" t="n">
        <v>0</v>
      </c>
      <c r="W72" t="n">
        <v>6669.80432886378</v>
      </c>
      <c r="X72" t="n">
        <v>28842.8819179004</v>
      </c>
      <c r="Y72" t="n">
        <v>13224.5892023537</v>
      </c>
      <c r="Z72" t="n">
        <v>18055.7437335154</v>
      </c>
      <c r="AA72" t="n">
        <v>57753.7955670396</v>
      </c>
      <c r="AB72" t="n">
        <v>2866798.87587224</v>
      </c>
      <c r="AC72" t="n">
        <v>46718.1288992939</v>
      </c>
      <c r="AD72" t="n">
        <v>246542.286555343</v>
      </c>
      <c r="AE72" t="n">
        <v>14779.4442661443</v>
      </c>
      <c r="AF72" t="n">
        <v>1549454.50772533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23463.3169226552</v>
      </c>
      <c r="AN72" t="n">
        <v>3791.91136617482</v>
      </c>
      <c r="AO72" t="n">
        <v>225710.79115163</v>
      </c>
      <c r="AP72" t="n">
        <v>35192.151605763</v>
      </c>
      <c r="AQ72" t="n">
        <v>243205.178176975</v>
      </c>
      <c r="AR72" t="n">
        <v>940908.090628579</v>
      </c>
      <c r="AS72" t="n">
        <v>2354418.55743417</v>
      </c>
      <c r="AT72" t="n">
        <v>990760.347256309</v>
      </c>
      <c r="AU72" t="n">
        <v>129432.167519825</v>
      </c>
      <c r="AV72" t="n">
        <v>123798.597949514</v>
      </c>
      <c r="AW72" t="n">
        <v>0</v>
      </c>
      <c r="AX72" t="n">
        <v>0</v>
      </c>
      <c r="AY72" t="n">
        <v>375374.416346669</v>
      </c>
      <c r="AZ72" t="n">
        <v>382487.692441051</v>
      </c>
      <c r="BA72" t="n">
        <v>2687383.12239103</v>
      </c>
      <c r="BB72" t="n">
        <v>3501404.81347673</v>
      </c>
      <c r="BC72" t="n">
        <v>5834220.37931095</v>
      </c>
      <c r="BD72" t="n">
        <v>3148650.58733772</v>
      </c>
      <c r="BE72" t="n">
        <v>183096.143940693</v>
      </c>
      <c r="BF72" t="n">
        <v>227433.65393565</v>
      </c>
      <c r="BG72" t="n">
        <v>1915853.11351934</v>
      </c>
      <c r="BH72" t="n">
        <v>54746.3464042445</v>
      </c>
      <c r="BI72" t="n">
        <v>137079.459597396</v>
      </c>
      <c r="BJ72" t="n">
        <v>347116.852161757</v>
      </c>
      <c r="BK72" t="n">
        <v>986970.133569343</v>
      </c>
      <c r="BL72" t="n">
        <v>2950726.79847472</v>
      </c>
      <c r="BM72" t="n">
        <v>2529694.67250558</v>
      </c>
      <c r="BN72" t="n">
        <v>5763711.08739263</v>
      </c>
      <c r="BO72" t="n">
        <v>288203.543860684</v>
      </c>
      <c r="BP72" t="n">
        <v>32548.2313167077</v>
      </c>
      <c r="BQ72" t="n">
        <v>13492.1172452857</v>
      </c>
      <c r="BR72" t="n">
        <v>6179.62842933825</v>
      </c>
      <c r="BS72" t="n">
        <v>4458864.57048046</v>
      </c>
      <c r="BT72" t="n">
        <v>401117.593476086</v>
      </c>
      <c r="BU72" t="n">
        <v>1888239830.02767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554417.777841951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</row>
    <row r="73">
      <c r="A73" t="s">
        <v>184</v>
      </c>
      <c r="B73" t="n">
        <v>13866.9780562129</v>
      </c>
      <c r="C73" t="n">
        <v>0</v>
      </c>
      <c r="D73" t="n">
        <v>44606.1235815117</v>
      </c>
      <c r="E73" t="n">
        <v>151443.556328162</v>
      </c>
      <c r="F73" t="n">
        <v>11385663.3306712</v>
      </c>
      <c r="G73" t="n">
        <v>12022342.28975</v>
      </c>
      <c r="H73" t="n">
        <v>8251391.38826606</v>
      </c>
      <c r="I73" t="n">
        <v>695095.571147548</v>
      </c>
      <c r="J73" t="n">
        <v>3364969.09595581</v>
      </c>
      <c r="K73" t="n">
        <v>802952.639177134</v>
      </c>
      <c r="L73" t="n">
        <v>2920161.03086159</v>
      </c>
      <c r="M73" t="n">
        <v>1743860.50108854</v>
      </c>
      <c r="N73" t="n">
        <v>586310.361689401</v>
      </c>
      <c r="O73" t="n">
        <v>102604.816951235</v>
      </c>
      <c r="P73" t="n">
        <v>216665.085600426</v>
      </c>
      <c r="Q73" t="n">
        <v>684898.872793979</v>
      </c>
      <c r="R73" t="n">
        <v>1083989.54449171</v>
      </c>
      <c r="S73" t="n">
        <v>2586365.74891251</v>
      </c>
      <c r="T73" t="n">
        <v>4460612.02918552</v>
      </c>
      <c r="U73" t="n">
        <v>63420.8374733253</v>
      </c>
      <c r="V73" t="n">
        <v>7253.97171226462</v>
      </c>
      <c r="W73" t="n">
        <v>266196.524074003</v>
      </c>
      <c r="X73" t="n">
        <v>1485262.55773143</v>
      </c>
      <c r="Y73" t="n">
        <v>506183.511117266</v>
      </c>
      <c r="Z73" t="n">
        <v>792790.037714515</v>
      </c>
      <c r="AA73" t="n">
        <v>2388874.74362945</v>
      </c>
      <c r="AB73" t="n">
        <v>48477329.7660207</v>
      </c>
      <c r="AC73" t="n">
        <v>584647.967686101</v>
      </c>
      <c r="AD73" t="n">
        <v>1092101.58891592</v>
      </c>
      <c r="AE73" t="n">
        <v>857293.455122703</v>
      </c>
      <c r="AF73" t="n">
        <v>2997261.61167863</v>
      </c>
      <c r="AG73" t="n">
        <v>0</v>
      </c>
      <c r="AH73" t="n">
        <v>212536.757046631</v>
      </c>
      <c r="AI73" t="n">
        <v>0</v>
      </c>
      <c r="AJ73" t="n">
        <v>0</v>
      </c>
      <c r="AK73" t="n">
        <v>0</v>
      </c>
      <c r="AL73" t="n">
        <v>407414.321243905</v>
      </c>
      <c r="AM73" t="n">
        <v>4355226.93190081</v>
      </c>
      <c r="AN73" t="n">
        <v>134665.006429084</v>
      </c>
      <c r="AO73" t="n">
        <v>9797134.66287846</v>
      </c>
      <c r="AP73" t="n">
        <v>1827840.40539765</v>
      </c>
      <c r="AQ73" t="n">
        <v>10759394.7386266</v>
      </c>
      <c r="AR73" t="n">
        <v>40908278.7836039</v>
      </c>
      <c r="AS73" t="n">
        <v>101809968.575819</v>
      </c>
      <c r="AT73" t="n">
        <v>43322293.368084</v>
      </c>
      <c r="AU73" t="n">
        <v>5506061.33777719</v>
      </c>
      <c r="AV73" t="n">
        <v>5503832.91448369</v>
      </c>
      <c r="AW73" t="n">
        <v>110254.298708609</v>
      </c>
      <c r="AX73" t="n">
        <v>148605196.302281</v>
      </c>
      <c r="AY73" t="n">
        <v>17882694.9264449</v>
      </c>
      <c r="AZ73" t="n">
        <v>12983632.5421937</v>
      </c>
      <c r="BA73" t="n">
        <v>118664959.528179</v>
      </c>
      <c r="BB73" t="n">
        <v>145698350.092439</v>
      </c>
      <c r="BC73" t="n">
        <v>15648184.0889927</v>
      </c>
      <c r="BD73" t="n">
        <v>89646716.1563596</v>
      </c>
      <c r="BE73" t="n">
        <v>9227259.74659823</v>
      </c>
      <c r="BF73" t="n">
        <v>7950324.37958307</v>
      </c>
      <c r="BG73" t="n">
        <v>54633547.9960786</v>
      </c>
      <c r="BH73" t="n">
        <v>2564556.04331681</v>
      </c>
      <c r="BI73" t="n">
        <v>3435722.51520685</v>
      </c>
      <c r="BJ73" t="n">
        <v>5361450.37872664</v>
      </c>
      <c r="BK73" t="n">
        <v>2086894.769578</v>
      </c>
      <c r="BL73" t="n">
        <v>7125257.50900609</v>
      </c>
      <c r="BM73" t="n">
        <v>9552281.56469104</v>
      </c>
      <c r="BN73" t="n">
        <v>43209764.0753362</v>
      </c>
      <c r="BO73" t="n">
        <v>10489085.8592805</v>
      </c>
      <c r="BP73" t="n">
        <v>38093651.9831333</v>
      </c>
      <c r="BQ73" t="n">
        <v>16562816.3713773</v>
      </c>
      <c r="BR73" t="n">
        <v>760800.914259321</v>
      </c>
      <c r="BS73" t="n">
        <v>53588718.7032606</v>
      </c>
      <c r="BT73" t="n">
        <v>1618977.31195246</v>
      </c>
      <c r="BU73" t="n">
        <v>3045014387.6203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</row>
    <row r="74">
      <c r="A74" t="s">
        <v>185</v>
      </c>
      <c r="B74" t="n">
        <v>6779354.15459</v>
      </c>
      <c r="C74" t="n">
        <v>39764.3381507156</v>
      </c>
      <c r="D74" t="n">
        <v>721359.538815905</v>
      </c>
      <c r="E74" t="n">
        <v>690774.303177786</v>
      </c>
      <c r="F74" t="n">
        <v>27668340.5000625</v>
      </c>
      <c r="G74" t="n">
        <v>29147687.5476359</v>
      </c>
      <c r="H74" t="n">
        <v>12462284.5264067</v>
      </c>
      <c r="I74" t="n">
        <v>1221839.01821117</v>
      </c>
      <c r="J74" t="n">
        <v>5238167.91456066</v>
      </c>
      <c r="K74" t="n">
        <v>1479790.04207506</v>
      </c>
      <c r="L74" t="n">
        <v>4260487.84790447</v>
      </c>
      <c r="M74" t="n">
        <v>2811750.01590254</v>
      </c>
      <c r="N74" t="n">
        <v>765827.243609284</v>
      </c>
      <c r="O74" t="n">
        <v>239960.380889518</v>
      </c>
      <c r="P74" t="n">
        <v>308215.511114927</v>
      </c>
      <c r="Q74" t="n">
        <v>1140582.74650699</v>
      </c>
      <c r="R74" t="n">
        <v>1541100.57930322</v>
      </c>
      <c r="S74" t="n">
        <v>3652173.91330014</v>
      </c>
      <c r="T74" t="n">
        <v>8377177.06501003</v>
      </c>
      <c r="U74" t="n">
        <v>162429.549206471</v>
      </c>
      <c r="V74" t="n">
        <v>27071.421186828</v>
      </c>
      <c r="W74" t="n">
        <v>491102.748932137</v>
      </c>
      <c r="X74" t="n">
        <v>1667122.75958834</v>
      </c>
      <c r="Y74" t="n">
        <v>1356739.56258628</v>
      </c>
      <c r="Z74" t="n">
        <v>1169923.12682847</v>
      </c>
      <c r="AA74" t="n">
        <v>3602080.16401833</v>
      </c>
      <c r="AB74" t="n">
        <v>144843188.421889</v>
      </c>
      <c r="AC74" t="n">
        <v>15685904.0845068</v>
      </c>
      <c r="AD74" t="n">
        <v>18246788.851998</v>
      </c>
      <c r="AE74" t="n">
        <v>21220322.8616408</v>
      </c>
      <c r="AF74" t="n">
        <v>50500818.3080788</v>
      </c>
      <c r="AG74" t="n">
        <v>282586744.884542</v>
      </c>
      <c r="AH74" t="n">
        <v>49573.4638202053</v>
      </c>
      <c r="AI74" t="n">
        <v>4040.20877633868</v>
      </c>
      <c r="AJ74" t="n">
        <v>13708758.4215931</v>
      </c>
      <c r="AK74" t="n">
        <v>2032751.76678445</v>
      </c>
      <c r="AL74" t="n">
        <v>2651037.03513326</v>
      </c>
      <c r="AM74" t="n">
        <v>20703819.7940464</v>
      </c>
      <c r="AN74" t="n">
        <v>3037710.2357912</v>
      </c>
      <c r="AO74" t="n">
        <v>10611703.1399716</v>
      </c>
      <c r="AP74" t="n">
        <v>3057645.26511945</v>
      </c>
      <c r="AQ74" t="n">
        <v>12238416.2498081</v>
      </c>
      <c r="AR74" t="n">
        <v>43997156.4403425</v>
      </c>
      <c r="AS74" t="n">
        <v>180404681.058629</v>
      </c>
      <c r="AT74" t="n">
        <v>53284213.8838118</v>
      </c>
      <c r="AU74" t="n">
        <v>38784793.4025661</v>
      </c>
      <c r="AV74" t="n">
        <v>15921538.4615385</v>
      </c>
      <c r="AW74" t="n">
        <v>109723.451791342</v>
      </c>
      <c r="AX74" t="n">
        <v>514885722.21825</v>
      </c>
      <c r="AY74" t="n">
        <v>51871872.9996159</v>
      </c>
      <c r="AZ74" t="n">
        <v>29021825.9398017</v>
      </c>
      <c r="BA74" t="n">
        <v>191744424.105994</v>
      </c>
      <c r="BB74" t="n">
        <v>442048733.40885</v>
      </c>
      <c r="BC74" t="n">
        <v>94619283.4001509</v>
      </c>
      <c r="BD74" t="n">
        <v>213272308.220859</v>
      </c>
      <c r="BE74" t="n">
        <v>10361501.7695354</v>
      </c>
      <c r="BF74" t="n">
        <v>20620703.0512914</v>
      </c>
      <c r="BG74" t="n">
        <v>435219185.039486</v>
      </c>
      <c r="BH74" t="n">
        <v>226393318.881769</v>
      </c>
      <c r="BI74" t="n">
        <v>105331916.422879</v>
      </c>
      <c r="BJ74" t="n">
        <v>59782494.6904101</v>
      </c>
      <c r="BK74" t="n">
        <v>9890617.68285306</v>
      </c>
      <c r="BL74" t="n">
        <v>47988566.0459387</v>
      </c>
      <c r="BM74" t="n">
        <v>183435088.601619</v>
      </c>
      <c r="BN74" t="n">
        <v>134349207.845249</v>
      </c>
      <c r="BO74" t="n">
        <v>34722897.9374885</v>
      </c>
      <c r="BP74" t="n">
        <v>16935626.6835207</v>
      </c>
      <c r="BQ74" t="n">
        <v>6536801.12072455</v>
      </c>
      <c r="BR74" t="n">
        <v>5514729.99743541</v>
      </c>
      <c r="BS74" t="n">
        <v>227898810.124487</v>
      </c>
      <c r="BT74" t="n">
        <v>6728261.44969311</v>
      </c>
      <c r="BU74" t="n">
        <v>17723606331.5469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58448734.7535117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</row>
    <row r="75">
      <c r="A75" t="s">
        <v>186</v>
      </c>
      <c r="B75" t="n">
        <v>7092518.02911645</v>
      </c>
      <c r="C75" t="n">
        <v>260277.334971571</v>
      </c>
      <c r="D75" t="n">
        <v>4735108.32674374</v>
      </c>
      <c r="E75" t="n">
        <v>2841771.074117</v>
      </c>
      <c r="F75" t="n">
        <v>35081391.3909082</v>
      </c>
      <c r="G75" t="n">
        <v>15203131.9559784</v>
      </c>
      <c r="H75" t="n">
        <v>167430995.327211</v>
      </c>
      <c r="I75" t="n">
        <v>3609147.60114773</v>
      </c>
      <c r="J75" t="n">
        <v>24354829.5199762</v>
      </c>
      <c r="K75" t="n">
        <v>9011530.65385389</v>
      </c>
      <c r="L75" t="n">
        <v>19776400.7229094</v>
      </c>
      <c r="M75" t="n">
        <v>9931189.49323771</v>
      </c>
      <c r="N75" t="n">
        <v>10927198.105296</v>
      </c>
      <c r="O75" t="n">
        <v>901056.227937389</v>
      </c>
      <c r="P75" t="n">
        <v>1209266.11683767</v>
      </c>
      <c r="Q75" t="n">
        <v>6862695.89511072</v>
      </c>
      <c r="R75" t="n">
        <v>2819000.93354106</v>
      </c>
      <c r="S75" t="n">
        <v>10266205.4131972</v>
      </c>
      <c r="T75" t="n">
        <v>34863439.8119261</v>
      </c>
      <c r="U75" t="n">
        <v>612032.836213696</v>
      </c>
      <c r="V75" t="n">
        <v>39376.8648441521</v>
      </c>
      <c r="W75" t="n">
        <v>3488680.21030665</v>
      </c>
      <c r="X75" t="n">
        <v>3943714.99921413</v>
      </c>
      <c r="Y75" t="n">
        <v>8365925.71911612</v>
      </c>
      <c r="Z75" t="n">
        <v>11246335.3185586</v>
      </c>
      <c r="AA75" t="n">
        <v>9916092.94724669</v>
      </c>
      <c r="AB75" t="n">
        <v>344604072.603072</v>
      </c>
      <c r="AC75" t="n">
        <v>42830047.5204564</v>
      </c>
      <c r="AD75" t="n">
        <v>53945028.0071083</v>
      </c>
      <c r="AE75" t="n">
        <v>48330542.9463717</v>
      </c>
      <c r="AF75" t="n">
        <v>95079859.4604596</v>
      </c>
      <c r="AG75" t="n">
        <v>17694299.3258167</v>
      </c>
      <c r="AH75" t="n">
        <v>1954909.51870879</v>
      </c>
      <c r="AI75" t="n">
        <v>92996.2783525517</v>
      </c>
      <c r="AJ75" t="n">
        <v>99927996.7630537</v>
      </c>
      <c r="AK75" t="n">
        <v>27627610.2988476</v>
      </c>
      <c r="AL75" t="n">
        <v>29941315.935593</v>
      </c>
      <c r="AM75" t="n">
        <v>34108708.251138</v>
      </c>
      <c r="AN75" t="n">
        <v>9844193.54878144</v>
      </c>
      <c r="AO75" t="n">
        <v>29724598.2533016</v>
      </c>
      <c r="AP75" t="n">
        <v>2035302.33430839</v>
      </c>
      <c r="AQ75" t="n">
        <v>75869488.1906764</v>
      </c>
      <c r="AR75" t="n">
        <v>39854802.830369</v>
      </c>
      <c r="AS75" t="n">
        <v>83096021.6872144</v>
      </c>
      <c r="AT75" t="n">
        <v>63710455.0137348</v>
      </c>
      <c r="AU75" t="n">
        <v>76686183.2628773</v>
      </c>
      <c r="AV75" t="n">
        <v>2959500.95508161</v>
      </c>
      <c r="AW75" t="n">
        <v>523138169.215707</v>
      </c>
      <c r="AX75" t="n">
        <v>83714599.7261265</v>
      </c>
      <c r="AY75" t="n">
        <v>120955464.755559</v>
      </c>
      <c r="AZ75" t="n">
        <v>13641152.0451313</v>
      </c>
      <c r="BA75" t="n">
        <v>71413650.739902</v>
      </c>
      <c r="BB75" t="n">
        <v>224339833.244824</v>
      </c>
      <c r="BC75" t="n">
        <v>145475933.577523</v>
      </c>
      <c r="BD75" t="n">
        <v>273610064.183065</v>
      </c>
      <c r="BE75" t="n">
        <v>86730422.2969679</v>
      </c>
      <c r="BF75" t="n">
        <v>33509155.5891212</v>
      </c>
      <c r="BG75" t="n">
        <v>99535692.670832</v>
      </c>
      <c r="BH75" t="n">
        <v>135772434.512646</v>
      </c>
      <c r="BI75" t="n">
        <v>20897937.4700171</v>
      </c>
      <c r="BJ75" t="n">
        <v>13422773.5577297</v>
      </c>
      <c r="BK75" t="n">
        <v>15104437.7793208</v>
      </c>
      <c r="BL75" t="n">
        <v>52578128.1331241</v>
      </c>
      <c r="BM75" t="n">
        <v>43451170.3080466</v>
      </c>
      <c r="BN75" t="n">
        <v>199629274.213264</v>
      </c>
      <c r="BO75" t="n">
        <v>128251882.107386</v>
      </c>
      <c r="BP75" t="n">
        <v>71050686.2705163</v>
      </c>
      <c r="BQ75" t="n">
        <v>192050845.474945</v>
      </c>
      <c r="BR75" t="n">
        <v>12371958.760578</v>
      </c>
      <c r="BS75" t="n">
        <v>476673919.254532</v>
      </c>
      <c r="BT75" t="n">
        <v>33538555.8645423</v>
      </c>
      <c r="BU75" t="n">
        <v>11086509778.3389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1542676.93434714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</row>
    <row r="76">
      <c r="A76" t="s">
        <v>187</v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15417338366.5715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</row>
    <row r="77">
      <c r="A77" t="s">
        <v>188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0</v>
      </c>
      <c r="BN77" t="n">
        <v>0</v>
      </c>
      <c r="BO77" t="n">
        <v>0</v>
      </c>
      <c r="BP77" t="n">
        <v>0</v>
      </c>
      <c r="BQ77" t="n">
        <v>0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4744747140.40822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</row>
    <row r="78">
      <c r="A78" t="s">
        <v>189</v>
      </c>
      <c r="B78" t="n">
        <v>45402.4468906704</v>
      </c>
      <c r="C78" t="n">
        <v>2180.39917125504</v>
      </c>
      <c r="D78" t="n">
        <v>0</v>
      </c>
      <c r="E78" t="n">
        <v>13773.5449145818</v>
      </c>
      <c r="F78" t="n">
        <v>0</v>
      </c>
      <c r="G78" t="n">
        <v>828282.365019999</v>
      </c>
      <c r="H78" t="n">
        <v>45367.2915509034</v>
      </c>
      <c r="I78" t="n">
        <v>0</v>
      </c>
      <c r="J78" t="n">
        <v>0</v>
      </c>
      <c r="K78" t="n">
        <v>55176.1334243011</v>
      </c>
      <c r="L78" t="n">
        <v>300011.433618429</v>
      </c>
      <c r="M78" t="n">
        <v>545234.421812789</v>
      </c>
      <c r="N78" t="n">
        <v>259954.368115764</v>
      </c>
      <c r="O78" t="n">
        <v>159012.867872845</v>
      </c>
      <c r="P78" t="n">
        <v>0</v>
      </c>
      <c r="Q78" t="n">
        <v>0</v>
      </c>
      <c r="R78" t="n">
        <v>0</v>
      </c>
      <c r="S78" t="n">
        <v>85825.6131445859</v>
      </c>
      <c r="T78" t="n">
        <v>0</v>
      </c>
      <c r="U78" t="n">
        <v>2035.77244448686</v>
      </c>
      <c r="V78" t="n">
        <v>0</v>
      </c>
      <c r="W78" t="n">
        <v>0</v>
      </c>
      <c r="X78" t="n">
        <v>111792.175267427</v>
      </c>
      <c r="Y78" t="n">
        <v>76885.811800505</v>
      </c>
      <c r="Z78" t="n">
        <v>64680.5994803006</v>
      </c>
      <c r="AA78" t="n">
        <v>0</v>
      </c>
      <c r="AB78" t="n">
        <v>74141116.5199831</v>
      </c>
      <c r="AC78" t="n">
        <v>3397309.57003082</v>
      </c>
      <c r="AD78" t="n">
        <v>3051670.75056133</v>
      </c>
      <c r="AE78" t="n">
        <v>1522790.98091516</v>
      </c>
      <c r="AF78" t="n">
        <v>13495083.9279855</v>
      </c>
      <c r="AG78" t="n">
        <v>22913.2534329231</v>
      </c>
      <c r="AH78" t="n">
        <v>0</v>
      </c>
      <c r="AI78" t="n">
        <v>128211.561013435</v>
      </c>
      <c r="AJ78" t="n">
        <v>10163821.001167</v>
      </c>
      <c r="AK78" t="n">
        <v>967182.970243492</v>
      </c>
      <c r="AL78" t="n">
        <v>1197118.54633744</v>
      </c>
      <c r="AM78" t="n">
        <v>2746433.60556741</v>
      </c>
      <c r="AN78" t="n">
        <v>1504000.7505092</v>
      </c>
      <c r="AO78" t="n">
        <v>2143880.48015367</v>
      </c>
      <c r="AP78" t="n">
        <v>511504.951838873</v>
      </c>
      <c r="AQ78" t="n">
        <v>650870.037949875</v>
      </c>
      <c r="AR78" t="n">
        <v>5711057.30159596</v>
      </c>
      <c r="AS78" t="n">
        <v>5774534.03963991</v>
      </c>
      <c r="AT78" t="n">
        <v>10060235.051377</v>
      </c>
      <c r="AU78" t="n">
        <v>234650.393754985</v>
      </c>
      <c r="AV78" t="n">
        <v>0</v>
      </c>
      <c r="AW78" t="n">
        <v>0</v>
      </c>
      <c r="AX78" t="n">
        <v>1670568.33672553</v>
      </c>
      <c r="AY78" t="n">
        <v>4911974.31851236</v>
      </c>
      <c r="AZ78" t="n">
        <v>867871.251535657</v>
      </c>
      <c r="BA78" t="n">
        <v>2962956.70787639</v>
      </c>
      <c r="BB78" t="n">
        <v>12477517.6854495</v>
      </c>
      <c r="BC78" t="n">
        <v>1019322.49073208</v>
      </c>
      <c r="BD78" t="n">
        <v>4675349.18754524</v>
      </c>
      <c r="BE78" t="n">
        <v>561816.270037541</v>
      </c>
      <c r="BF78" t="n">
        <v>1515276.1975944</v>
      </c>
      <c r="BG78" t="n">
        <v>4260688.25910473</v>
      </c>
      <c r="BH78" t="n">
        <v>8212314.62275757</v>
      </c>
      <c r="BI78" t="n">
        <v>809173.71001513</v>
      </c>
      <c r="BJ78" t="n">
        <v>1854361.3935225</v>
      </c>
      <c r="BK78" t="n">
        <v>605487.71811398</v>
      </c>
      <c r="BL78" t="n">
        <v>622716.877116295</v>
      </c>
      <c r="BM78" t="n">
        <v>3559928.25074469</v>
      </c>
      <c r="BN78" t="n">
        <v>28250314.5273788</v>
      </c>
      <c r="BO78" t="n">
        <v>2247086.15266543</v>
      </c>
      <c r="BP78" t="n">
        <v>3504.2707035611</v>
      </c>
      <c r="BQ78" t="n">
        <v>435784.335544491</v>
      </c>
      <c r="BR78" t="n">
        <v>327338.975851877</v>
      </c>
      <c r="BS78" t="n">
        <v>8980900.6657009</v>
      </c>
      <c r="BT78" t="n">
        <v>254179.862907992</v>
      </c>
      <c r="BU78" t="n">
        <v>25085667.3222089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15440574.6146868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</row>
    <row r="79">
      <c r="A79" t="s">
        <v>190</v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31544149210.3587</v>
      </c>
      <c r="CL79" t="n">
        <v>0</v>
      </c>
      <c r="CM79" t="n">
        <v>0</v>
      </c>
      <c r="CN79" t="n">
        <v>0</v>
      </c>
    </row>
    <row r="80">
      <c r="A80" t="s">
        <v>191</v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8411657.25766668</v>
      </c>
      <c r="H80" t="n">
        <v>0</v>
      </c>
      <c r="I80" t="n">
        <v>629717.032462682</v>
      </c>
      <c r="J80" t="n">
        <v>3980092.65123823</v>
      </c>
      <c r="K80" t="n">
        <v>1405800.53997131</v>
      </c>
      <c r="L80" t="n">
        <v>2982341.49353313</v>
      </c>
      <c r="M80" t="n">
        <v>2141399.01873372</v>
      </c>
      <c r="N80" t="n">
        <v>1148740.86541393</v>
      </c>
      <c r="O80" t="n">
        <v>224643.76083274</v>
      </c>
      <c r="P80" t="n">
        <v>198599.11594853</v>
      </c>
      <c r="Q80" t="n">
        <v>2171229.80660366</v>
      </c>
      <c r="R80" t="n">
        <v>823087.809400583</v>
      </c>
      <c r="S80" t="n">
        <v>2021739.13057687</v>
      </c>
      <c r="T80" t="n">
        <v>15647644.4994132</v>
      </c>
      <c r="U80" t="n">
        <v>250605.59020427</v>
      </c>
      <c r="V80" t="n">
        <v>9023.807062276</v>
      </c>
      <c r="W80" t="n">
        <v>631417.820055604</v>
      </c>
      <c r="X80" t="n">
        <v>552168.047761744</v>
      </c>
      <c r="Y80" t="n">
        <v>2629088.62606431</v>
      </c>
      <c r="Z80" t="n">
        <v>6458749.16298694</v>
      </c>
      <c r="AA80" t="n">
        <v>1951126.75550993</v>
      </c>
      <c r="AB80" t="n">
        <v>25852420.0488588</v>
      </c>
      <c r="AC80" t="n">
        <v>9140282.45525774</v>
      </c>
      <c r="AD80" t="n">
        <v>6933311.29677971</v>
      </c>
      <c r="AE80" t="n">
        <v>3395251.65786253</v>
      </c>
      <c r="AF80" t="n">
        <v>11617491.5549087</v>
      </c>
      <c r="AG80" t="n">
        <v>278582.126811625</v>
      </c>
      <c r="AH80" t="n">
        <v>0</v>
      </c>
      <c r="AI80" t="n">
        <v>0</v>
      </c>
      <c r="AJ80" t="n">
        <v>5923888.35420136</v>
      </c>
      <c r="AK80" t="n">
        <v>86042.4028268551</v>
      </c>
      <c r="AL80" t="n">
        <v>4756272.32773908</v>
      </c>
      <c r="AM80" t="n">
        <v>1368276.47504045</v>
      </c>
      <c r="AN80" t="n">
        <v>1853896.68801963</v>
      </c>
      <c r="AO80" t="n">
        <v>1354161.65359266</v>
      </c>
      <c r="AP80" t="n">
        <v>459942.402168392</v>
      </c>
      <c r="AQ80" t="n">
        <v>1555384.00499233</v>
      </c>
      <c r="AR80" t="n">
        <v>1817469.44804687</v>
      </c>
      <c r="AS80" t="n">
        <v>7681293.06069946</v>
      </c>
      <c r="AT80" t="n">
        <v>3358759.63158083</v>
      </c>
      <c r="AU80" t="n">
        <v>909979.299869971</v>
      </c>
      <c r="AV80" t="n">
        <v>0</v>
      </c>
      <c r="AW80" t="n">
        <v>0</v>
      </c>
      <c r="AX80" t="n">
        <v>40426648.9133141</v>
      </c>
      <c r="AY80" t="n">
        <v>20004734.4315915</v>
      </c>
      <c r="AZ80" t="n">
        <v>6561946.08828122</v>
      </c>
      <c r="BA80" t="n">
        <v>6784253.36687875</v>
      </c>
      <c r="BB80" t="n">
        <v>29429379.2255685</v>
      </c>
      <c r="BC80" t="n">
        <v>10517783.3335799</v>
      </c>
      <c r="BD80" t="n">
        <v>25360930.5521472</v>
      </c>
      <c r="BE80" t="n">
        <v>18296332.1209269</v>
      </c>
      <c r="BF80" t="n">
        <v>1654909.92640938</v>
      </c>
      <c r="BG80" t="n">
        <v>13369795.3536223</v>
      </c>
      <c r="BH80" t="n">
        <v>10641879.5669102</v>
      </c>
      <c r="BI80" t="n">
        <v>7573428.83082821</v>
      </c>
      <c r="BJ80" t="n">
        <v>3878397.45684256</v>
      </c>
      <c r="BK80" t="n">
        <v>2120723.93939178</v>
      </c>
      <c r="BL80" t="n">
        <v>9071431.67679361</v>
      </c>
      <c r="BM80" t="n">
        <v>16927274.313485</v>
      </c>
      <c r="BN80" t="n">
        <v>32101689.7805305</v>
      </c>
      <c r="BO80" t="n">
        <v>26747883.2889692</v>
      </c>
      <c r="BP80" t="n">
        <v>22208038.7642394</v>
      </c>
      <c r="BQ80" t="n">
        <v>17027472.8281487</v>
      </c>
      <c r="BR80" t="n">
        <v>4404503.82633455</v>
      </c>
      <c r="BS80" t="n">
        <v>127601414.871956</v>
      </c>
      <c r="BT80" t="n">
        <v>22277521.1879471</v>
      </c>
      <c r="BU80" t="n">
        <v>1052491694.70372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</row>
    <row r="81">
      <c r="A81" t="s">
        <v>192</v>
      </c>
      <c r="B81" t="n">
        <v>-310504.770439237</v>
      </c>
      <c r="C81" t="n">
        <v>1232694.48267218</v>
      </c>
      <c r="D81" t="n">
        <v>0</v>
      </c>
      <c r="E81" t="n">
        <v>0</v>
      </c>
      <c r="F81" t="n">
        <v>62363561.1271249</v>
      </c>
      <c r="G81" t="n">
        <v>65602746.7161946</v>
      </c>
      <c r="H81" t="n">
        <v>71619352.9837065</v>
      </c>
      <c r="I81" t="n">
        <v>0</v>
      </c>
      <c r="J81" t="n">
        <v>-45748.1913935428</v>
      </c>
      <c r="K81" t="n">
        <v>153846371.724334</v>
      </c>
      <c r="L81" t="n">
        <v>5751658.59467104</v>
      </c>
      <c r="M81" t="n">
        <v>55862.5830974014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2043478.26101318</v>
      </c>
      <c r="T81" t="n">
        <v>-15370.9670917615</v>
      </c>
      <c r="U81" t="n">
        <v>-4640.84426304203</v>
      </c>
      <c r="V81" t="n">
        <v>0</v>
      </c>
      <c r="W81" t="n">
        <v>-131896.166856059</v>
      </c>
      <c r="X81" t="n">
        <v>0</v>
      </c>
      <c r="Y81" t="n">
        <v>0</v>
      </c>
      <c r="Z81" t="n">
        <v>-4834.39308606804</v>
      </c>
      <c r="AA81" t="n">
        <v>-10005.7782333842</v>
      </c>
      <c r="AB81" t="n">
        <v>0</v>
      </c>
      <c r="AC81" t="n">
        <v>-255534.778319034</v>
      </c>
      <c r="AD81" t="n">
        <v>0</v>
      </c>
      <c r="AE81" t="n">
        <v>0</v>
      </c>
      <c r="AF81" t="n">
        <v>3239077.57107119</v>
      </c>
      <c r="AG81" t="n">
        <v>-8914628.057972</v>
      </c>
      <c r="AH81" t="n">
        <v>0</v>
      </c>
      <c r="AI81" t="n">
        <v>-38913.5897931568</v>
      </c>
      <c r="AJ81" t="n">
        <v>4588527.43023271</v>
      </c>
      <c r="AK81" t="n">
        <v>43021.2014134276</v>
      </c>
      <c r="AL81" t="n">
        <v>9122686.26795857</v>
      </c>
      <c r="AM81" t="n">
        <v>21090807.0799164</v>
      </c>
      <c r="AN81" t="n">
        <v>0</v>
      </c>
      <c r="AO81" t="n">
        <v>0</v>
      </c>
      <c r="AP81" t="n">
        <v>816235.812298836</v>
      </c>
      <c r="AQ81" t="n">
        <v>20465.579013057</v>
      </c>
      <c r="AR81" t="n">
        <v>0</v>
      </c>
      <c r="AS81" t="n">
        <v>0</v>
      </c>
      <c r="AT81" t="n">
        <v>0</v>
      </c>
      <c r="AU81" t="n">
        <v>0</v>
      </c>
      <c r="AV81" t="n">
        <v>0</v>
      </c>
      <c r="AW81" t="n">
        <v>0</v>
      </c>
      <c r="AX81" t="n">
        <v>0</v>
      </c>
      <c r="AY81" t="n">
        <v>164340.611461917</v>
      </c>
      <c r="AZ81" t="n">
        <v>0</v>
      </c>
      <c r="BA81" t="n">
        <v>0</v>
      </c>
      <c r="BB81" t="n">
        <v>0</v>
      </c>
      <c r="BC81" t="n">
        <v>4545476.13059751</v>
      </c>
      <c r="BD81" t="n">
        <v>0</v>
      </c>
      <c r="BE81" t="n">
        <v>0</v>
      </c>
      <c r="BF81" t="n">
        <v>3217880.41246268</v>
      </c>
      <c r="BG81" t="n">
        <v>0</v>
      </c>
      <c r="BH81" t="n">
        <v>0</v>
      </c>
      <c r="BI81" t="n">
        <v>0</v>
      </c>
      <c r="BJ81" t="n">
        <v>0</v>
      </c>
      <c r="BK81" t="n">
        <v>-2596058.61546235</v>
      </c>
      <c r="BL81" t="n">
        <v>17969744.4284576</v>
      </c>
      <c r="BM81" t="n">
        <v>0</v>
      </c>
      <c r="BN81" t="n">
        <v>0</v>
      </c>
      <c r="BO81" t="n">
        <v>535273507.943683</v>
      </c>
      <c r="BP81" t="n">
        <v>-1246206.49180624</v>
      </c>
      <c r="BQ81" t="n">
        <v>0</v>
      </c>
      <c r="BR81" t="n">
        <v>0</v>
      </c>
      <c r="BS81" t="n">
        <v>0</v>
      </c>
      <c r="BT81" t="n">
        <v>0</v>
      </c>
      <c r="BU81" t="n">
        <v>1427114949.54373</v>
      </c>
      <c r="BV81" t="n">
        <v>-38214532.1393101</v>
      </c>
      <c r="BW81" t="n">
        <v>-1664020873.66098</v>
      </c>
      <c r="BX81" t="n">
        <v>0</v>
      </c>
      <c r="BY81" t="n">
        <v>-18313719.0681838</v>
      </c>
      <c r="BZ81" t="n">
        <v>31333133.4356409</v>
      </c>
      <c r="CA81" t="n">
        <v>318960419.69305</v>
      </c>
      <c r="CB81" t="n">
        <v>0</v>
      </c>
      <c r="CC81" t="n">
        <v>0</v>
      </c>
      <c r="CD81" t="n">
        <v>-50598.5198799207</v>
      </c>
      <c r="CE81" t="n">
        <v>0</v>
      </c>
      <c r="CF81" t="n">
        <v>0</v>
      </c>
      <c r="CG81" t="n">
        <v>0</v>
      </c>
      <c r="CH81" t="n">
        <v>-6995245.37339904</v>
      </c>
      <c r="CI81" t="n">
        <v>417437.789009346</v>
      </c>
      <c r="CJ81" t="n">
        <v>0</v>
      </c>
      <c r="CK81" t="n">
        <v>0</v>
      </c>
      <c r="CL81" t="n">
        <v>86185395.5107298</v>
      </c>
      <c r="CM81" t="n">
        <v>-357953875.727772</v>
      </c>
      <c r="CN81" t="n">
        <v>0</v>
      </c>
    </row>
    <row r="82">
      <c r="A82" t="s">
        <v>193</v>
      </c>
      <c r="B82" t="n">
        <v>0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-3926376188.12991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4117607187.16325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9" xSplit="1" topLeftCell="B10" activePane="bottomRight" state="frozen"/>
      <selection pane="bottomRight"/>
    </sheetView>
  </sheetViews>
  <sheetFormatPr defaultRowHeight="15.0" baseColWidth="10"/>
  <cols>
    <col min="1" max="1" width="14.71" hidden="0" customWidth="1"/>
  </cols>
  <sheetData>
    <row r="1">
      <c r="A1" t="s">
        <v>225</v>
      </c>
    </row>
    <row r="2">
      <c r="A2" t="s">
        <v>199</v>
      </c>
    </row>
    <row r="3">
      <c r="A3" t="s">
        <v>200</v>
      </c>
    </row>
    <row r="4">
      <c r="A4" t="s">
        <v>201</v>
      </c>
    </row>
    <row r="5">
      <c r="A5" t="s">
        <v>202</v>
      </c>
    </row>
    <row r="6">
      <c r="A6" t="s">
        <v>203</v>
      </c>
    </row>
    <row r="7">
      <c r="A7" t="s">
        <v>1</v>
      </c>
    </row>
    <row r="9">
      <c r="A9" t="s">
        <v>204</v>
      </c>
      <c r="B9" t="s">
        <v>121</v>
      </c>
      <c r="C9" t="s">
        <v>122</v>
      </c>
      <c r="D9" t="s">
        <v>123</v>
      </c>
      <c r="E9" t="s">
        <v>124</v>
      </c>
      <c r="F9" t="s">
        <v>125</v>
      </c>
      <c r="G9" t="s">
        <v>126</v>
      </c>
      <c r="H9" t="s">
        <v>127</v>
      </c>
      <c r="I9" t="s">
        <v>128</v>
      </c>
      <c r="J9" t="s">
        <v>129</v>
      </c>
      <c r="K9" t="s">
        <v>130</v>
      </c>
      <c r="L9" t="s">
        <v>131</v>
      </c>
      <c r="M9" t="s">
        <v>132</v>
      </c>
      <c r="N9" t="s">
        <v>133</v>
      </c>
      <c r="O9" t="s">
        <v>134</v>
      </c>
      <c r="P9" t="s">
        <v>135</v>
      </c>
      <c r="Q9" t="s">
        <v>136</v>
      </c>
      <c r="R9" t="s">
        <v>137</v>
      </c>
      <c r="S9" t="s">
        <v>138</v>
      </c>
      <c r="T9" t="s">
        <v>139</v>
      </c>
      <c r="U9" t="s">
        <v>140</v>
      </c>
      <c r="V9" t="s">
        <v>141</v>
      </c>
      <c r="W9" t="s">
        <v>142</v>
      </c>
      <c r="X9" t="s">
        <v>143</v>
      </c>
      <c r="Y9" t="s">
        <v>144</v>
      </c>
      <c r="Z9" t="s">
        <v>145</v>
      </c>
      <c r="AA9" t="s">
        <v>146</v>
      </c>
      <c r="AB9" t="s">
        <v>147</v>
      </c>
      <c r="AC9" t="s">
        <v>148</v>
      </c>
      <c r="AD9" t="s">
        <v>149</v>
      </c>
      <c r="AE9" t="s">
        <v>150</v>
      </c>
      <c r="AF9" t="s">
        <v>151</v>
      </c>
      <c r="AG9" t="s">
        <v>152</v>
      </c>
      <c r="AH9" t="s">
        <v>153</v>
      </c>
      <c r="AI9" t="s">
        <v>154</v>
      </c>
      <c r="AJ9" t="s">
        <v>155</v>
      </c>
      <c r="AK9" t="s">
        <v>156</v>
      </c>
      <c r="AL9" t="s">
        <v>157</v>
      </c>
      <c r="AM9" t="s">
        <v>158</v>
      </c>
      <c r="AN9" t="s">
        <v>159</v>
      </c>
      <c r="AO9" t="s">
        <v>160</v>
      </c>
      <c r="AP9" t="s">
        <v>161</v>
      </c>
      <c r="AQ9" t="s">
        <v>162</v>
      </c>
      <c r="AR9" t="s">
        <v>163</v>
      </c>
      <c r="AS9" t="s">
        <v>164</v>
      </c>
      <c r="AT9" t="s">
        <v>165</v>
      </c>
      <c r="AU9" t="s">
        <v>166</v>
      </c>
      <c r="AV9" t="s">
        <v>167</v>
      </c>
      <c r="AW9" t="s">
        <v>168</v>
      </c>
      <c r="AX9" t="s">
        <v>169</v>
      </c>
      <c r="AY9" t="s">
        <v>170</v>
      </c>
      <c r="AZ9" t="s">
        <v>171</v>
      </c>
      <c r="BA9" t="s">
        <v>172</v>
      </c>
      <c r="BB9" t="s">
        <v>173</v>
      </c>
      <c r="BC9" t="s">
        <v>174</v>
      </c>
      <c r="BD9" t="s">
        <v>175</v>
      </c>
      <c r="BE9" t="s">
        <v>176</v>
      </c>
      <c r="BF9" t="s">
        <v>177</v>
      </c>
      <c r="BG9" t="s">
        <v>178</v>
      </c>
      <c r="BH9" t="s">
        <v>179</v>
      </c>
      <c r="BI9" t="s">
        <v>180</v>
      </c>
      <c r="BJ9" t="s">
        <v>181</v>
      </c>
      <c r="BK9" t="s">
        <v>182</v>
      </c>
      <c r="BL9" t="s">
        <v>183</v>
      </c>
      <c r="BM9" t="s">
        <v>184</v>
      </c>
      <c r="BN9" t="s">
        <v>185</v>
      </c>
      <c r="BO9" t="s">
        <v>186</v>
      </c>
      <c r="BP9" t="s">
        <v>187</v>
      </c>
      <c r="BQ9" t="s">
        <v>188</v>
      </c>
      <c r="BR9" t="s">
        <v>189</v>
      </c>
      <c r="BS9" t="s">
        <v>190</v>
      </c>
      <c r="BT9" t="s">
        <v>191</v>
      </c>
      <c r="BU9" t="s">
        <v>205</v>
      </c>
      <c r="BV9" t="s">
        <v>206</v>
      </c>
      <c r="BW9" t="s">
        <v>207</v>
      </c>
      <c r="BX9" t="s">
        <v>208</v>
      </c>
      <c r="BY9" t="s">
        <v>209</v>
      </c>
      <c r="BZ9" t="s">
        <v>210</v>
      </c>
      <c r="CA9" t="s">
        <v>211</v>
      </c>
      <c r="CB9" t="s">
        <v>212</v>
      </c>
      <c r="CC9" t="s">
        <v>213</v>
      </c>
      <c r="CD9" t="s">
        <v>214</v>
      </c>
      <c r="CE9" t="s">
        <v>215</v>
      </c>
      <c r="CF9" t="s">
        <v>216</v>
      </c>
      <c r="CG9" t="s">
        <v>217</v>
      </c>
      <c r="CH9" t="s">
        <v>218</v>
      </c>
      <c r="CI9" t="s">
        <v>219</v>
      </c>
      <c r="CJ9" t="s">
        <v>220</v>
      </c>
      <c r="CK9" t="s">
        <v>221</v>
      </c>
      <c r="CL9" t="s">
        <v>222</v>
      </c>
      <c r="CM9" t="s">
        <v>223</v>
      </c>
      <c r="CN9" t="s">
        <v>224</v>
      </c>
    </row>
    <row r="10">
      <c r="A10" t="s">
        <v>121</v>
      </c>
      <c r="B10" t="n">
        <v>821512581.303248</v>
      </c>
      <c r="C10" t="n">
        <v>1521990.01007391</v>
      </c>
      <c r="D10" t="n">
        <v>0</v>
      </c>
      <c r="E10" t="n">
        <v>252568.123759199</v>
      </c>
      <c r="F10" t="n">
        <v>630840.519398446</v>
      </c>
      <c r="G10" t="n">
        <v>0</v>
      </c>
      <c r="H10" t="n">
        <v>21944084.4809383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3566651.61563759</v>
      </c>
      <c r="T10" t="n">
        <v>1947511938.04862</v>
      </c>
      <c r="U10" t="n">
        <v>4272737.14212056</v>
      </c>
      <c r="V10" t="n">
        <v>0</v>
      </c>
      <c r="W10" t="n">
        <v>0</v>
      </c>
      <c r="X10" t="n">
        <v>0</v>
      </c>
      <c r="Y10" t="n">
        <v>0</v>
      </c>
      <c r="Z10" t="n">
        <v>37865089.7570605</v>
      </c>
      <c r="AA10" t="n">
        <v>0</v>
      </c>
      <c r="AB10" t="n">
        <v>7480015.78626693</v>
      </c>
      <c r="AC10" t="n">
        <v>7356719.65503605</v>
      </c>
      <c r="AD10" t="n">
        <v>11609776.2827903</v>
      </c>
      <c r="AE10" t="n">
        <v>1750225.35911295</v>
      </c>
      <c r="AF10" t="n">
        <v>3292813.11060259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279390.023023401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8097.94536437642</v>
      </c>
      <c r="AT10" t="n">
        <v>0</v>
      </c>
      <c r="AU10" t="n">
        <v>0</v>
      </c>
      <c r="AV10" t="n">
        <v>0</v>
      </c>
      <c r="AW10" t="n">
        <v>0</v>
      </c>
      <c r="AX10" t="n">
        <v>36590.4570695043</v>
      </c>
      <c r="AY10" t="n">
        <v>0</v>
      </c>
      <c r="AZ10" t="n">
        <v>8090.65627725668</v>
      </c>
      <c r="BA10" t="n">
        <v>0</v>
      </c>
      <c r="BB10" t="n">
        <v>14909706.4624226</v>
      </c>
      <c r="BC10" t="n">
        <v>266324.237833326</v>
      </c>
      <c r="BD10" t="n">
        <v>19477713.9791935</v>
      </c>
      <c r="BE10" t="n">
        <v>0</v>
      </c>
      <c r="BF10" t="n">
        <v>1448507.92214649</v>
      </c>
      <c r="BG10" t="n">
        <v>0</v>
      </c>
      <c r="BH10" t="n">
        <v>0</v>
      </c>
      <c r="BI10" t="n">
        <v>0</v>
      </c>
      <c r="BJ10" t="n">
        <v>0</v>
      </c>
      <c r="BK10" t="n">
        <v>0</v>
      </c>
      <c r="BL10" t="n">
        <v>11426920.5252718</v>
      </c>
      <c r="BM10" t="n">
        <v>611250.857683618</v>
      </c>
      <c r="BN10" t="n">
        <v>76034532.3378026</v>
      </c>
      <c r="BO10" t="n">
        <v>183981.68507045</v>
      </c>
      <c r="BP10" t="n">
        <v>180862.644816567</v>
      </c>
      <c r="BQ10" t="n">
        <v>-3052640.53861444</v>
      </c>
      <c r="BR10" t="n">
        <v>0</v>
      </c>
      <c r="BS10" t="n">
        <v>41734515.79323</v>
      </c>
      <c r="BT10" t="n">
        <v>0</v>
      </c>
      <c r="BU10" t="n">
        <v>1095665022.11122</v>
      </c>
      <c r="BV10" t="n">
        <v>0</v>
      </c>
      <c r="BW10" t="n">
        <v>0</v>
      </c>
      <c r="BX10" t="n">
        <v>0</v>
      </c>
      <c r="BY10" t="n">
        <v>0</v>
      </c>
      <c r="BZ10" t="n">
        <v>-233524003.75103</v>
      </c>
      <c r="CA10" t="n">
        <v>63860504.8233403</v>
      </c>
      <c r="CB10" t="n">
        <v>-791100404.51</v>
      </c>
      <c r="CC10" t="n">
        <v>0</v>
      </c>
      <c r="CD10" t="n">
        <v>0</v>
      </c>
      <c r="CE10" t="n">
        <v>0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</v>
      </c>
      <c r="CL10" t="n">
        <v>0</v>
      </c>
      <c r="CM10" t="n">
        <v>0</v>
      </c>
      <c r="CN10" t="n">
        <v>0</v>
      </c>
    </row>
    <row r="11">
      <c r="A11" t="s">
        <v>122</v>
      </c>
      <c r="B11" t="n">
        <v>284654065.617806</v>
      </c>
      <c r="C11" t="n">
        <v>32476152.4859417</v>
      </c>
      <c r="D11" t="n">
        <v>0</v>
      </c>
      <c r="E11" t="n">
        <v>1222651.32164358</v>
      </c>
      <c r="F11" t="n">
        <v>0</v>
      </c>
      <c r="G11" t="n">
        <v>0</v>
      </c>
      <c r="H11" t="n">
        <v>0</v>
      </c>
      <c r="I11" t="n">
        <v>71757851.9961271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1228628.73468267</v>
      </c>
      <c r="S11" t="n">
        <v>4328714.14772775</v>
      </c>
      <c r="T11" t="n">
        <v>115223620.29506</v>
      </c>
      <c r="U11" t="n">
        <v>0</v>
      </c>
      <c r="V11" t="n">
        <v>204927.260357911</v>
      </c>
      <c r="W11" t="n">
        <v>5147509.46326864</v>
      </c>
      <c r="X11" t="n">
        <v>195138.363651211</v>
      </c>
      <c r="Y11" t="n">
        <v>0</v>
      </c>
      <c r="Z11" t="n">
        <v>1351709.20204315</v>
      </c>
      <c r="AA11" t="n">
        <v>14310755.9462922</v>
      </c>
      <c r="AB11" t="n">
        <v>0</v>
      </c>
      <c r="AC11" t="n">
        <v>0</v>
      </c>
      <c r="AD11" t="n">
        <v>13566791.0680049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13820.9744953581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5551925.13782283</v>
      </c>
      <c r="BC11" t="n">
        <v>302871.831329525</v>
      </c>
      <c r="BD11" t="n">
        <v>36438.118609407</v>
      </c>
      <c r="BE11" t="n">
        <v>0</v>
      </c>
      <c r="BF11" t="n">
        <v>613732.629937975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6861860.1473692</v>
      </c>
      <c r="BM11" t="n">
        <v>7386999.95405809</v>
      </c>
      <c r="BN11" t="n">
        <v>98709070.1068553</v>
      </c>
      <c r="BO11" t="n">
        <v>1494877.15053734</v>
      </c>
      <c r="BP11" t="n">
        <v>0</v>
      </c>
      <c r="BQ11" t="n">
        <v>603870.163298684</v>
      </c>
      <c r="BR11" t="n">
        <v>248898.164991523</v>
      </c>
      <c r="BS11" t="n">
        <v>61902337.6896435</v>
      </c>
      <c r="BT11" t="n">
        <v>0</v>
      </c>
      <c r="BU11" t="n">
        <v>107327610.860533</v>
      </c>
      <c r="BV11" t="n">
        <v>0</v>
      </c>
      <c r="BW11" t="n">
        <v>0</v>
      </c>
      <c r="BX11" t="n">
        <v>0</v>
      </c>
      <c r="BY11" t="n">
        <v>0</v>
      </c>
      <c r="BZ11" t="n">
        <v>11707606.62515</v>
      </c>
      <c r="CA11" t="n">
        <v>10159286.6057901</v>
      </c>
      <c r="CB11" t="n">
        <v>-316118837.558558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</row>
    <row r="12">
      <c r="A12" t="s">
        <v>123</v>
      </c>
      <c r="B12" t="n">
        <v>0</v>
      </c>
      <c r="C12" t="n">
        <v>0</v>
      </c>
      <c r="D12" t="n">
        <v>358313526.014621</v>
      </c>
      <c r="E12" t="n">
        <v>0</v>
      </c>
      <c r="F12" t="n">
        <v>282841.417054311</v>
      </c>
      <c r="G12" t="n">
        <v>80533246.2816446</v>
      </c>
      <c r="H12" t="n">
        <v>0</v>
      </c>
      <c r="I12" t="n">
        <v>19512.6417817053</v>
      </c>
      <c r="J12" t="n">
        <v>8204.83482319974</v>
      </c>
      <c r="K12" t="n">
        <v>7961.9100767044</v>
      </c>
      <c r="L12" t="n">
        <v>0</v>
      </c>
      <c r="M12" t="n">
        <v>0</v>
      </c>
      <c r="N12" t="n">
        <v>0</v>
      </c>
      <c r="O12" t="n">
        <v>0</v>
      </c>
      <c r="P12" t="n">
        <v>462.575363532458</v>
      </c>
      <c r="Q12" t="n">
        <v>0</v>
      </c>
      <c r="R12" t="n">
        <v>0</v>
      </c>
      <c r="S12" t="n">
        <v>0</v>
      </c>
      <c r="T12" t="n">
        <v>5513.49647796318</v>
      </c>
      <c r="U12" t="n">
        <v>0</v>
      </c>
      <c r="V12" t="n">
        <v>0</v>
      </c>
      <c r="W12" t="n">
        <v>2806.30142246935</v>
      </c>
      <c r="X12" t="n">
        <v>3808.84971248303</v>
      </c>
      <c r="Y12" t="n">
        <v>1197049152.72237</v>
      </c>
      <c r="Z12" t="n">
        <v>6821903.94908432</v>
      </c>
      <c r="AA12" t="n">
        <v>0</v>
      </c>
      <c r="AB12" t="n">
        <v>29898.1230196811</v>
      </c>
      <c r="AC12" t="n">
        <v>33757.9323238254</v>
      </c>
      <c r="AD12" t="n">
        <v>0</v>
      </c>
      <c r="AE12" t="n">
        <v>7806.80407789989</v>
      </c>
      <c r="AF12" t="n">
        <v>44283.0339187914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245780.209029235</v>
      </c>
      <c r="AM12" t="n">
        <v>0</v>
      </c>
      <c r="AN12" t="n">
        <v>448300.10324902</v>
      </c>
      <c r="AO12" t="n">
        <v>836850.33060508</v>
      </c>
      <c r="AP12" t="n">
        <v>0</v>
      </c>
      <c r="AQ12" t="n">
        <v>27806.4897790715</v>
      </c>
      <c r="AR12" t="n">
        <v>130070.698409506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214172.262311193</v>
      </c>
      <c r="AY12" t="n">
        <v>0</v>
      </c>
      <c r="AZ12" t="n">
        <v>0</v>
      </c>
      <c r="BA12" t="n">
        <v>10673.1624731553</v>
      </c>
      <c r="BB12" t="n">
        <v>50494.1615588795</v>
      </c>
      <c r="BC12" t="n">
        <v>35006.0970871352</v>
      </c>
      <c r="BD12" t="n">
        <v>0</v>
      </c>
      <c r="BE12" t="n">
        <v>26167.5198141213</v>
      </c>
      <c r="BF12" t="n">
        <v>1496157.06936758</v>
      </c>
      <c r="BG12" t="n">
        <v>6445.813458492</v>
      </c>
      <c r="BH12" t="n">
        <v>0</v>
      </c>
      <c r="BI12" t="n">
        <v>4993.66676240814</v>
      </c>
      <c r="BJ12" t="n">
        <v>0</v>
      </c>
      <c r="BK12" t="n">
        <v>0</v>
      </c>
      <c r="BL12" t="n">
        <v>488120.000681637</v>
      </c>
      <c r="BM12" t="n">
        <v>7570.7442018109</v>
      </c>
      <c r="BN12" t="n">
        <v>7452.90041921671</v>
      </c>
      <c r="BO12" t="n">
        <v>60722.3626505452</v>
      </c>
      <c r="BP12" t="n">
        <v>0</v>
      </c>
      <c r="BQ12" t="n">
        <v>0</v>
      </c>
      <c r="BR12" t="n">
        <v>7357916.4484225</v>
      </c>
      <c r="BS12" t="n">
        <v>0</v>
      </c>
      <c r="BT12" t="n">
        <v>59565564.7636227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283294675.656927</v>
      </c>
      <c r="CA12" t="n">
        <v>4437054588.55729</v>
      </c>
      <c r="CB12" t="n">
        <v>-1057586362.72</v>
      </c>
      <c r="CC12" t="n">
        <v>0</v>
      </c>
      <c r="CD12" t="n">
        <v>0</v>
      </c>
      <c r="CE12" t="n">
        <v>0</v>
      </c>
      <c r="CF12" t="n">
        <v>0</v>
      </c>
      <c r="CG12" t="n">
        <v>0</v>
      </c>
      <c r="CH12" t="n">
        <v>0</v>
      </c>
      <c r="CI12" t="n">
        <v>0</v>
      </c>
      <c r="CJ12" t="n">
        <v>0</v>
      </c>
      <c r="CK12" t="n">
        <v>0</v>
      </c>
      <c r="CL12" t="n">
        <v>0</v>
      </c>
      <c r="CM12" t="n">
        <v>0</v>
      </c>
      <c r="CN12" t="n">
        <v>0</v>
      </c>
    </row>
    <row r="13">
      <c r="A13" t="s">
        <v>124</v>
      </c>
      <c r="B13" t="n">
        <v>16581320.4586544</v>
      </c>
      <c r="C13" t="n">
        <v>0</v>
      </c>
      <c r="D13" t="n">
        <v>3291843.74702913</v>
      </c>
      <c r="E13" t="n">
        <v>104409624.959406</v>
      </c>
      <c r="F13" t="n">
        <v>6645352.32610187</v>
      </c>
      <c r="G13" t="n">
        <v>56029373.8857299</v>
      </c>
      <c r="H13" t="n">
        <v>314463994.053163</v>
      </c>
      <c r="I13" t="n">
        <v>60073.8452355055</v>
      </c>
      <c r="J13" t="n">
        <v>170406631.292107</v>
      </c>
      <c r="K13" t="n">
        <v>45821672.2743296</v>
      </c>
      <c r="L13" t="n">
        <v>4212820.3482212</v>
      </c>
      <c r="M13" t="n">
        <v>762680.359401434</v>
      </c>
      <c r="N13" t="n">
        <v>98406.5895836674</v>
      </c>
      <c r="O13" t="n">
        <v>343911.544255679</v>
      </c>
      <c r="P13" t="n">
        <v>75261.9255947121</v>
      </c>
      <c r="Q13" t="n">
        <v>875793.467229008</v>
      </c>
      <c r="R13" t="n">
        <v>181893.203058833</v>
      </c>
      <c r="S13" t="n">
        <v>1755142.04780268</v>
      </c>
      <c r="T13" t="n">
        <v>15186213.9912853</v>
      </c>
      <c r="U13" t="n">
        <v>138123.335148395</v>
      </c>
      <c r="V13" t="n">
        <v>0</v>
      </c>
      <c r="W13" t="n">
        <v>2941230.48150964</v>
      </c>
      <c r="X13" t="n">
        <v>0</v>
      </c>
      <c r="Y13" t="n">
        <v>16054457.5617052</v>
      </c>
      <c r="Z13" t="n">
        <v>20445551.6648144</v>
      </c>
      <c r="AA13" t="n">
        <v>947340.188403857</v>
      </c>
      <c r="AB13" t="n">
        <v>271363.625127291</v>
      </c>
      <c r="AC13" t="n">
        <v>0</v>
      </c>
      <c r="AD13" t="n">
        <v>0</v>
      </c>
      <c r="AE13" t="n">
        <v>0</v>
      </c>
      <c r="AF13" t="n">
        <v>25897.64274189</v>
      </c>
      <c r="AG13" t="n">
        <v>0</v>
      </c>
      <c r="AH13" t="n">
        <v>1538122.33576451</v>
      </c>
      <c r="AI13" t="n">
        <v>0</v>
      </c>
      <c r="AJ13" t="n">
        <v>68099.961630269</v>
      </c>
      <c r="AK13" t="n">
        <v>8593.05022016464</v>
      </c>
      <c r="AL13" t="n">
        <v>0</v>
      </c>
      <c r="AM13" t="n">
        <v>11042.3999356892</v>
      </c>
      <c r="AN13" t="n">
        <v>17845.6447415406</v>
      </c>
      <c r="AO13" t="n">
        <v>334411.766756958</v>
      </c>
      <c r="AP13" t="n">
        <v>82811.3548287416</v>
      </c>
      <c r="AQ13" t="n">
        <v>4369983.35643452</v>
      </c>
      <c r="AR13" t="n">
        <v>10211622.0793454</v>
      </c>
      <c r="AS13" t="n">
        <v>0</v>
      </c>
      <c r="AT13" t="n">
        <v>0</v>
      </c>
      <c r="AU13" t="n">
        <v>0</v>
      </c>
      <c r="AV13" t="n">
        <v>0</v>
      </c>
      <c r="AW13" t="n">
        <v>87664.6026234438</v>
      </c>
      <c r="AX13" t="n">
        <v>0</v>
      </c>
      <c r="AY13" t="n">
        <v>0</v>
      </c>
      <c r="AZ13" t="n">
        <v>0</v>
      </c>
      <c r="BA13" t="n">
        <v>0</v>
      </c>
      <c r="BB13" t="n">
        <v>24689648.8578735</v>
      </c>
      <c r="BC13" t="n">
        <v>508946.308157786</v>
      </c>
      <c r="BD13" t="n">
        <v>12005657.1724992</v>
      </c>
      <c r="BE13" t="n">
        <v>727079.685874306</v>
      </c>
      <c r="BF13" t="n">
        <v>4079545.24334531</v>
      </c>
      <c r="BG13" t="n">
        <v>0</v>
      </c>
      <c r="BH13" t="n">
        <v>165631.78434953</v>
      </c>
      <c r="BI13" t="n">
        <v>325363.247575544</v>
      </c>
      <c r="BJ13" t="n">
        <v>1724456.01303815</v>
      </c>
      <c r="BK13" t="n">
        <v>3640829.19087912</v>
      </c>
      <c r="BL13" t="n">
        <v>17262255.2438342</v>
      </c>
      <c r="BM13" t="n">
        <v>2268142.13793585</v>
      </c>
      <c r="BN13" t="n">
        <v>11160115.726864</v>
      </c>
      <c r="BO13" t="n">
        <v>17700183.6953603</v>
      </c>
      <c r="BP13" t="n">
        <v>0</v>
      </c>
      <c r="BQ13" t="n">
        <v>34158914.5463217</v>
      </c>
      <c r="BR13" t="n">
        <v>0</v>
      </c>
      <c r="BS13" t="n">
        <v>34338279.1740667</v>
      </c>
      <c r="BT13" t="n">
        <v>41992628.6797804</v>
      </c>
      <c r="BU13" t="n">
        <v>2282322.14184604</v>
      </c>
      <c r="BV13" t="n">
        <v>0</v>
      </c>
      <c r="BW13" t="n">
        <v>723951.965882743</v>
      </c>
      <c r="BX13" t="n">
        <v>0</v>
      </c>
      <c r="BY13" t="n">
        <v>0</v>
      </c>
      <c r="BZ13" t="n">
        <v>12765969.6919407</v>
      </c>
      <c r="CA13" t="n">
        <v>167606770.834007</v>
      </c>
      <c r="CB13" t="n">
        <v>-80403585.2934099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</row>
    <row r="14">
      <c r="A14" t="s">
        <v>125</v>
      </c>
      <c r="B14" t="n">
        <v>0</v>
      </c>
      <c r="C14" t="n">
        <v>0</v>
      </c>
      <c r="D14" t="n">
        <v>962718400.539058</v>
      </c>
      <c r="E14" t="n">
        <v>19850919.1647753</v>
      </c>
      <c r="F14" t="n">
        <v>168445521.862828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574825.786608134</v>
      </c>
      <c r="BC14" t="n">
        <v>49835.4388016249</v>
      </c>
      <c r="BD14" t="n">
        <v>0</v>
      </c>
      <c r="BE14" t="n">
        <v>0</v>
      </c>
      <c r="BF14" t="n">
        <v>0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6296384734.2137</v>
      </c>
      <c r="BW14" t="n">
        <v>132535372.849605</v>
      </c>
      <c r="BX14" t="n">
        <v>0</v>
      </c>
      <c r="BY14" t="n">
        <v>0</v>
      </c>
      <c r="BZ14" t="n">
        <v>-321684.520519437</v>
      </c>
      <c r="CA14" t="n">
        <v>4818077.74717133</v>
      </c>
      <c r="CB14" t="n">
        <v>-39940144.6283225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</row>
    <row r="15">
      <c r="A15" t="s">
        <v>126</v>
      </c>
      <c r="B15" t="n">
        <v>39835708.2399633</v>
      </c>
      <c r="C15" t="n">
        <v>104424.191831418</v>
      </c>
      <c r="D15" t="n">
        <v>97875358.9274979</v>
      </c>
      <c r="E15" t="n">
        <v>22318119.0416891</v>
      </c>
      <c r="F15" t="n">
        <v>10756743.4223919</v>
      </c>
      <c r="G15" t="n">
        <v>102791154.296858</v>
      </c>
      <c r="H15" t="n">
        <v>59081784.6766616</v>
      </c>
      <c r="I15" t="n">
        <v>4063830.19502506</v>
      </c>
      <c r="J15" t="n">
        <v>22659459.8403554</v>
      </c>
      <c r="K15" t="n">
        <v>9332501.81567748</v>
      </c>
      <c r="L15" t="n">
        <v>13557249.5380995</v>
      </c>
      <c r="M15" t="n">
        <v>5921071.92283568</v>
      </c>
      <c r="N15" t="n">
        <v>7209270.05218306</v>
      </c>
      <c r="O15" t="n">
        <v>1028195.20212317</v>
      </c>
      <c r="P15" t="n">
        <v>1027644.67369219</v>
      </c>
      <c r="Q15" t="n">
        <v>10205195.9981506</v>
      </c>
      <c r="R15" t="n">
        <v>2702397.51453938</v>
      </c>
      <c r="S15" t="n">
        <v>5250881.55046119</v>
      </c>
      <c r="T15" t="n">
        <v>35265670.8736005</v>
      </c>
      <c r="U15" t="n">
        <v>1067771.52118065</v>
      </c>
      <c r="V15" t="n">
        <v>31237.2276525869</v>
      </c>
      <c r="W15" t="n">
        <v>4046825.94678011</v>
      </c>
      <c r="X15" t="n">
        <v>3269563.97148187</v>
      </c>
      <c r="Y15" t="n">
        <v>10760903.2573503</v>
      </c>
      <c r="Z15" t="n">
        <v>17134706.6256766</v>
      </c>
      <c r="AA15" t="n">
        <v>12570403.3946092</v>
      </c>
      <c r="AB15" t="n">
        <v>67235666.1332922</v>
      </c>
      <c r="AC15" t="n">
        <v>22109987.8346166</v>
      </c>
      <c r="AD15" t="n">
        <v>56821562.4306101</v>
      </c>
      <c r="AE15" t="n">
        <v>43993730.8296721</v>
      </c>
      <c r="AF15" t="n">
        <v>61591325.6770748</v>
      </c>
      <c r="AG15" t="n">
        <v>12348516.5472589</v>
      </c>
      <c r="AH15" t="n">
        <v>291927.097660809</v>
      </c>
      <c r="AI15" t="n">
        <v>12659.6640948322</v>
      </c>
      <c r="AJ15" t="n">
        <v>16154827.5957961</v>
      </c>
      <c r="AK15" t="n">
        <v>1256069.55970899</v>
      </c>
      <c r="AL15" t="n">
        <v>17750166.8717419</v>
      </c>
      <c r="AM15" t="n">
        <v>5238675.14919516</v>
      </c>
      <c r="AN15" t="n">
        <v>7226098.76128532</v>
      </c>
      <c r="AO15" t="n">
        <v>5377951.93360698</v>
      </c>
      <c r="AP15" t="n">
        <v>742920.688797982</v>
      </c>
      <c r="AQ15" t="n">
        <v>31910776.0783379</v>
      </c>
      <c r="AR15" t="n">
        <v>17425560.4761267</v>
      </c>
      <c r="AS15" t="n">
        <v>11989299.1244345</v>
      </c>
      <c r="AT15" t="n">
        <v>4999572.0692048</v>
      </c>
      <c r="AU15" t="n">
        <v>1968039.96454982</v>
      </c>
      <c r="AV15" t="n">
        <v>7066859.45767343</v>
      </c>
      <c r="AW15" t="n">
        <v>1127610.06660595</v>
      </c>
      <c r="AX15" t="n">
        <v>116217939.174404</v>
      </c>
      <c r="AY15" t="n">
        <v>5419640.43923888</v>
      </c>
      <c r="AZ15" t="n">
        <v>2385362.49532322</v>
      </c>
      <c r="BA15" t="n">
        <v>6512311.93185488</v>
      </c>
      <c r="BB15" t="n">
        <v>36780013.1468351</v>
      </c>
      <c r="BC15" t="n">
        <v>27968582.7532019</v>
      </c>
      <c r="BD15" t="n">
        <v>15424281.5312016</v>
      </c>
      <c r="BE15" t="n">
        <v>7196249.84267826</v>
      </c>
      <c r="BF15" t="n">
        <v>18597390.4597704</v>
      </c>
      <c r="BG15" t="n">
        <v>19431528.0665734</v>
      </c>
      <c r="BH15" t="n">
        <v>24279278.6979352</v>
      </c>
      <c r="BI15" t="n">
        <v>13343680.598186</v>
      </c>
      <c r="BJ15" t="n">
        <v>5388633.81909974</v>
      </c>
      <c r="BK15" t="n">
        <v>5122928.52712855</v>
      </c>
      <c r="BL15" t="n">
        <v>30225377.8485633</v>
      </c>
      <c r="BM15" t="n">
        <v>33128710.8831495</v>
      </c>
      <c r="BN15" t="n">
        <v>105348562.75054</v>
      </c>
      <c r="BO15" t="n">
        <v>37759062.7238886</v>
      </c>
      <c r="BP15" t="n">
        <v>16295016.5147626</v>
      </c>
      <c r="BQ15" t="n">
        <v>7134875.38021336</v>
      </c>
      <c r="BR15" t="n">
        <v>13563008.2615404</v>
      </c>
      <c r="BS15" t="n">
        <v>109089499.104646</v>
      </c>
      <c r="BT15" t="n">
        <v>10530233.8943869</v>
      </c>
      <c r="BU15" t="n">
        <v>1482512334.26508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57754195.0172221</v>
      </c>
      <c r="CB15" t="n">
        <v>-38880032.0321603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</row>
    <row r="16">
      <c r="A16" t="s">
        <v>127</v>
      </c>
      <c r="B16" t="n">
        <v>26392905.4873351</v>
      </c>
      <c r="C16" t="n">
        <v>159057.352602863</v>
      </c>
      <c r="D16" t="n">
        <v>8323379.29402967</v>
      </c>
      <c r="E16" t="n">
        <v>73243008.6914871</v>
      </c>
      <c r="F16" t="n">
        <v>151736692.742406</v>
      </c>
      <c r="G16" t="n">
        <v>78895073.8251492</v>
      </c>
      <c r="H16" t="n">
        <v>7291212.10881056</v>
      </c>
      <c r="I16" t="n">
        <v>2960609.92874246</v>
      </c>
      <c r="J16" t="n">
        <v>20335071.0744298</v>
      </c>
      <c r="K16" t="n">
        <v>7798493.52173558</v>
      </c>
      <c r="L16" t="n">
        <v>15696534.1764902</v>
      </c>
      <c r="M16" t="n">
        <v>8602837.79699981</v>
      </c>
      <c r="N16" t="n">
        <v>10010456.1128928</v>
      </c>
      <c r="O16" t="n">
        <v>883258.423274183</v>
      </c>
      <c r="P16" t="n">
        <v>1072951.06798167</v>
      </c>
      <c r="Q16" t="n">
        <v>6060204.71336845</v>
      </c>
      <c r="R16" t="n">
        <v>2364188.3887038</v>
      </c>
      <c r="S16" t="n">
        <v>7347826.08747291</v>
      </c>
      <c r="T16" t="n">
        <v>31664192.2090287</v>
      </c>
      <c r="U16" t="n">
        <v>542978.778775918</v>
      </c>
      <c r="V16" t="n">
        <v>27071.421186828</v>
      </c>
      <c r="W16" t="n">
        <v>3084125.26329382</v>
      </c>
      <c r="X16" t="n">
        <v>3408575.83329846</v>
      </c>
      <c r="Y16" t="n">
        <v>59501793.4481618</v>
      </c>
      <c r="Z16" t="n">
        <v>10408448.3143045</v>
      </c>
      <c r="AA16" t="n">
        <v>8234755.48607524</v>
      </c>
      <c r="AB16" t="n">
        <v>67425200.5718721</v>
      </c>
      <c r="AC16" t="n">
        <v>26988403.8947718</v>
      </c>
      <c r="AD16" t="n">
        <v>23938662.6530705</v>
      </c>
      <c r="AE16" t="n">
        <v>43702982.8781279</v>
      </c>
      <c r="AF16" t="n">
        <v>54402107.2936801</v>
      </c>
      <c r="AG16" t="n">
        <v>11317398.9017223</v>
      </c>
      <c r="AH16" t="n">
        <v>40352799.5496471</v>
      </c>
      <c r="AI16" t="n">
        <v>13609.1242992461</v>
      </c>
      <c r="AJ16" t="n">
        <v>7571780.55824778</v>
      </c>
      <c r="AK16" t="n">
        <v>6130521.20141343</v>
      </c>
      <c r="AL16" t="n">
        <v>44794728.7260017</v>
      </c>
      <c r="AM16" t="n">
        <v>17442069.8131419</v>
      </c>
      <c r="AN16" t="n">
        <v>10107087.3654082</v>
      </c>
      <c r="AO16" t="n">
        <v>3471578.05739209</v>
      </c>
      <c r="AP16" t="n">
        <v>472898.526173135</v>
      </c>
      <c r="AQ16" t="n">
        <v>48789940.3671279</v>
      </c>
      <c r="AR16" t="n">
        <v>17814799.5402614</v>
      </c>
      <c r="AS16" t="n">
        <v>85607658.8086028</v>
      </c>
      <c r="AT16" t="n">
        <v>26915671.0747948</v>
      </c>
      <c r="AU16" t="n">
        <v>9899099.14047739</v>
      </c>
      <c r="AV16" t="n">
        <v>1323418.8034188</v>
      </c>
      <c r="AW16" t="n">
        <v>1925481993.76037</v>
      </c>
      <c r="AX16" t="n">
        <v>549427962.877641</v>
      </c>
      <c r="AY16" t="n">
        <v>14252813.0304244</v>
      </c>
      <c r="AZ16" t="n">
        <v>2745878.72792883</v>
      </c>
      <c r="BA16" t="n">
        <v>2410195.27507534</v>
      </c>
      <c r="BB16" t="n">
        <v>58542575.0379698</v>
      </c>
      <c r="BC16" t="n">
        <v>17386955.7820613</v>
      </c>
      <c r="BD16" t="n">
        <v>17690706.5848671</v>
      </c>
      <c r="BE16" t="n">
        <v>2831116.65450132</v>
      </c>
      <c r="BF16" t="n">
        <v>26452290.4110197</v>
      </c>
      <c r="BG16" t="n">
        <v>13603407.3692097</v>
      </c>
      <c r="BH16" t="n">
        <v>14765032.039804</v>
      </c>
      <c r="BI16" t="n">
        <v>9327568.59679209</v>
      </c>
      <c r="BJ16" t="n">
        <v>9882611.09295867</v>
      </c>
      <c r="BK16" t="n">
        <v>4552243.62852202</v>
      </c>
      <c r="BL16" t="n">
        <v>21224380.220895</v>
      </c>
      <c r="BM16" t="n">
        <v>63213449.5871416</v>
      </c>
      <c r="BN16" t="n">
        <v>50136813.8772946</v>
      </c>
      <c r="BO16" t="n">
        <v>76611464.9774831</v>
      </c>
      <c r="BP16" t="n">
        <v>159817994.070998</v>
      </c>
      <c r="BQ16" t="n">
        <v>10709227.3679955</v>
      </c>
      <c r="BR16" t="n">
        <v>12922304.6144526</v>
      </c>
      <c r="BS16" t="n">
        <v>658111902.647023</v>
      </c>
      <c r="BT16" t="n">
        <v>652753873.353504</v>
      </c>
      <c r="BU16" t="n">
        <v>0</v>
      </c>
      <c r="BV16" t="n">
        <v>13541537343.3876</v>
      </c>
      <c r="BW16" t="n">
        <v>0</v>
      </c>
      <c r="BX16" t="n">
        <v>0</v>
      </c>
      <c r="BY16" t="n">
        <v>13682055738.4252</v>
      </c>
      <c r="BZ16" t="n">
        <v>0</v>
      </c>
      <c r="CA16" t="n">
        <v>2672922.09236247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263734215.033574</v>
      </c>
      <c r="CI16" t="n">
        <v>0</v>
      </c>
      <c r="CJ16" t="n">
        <v>0</v>
      </c>
      <c r="CK16" t="n">
        <v>0</v>
      </c>
      <c r="CL16" t="n">
        <v>6496725375.50742</v>
      </c>
      <c r="CM16" t="n">
        <v>0</v>
      </c>
      <c r="CN16" t="n">
        <v>0</v>
      </c>
    </row>
    <row r="17">
      <c r="A17" t="s">
        <v>128</v>
      </c>
      <c r="B17" t="n">
        <v>5819004.17313789</v>
      </c>
      <c r="C17" t="n">
        <v>274020.987176921</v>
      </c>
      <c r="D17" t="n">
        <v>0</v>
      </c>
      <c r="E17" t="n">
        <v>1962073.9365527</v>
      </c>
      <c r="F17" t="n">
        <v>10230002.8761898</v>
      </c>
      <c r="G17" t="n">
        <v>39144.9038857196</v>
      </c>
      <c r="H17" t="n">
        <v>687806392.605026</v>
      </c>
      <c r="I17" t="n">
        <v>145841863.734279</v>
      </c>
      <c r="J17" t="n">
        <v>2508462.59300603</v>
      </c>
      <c r="K17" t="n">
        <v>1902418.89734194</v>
      </c>
      <c r="L17" t="n">
        <v>1356522.84959615</v>
      </c>
      <c r="M17" t="n">
        <v>4737549.12571908</v>
      </c>
      <c r="N17" t="n">
        <v>3083544.28807968</v>
      </c>
      <c r="O17" t="n">
        <v>1952651.48502882</v>
      </c>
      <c r="P17" t="n">
        <v>2409961.22386</v>
      </c>
      <c r="Q17" t="n">
        <v>1727819.79055001</v>
      </c>
      <c r="R17" t="n">
        <v>69530416.5545483</v>
      </c>
      <c r="S17" t="n">
        <v>16026311.7584201</v>
      </c>
      <c r="T17" t="n">
        <v>3540815.87405685</v>
      </c>
      <c r="U17" t="n">
        <v>192618.376300384</v>
      </c>
      <c r="V17" t="n">
        <v>0</v>
      </c>
      <c r="W17" t="n">
        <v>7160486.31430695</v>
      </c>
      <c r="X17" t="n">
        <v>10618.6163031105</v>
      </c>
      <c r="Y17" t="n">
        <v>0</v>
      </c>
      <c r="Z17" t="n">
        <v>781499.647401485</v>
      </c>
      <c r="AA17" t="n">
        <v>12150528.3676404</v>
      </c>
      <c r="AB17" t="n">
        <v>65595323.5206113</v>
      </c>
      <c r="AC17" t="n">
        <v>1641813.81314334</v>
      </c>
      <c r="AD17" t="n">
        <v>8260132.90403862</v>
      </c>
      <c r="AE17" t="n">
        <v>1964626.43879842</v>
      </c>
      <c r="AF17" t="n">
        <v>8273975.33429882</v>
      </c>
      <c r="AG17" t="n">
        <v>0</v>
      </c>
      <c r="AH17" t="n">
        <v>23349697.2894617</v>
      </c>
      <c r="AI17" t="n">
        <v>0</v>
      </c>
      <c r="AJ17" t="n">
        <v>1450000.51541271</v>
      </c>
      <c r="AK17" t="n">
        <v>0</v>
      </c>
      <c r="AL17" t="n">
        <v>296061.683751246</v>
      </c>
      <c r="AM17" t="n">
        <v>456231.173153022</v>
      </c>
      <c r="AN17" t="n">
        <v>914346.267098581</v>
      </c>
      <c r="AO17" t="n">
        <v>639420.692981077</v>
      </c>
      <c r="AP17" t="n">
        <v>318709.143252849</v>
      </c>
      <c r="AQ17" t="n">
        <v>9561923.95478351</v>
      </c>
      <c r="AR17" t="n">
        <v>12882508.2956068</v>
      </c>
      <c r="AS17" t="n">
        <v>2394611.06781959</v>
      </c>
      <c r="AT17" t="n">
        <v>65306.4661884357</v>
      </c>
      <c r="AU17" t="n">
        <v>0</v>
      </c>
      <c r="AV17" t="n">
        <v>0</v>
      </c>
      <c r="AW17" t="n">
        <v>322653.488548778</v>
      </c>
      <c r="AX17" t="n">
        <v>58166520.1525754</v>
      </c>
      <c r="AY17" t="n">
        <v>4098472.64639818</v>
      </c>
      <c r="AZ17" t="n">
        <v>129103.375015994</v>
      </c>
      <c r="BA17" t="n">
        <v>737408.114843582</v>
      </c>
      <c r="BB17" t="n">
        <v>12533246.813896</v>
      </c>
      <c r="BC17" t="n">
        <v>58526.6067016925</v>
      </c>
      <c r="BD17" t="n">
        <v>11451540.9180486</v>
      </c>
      <c r="BE17" t="n">
        <v>392052.04147397</v>
      </c>
      <c r="BF17" t="n">
        <v>310670.590156309</v>
      </c>
      <c r="BG17" t="n">
        <v>4444338.24313081</v>
      </c>
      <c r="BH17" t="n">
        <v>3704100.61179154</v>
      </c>
      <c r="BI17" t="n">
        <v>45900.5662318399</v>
      </c>
      <c r="BJ17" t="n">
        <v>6246528.11105818</v>
      </c>
      <c r="BK17" t="n">
        <v>81274.2225532775</v>
      </c>
      <c r="BL17" t="n">
        <v>3513812.16612698</v>
      </c>
      <c r="BM17" t="n">
        <v>13129846.1978479</v>
      </c>
      <c r="BN17" t="n">
        <v>11238972.2031505</v>
      </c>
      <c r="BO17" t="n">
        <v>4762079.76632889</v>
      </c>
      <c r="BP17" t="n">
        <v>274615.427085509</v>
      </c>
      <c r="BQ17" t="n">
        <v>515998.261975225</v>
      </c>
      <c r="BR17" t="n">
        <v>39103.9980907048</v>
      </c>
      <c r="BS17" t="n">
        <v>29713387.3314959</v>
      </c>
      <c r="BT17" t="n">
        <v>2233777.15321712</v>
      </c>
      <c r="BU17" t="n">
        <v>48534997.4312435</v>
      </c>
      <c r="BV17" t="n">
        <v>1370582.90697068</v>
      </c>
      <c r="BW17" t="n">
        <v>0</v>
      </c>
      <c r="BX17" t="n">
        <v>0</v>
      </c>
      <c r="BY17" t="n">
        <v>68671494.9551794</v>
      </c>
      <c r="BZ17" t="n">
        <v>4362700.5207799</v>
      </c>
      <c r="CA17" t="n">
        <v>7247619.50954329</v>
      </c>
      <c r="CB17" t="n">
        <v>-351059053.780216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60836.5807011512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</row>
    <row r="18">
      <c r="A18" t="s">
        <v>129</v>
      </c>
      <c r="B18" t="n">
        <v>252765.945644535</v>
      </c>
      <c r="C18" t="n">
        <v>360330.326050291</v>
      </c>
      <c r="D18" t="n">
        <v>49432372.3310006</v>
      </c>
      <c r="E18" t="n">
        <v>7602941.72159666</v>
      </c>
      <c r="F18" t="n">
        <v>47826914.2931507</v>
      </c>
      <c r="G18" t="n">
        <v>612927.873958083</v>
      </c>
      <c r="H18" t="n">
        <v>1447759407.1329</v>
      </c>
      <c r="I18" t="n">
        <v>7051263.5923654</v>
      </c>
      <c r="J18" t="n">
        <v>263694340.968159</v>
      </c>
      <c r="K18" t="n">
        <v>11971567.4618581</v>
      </c>
      <c r="L18" t="n">
        <v>13747167.154955</v>
      </c>
      <c r="M18" t="n">
        <v>12575551.5635078</v>
      </c>
      <c r="N18" t="n">
        <v>4567525.26611353</v>
      </c>
      <c r="O18" t="n">
        <v>7358810.19300512</v>
      </c>
      <c r="P18" t="n">
        <v>7173411.90112093</v>
      </c>
      <c r="Q18" t="n">
        <v>3195508.8002507</v>
      </c>
      <c r="R18" t="n">
        <v>4756634.03265695</v>
      </c>
      <c r="S18" t="n">
        <v>13799939.2737174</v>
      </c>
      <c r="T18" t="n">
        <v>47630806.1921017</v>
      </c>
      <c r="U18" t="n">
        <v>109769.300780498</v>
      </c>
      <c r="V18" t="n">
        <v>0</v>
      </c>
      <c r="W18" t="n">
        <v>1022894.97535581</v>
      </c>
      <c r="X18" t="n">
        <v>8189.1177888248</v>
      </c>
      <c r="Y18" t="n">
        <v>8732904.93557296</v>
      </c>
      <c r="Z18" t="n">
        <v>5805471.33393581</v>
      </c>
      <c r="AA18" t="n">
        <v>15117950.9924807</v>
      </c>
      <c r="AB18" t="n">
        <v>1261143.0590739</v>
      </c>
      <c r="AC18" t="n">
        <v>3182225.48484602</v>
      </c>
      <c r="AD18" t="n">
        <v>879969.727483641</v>
      </c>
      <c r="AE18" t="n">
        <v>5014967.79483446</v>
      </c>
      <c r="AF18" t="n">
        <v>6536935.23815077</v>
      </c>
      <c r="AG18" t="n">
        <v>0</v>
      </c>
      <c r="AH18" t="n">
        <v>198717.709509843</v>
      </c>
      <c r="AI18" t="n">
        <v>0</v>
      </c>
      <c r="AJ18" t="n">
        <v>1364754.27775499</v>
      </c>
      <c r="AK18" t="n">
        <v>0</v>
      </c>
      <c r="AL18" t="n">
        <v>0</v>
      </c>
      <c r="AM18" t="n">
        <v>148050.81108653</v>
      </c>
      <c r="AN18" t="n">
        <v>720438.686913532</v>
      </c>
      <c r="AO18" t="n">
        <v>37975.8066393837</v>
      </c>
      <c r="AP18" t="n">
        <v>4995.9063654266</v>
      </c>
      <c r="AQ18" t="n">
        <v>42031232.4741399</v>
      </c>
      <c r="AR18" t="n">
        <v>11092580.1644287</v>
      </c>
      <c r="AS18" t="n">
        <v>337424.893865692</v>
      </c>
      <c r="AT18" t="n">
        <v>352132.220115781</v>
      </c>
      <c r="AU18" t="n">
        <v>397991.887552616</v>
      </c>
      <c r="AV18" t="n">
        <v>0</v>
      </c>
      <c r="AW18" t="n">
        <v>1973671.28082679</v>
      </c>
      <c r="AX18" t="n">
        <v>707232.98310583</v>
      </c>
      <c r="AY18" t="n">
        <v>7807201.09958583</v>
      </c>
      <c r="AZ18" t="n">
        <v>0</v>
      </c>
      <c r="BA18" t="n">
        <v>4302284.77042042</v>
      </c>
      <c r="BB18" t="n">
        <v>92696973.486294</v>
      </c>
      <c r="BC18" t="n">
        <v>699947.506916387</v>
      </c>
      <c r="BD18" t="n">
        <v>13216912.1587363</v>
      </c>
      <c r="BE18" t="n">
        <v>4601720.58199847</v>
      </c>
      <c r="BF18" t="n">
        <v>790954.098406601</v>
      </c>
      <c r="BG18" t="n">
        <v>31933058.3634744</v>
      </c>
      <c r="BH18" t="n">
        <v>25065130.3279922</v>
      </c>
      <c r="BI18" t="n">
        <v>1532710.73653201</v>
      </c>
      <c r="BJ18" t="n">
        <v>5623653.12440575</v>
      </c>
      <c r="BK18" t="n">
        <v>177556.487720613</v>
      </c>
      <c r="BL18" t="n">
        <v>3732678.55276103</v>
      </c>
      <c r="BM18" t="n">
        <v>1732718.32937647</v>
      </c>
      <c r="BN18" t="n">
        <v>38522703.4033601</v>
      </c>
      <c r="BO18" t="n">
        <v>24935470.7825107</v>
      </c>
      <c r="BP18" t="n">
        <v>952948.668445689</v>
      </c>
      <c r="BQ18" t="n">
        <v>8273022.20990575</v>
      </c>
      <c r="BR18" t="n">
        <v>0</v>
      </c>
      <c r="BS18" t="n">
        <v>26125913.0362541</v>
      </c>
      <c r="BT18" t="n">
        <v>28404428.9538999</v>
      </c>
      <c r="BU18" t="n">
        <v>210915156.734759</v>
      </c>
      <c r="BV18" t="n">
        <v>0</v>
      </c>
      <c r="BW18" t="n">
        <v>0</v>
      </c>
      <c r="BX18" t="n">
        <v>0</v>
      </c>
      <c r="BY18" t="n">
        <v>0</v>
      </c>
      <c r="BZ18" t="n">
        <v>25827692.413211</v>
      </c>
      <c r="CA18" t="n">
        <v>73117586.6190628</v>
      </c>
      <c r="CB18" t="n">
        <v>-535200220.207788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</row>
    <row r="19">
      <c r="A19" t="s">
        <v>130</v>
      </c>
      <c r="B19" t="n">
        <v>1241282.43054575</v>
      </c>
      <c r="C19" t="n">
        <v>0</v>
      </c>
      <c r="D19" t="n">
        <v>158176946.850659</v>
      </c>
      <c r="E19" t="n">
        <v>6290319.06697547</v>
      </c>
      <c r="F19" t="n">
        <v>22079256.2736756</v>
      </c>
      <c r="G19" t="n">
        <v>27978.8138418805</v>
      </c>
      <c r="H19" t="n">
        <v>83314015.1809991</v>
      </c>
      <c r="I19" t="n">
        <v>1693699.90651614</v>
      </c>
      <c r="J19" t="n">
        <v>21676914.8357078</v>
      </c>
      <c r="K19" t="n">
        <v>343640025.558479</v>
      </c>
      <c r="L19" t="n">
        <v>503119133.977979</v>
      </c>
      <c r="M19" t="n">
        <v>211928351.717351</v>
      </c>
      <c r="N19" t="n">
        <v>62928979.1800952</v>
      </c>
      <c r="O19" t="n">
        <v>47339251.5256459</v>
      </c>
      <c r="P19" t="n">
        <v>34010149.8508312</v>
      </c>
      <c r="Q19" t="n">
        <v>62598201.8791841</v>
      </c>
      <c r="R19" t="n">
        <v>35775950.8596882</v>
      </c>
      <c r="S19" t="n">
        <v>80351092.788357</v>
      </c>
      <c r="T19" t="n">
        <v>22225692.3548904</v>
      </c>
      <c r="U19" t="n">
        <v>215706.072445967</v>
      </c>
      <c r="V19" t="n">
        <v>0</v>
      </c>
      <c r="W19" t="n">
        <v>1828538.69687411</v>
      </c>
      <c r="X19" t="n">
        <v>86058.8397480138</v>
      </c>
      <c r="Y19" t="n">
        <v>65424.6668890077</v>
      </c>
      <c r="Z19" t="n">
        <v>193042.948112824</v>
      </c>
      <c r="AA19" t="n">
        <v>10356024.5587357</v>
      </c>
      <c r="AB19" t="n">
        <v>6092718.85688227</v>
      </c>
      <c r="AC19" t="n">
        <v>79653.3831558863</v>
      </c>
      <c r="AD19" t="n">
        <v>0</v>
      </c>
      <c r="AE19" t="n">
        <v>0</v>
      </c>
      <c r="AF19" t="n">
        <v>5654138.8462907</v>
      </c>
      <c r="AG19" t="n">
        <v>0</v>
      </c>
      <c r="AH19" t="n">
        <v>6305971.6745295</v>
      </c>
      <c r="AI19" t="n">
        <v>0</v>
      </c>
      <c r="AJ19" t="n">
        <v>0</v>
      </c>
      <c r="AK19" t="n">
        <v>0</v>
      </c>
      <c r="AL19" t="n">
        <v>0</v>
      </c>
      <c r="AM19" t="n">
        <v>1300061.20167514</v>
      </c>
      <c r="AN19" t="n">
        <v>0</v>
      </c>
      <c r="AO19" t="n">
        <v>198899.107109263</v>
      </c>
      <c r="AP19" t="n">
        <v>39206.9312580623</v>
      </c>
      <c r="AQ19" t="n">
        <v>5458778.76684269</v>
      </c>
      <c r="AR19" t="n">
        <v>7705180.67061471</v>
      </c>
      <c r="AS19" t="n">
        <v>0</v>
      </c>
      <c r="AT19" t="n">
        <v>0</v>
      </c>
      <c r="AU19" t="n">
        <v>0</v>
      </c>
      <c r="AV19" t="n">
        <v>0</v>
      </c>
      <c r="AW19" t="n">
        <v>14073.832343417</v>
      </c>
      <c r="AX19" t="n">
        <v>20484847.6207203</v>
      </c>
      <c r="AY19" t="n">
        <v>906944.183409229</v>
      </c>
      <c r="AZ19" t="n">
        <v>0</v>
      </c>
      <c r="BA19" t="n">
        <v>0</v>
      </c>
      <c r="BB19" t="n">
        <v>26998159.2416729</v>
      </c>
      <c r="BC19" t="n">
        <v>659189.958202489</v>
      </c>
      <c r="BD19" t="n">
        <v>7214108.55290231</v>
      </c>
      <c r="BE19" t="n">
        <v>3846421.45847761</v>
      </c>
      <c r="BF19" t="n">
        <v>1560944.6333277</v>
      </c>
      <c r="BG19" t="n">
        <v>2136146.27070792</v>
      </c>
      <c r="BH19" t="n">
        <v>193193.62310503</v>
      </c>
      <c r="BI19" t="n">
        <v>133893.633974348</v>
      </c>
      <c r="BJ19" t="n">
        <v>3058194.84023662</v>
      </c>
      <c r="BK19" t="n">
        <v>286477.863338066</v>
      </c>
      <c r="BL19" t="n">
        <v>7250692.51758529</v>
      </c>
      <c r="BM19" t="n">
        <v>480131.931609723</v>
      </c>
      <c r="BN19" t="n">
        <v>1555129.63668042</v>
      </c>
      <c r="BO19" t="n">
        <v>11259815.5458539</v>
      </c>
      <c r="BP19" t="n">
        <v>4220628.03281758</v>
      </c>
      <c r="BQ19" t="n">
        <v>6739274.12144315</v>
      </c>
      <c r="BR19" t="n">
        <v>0</v>
      </c>
      <c r="BS19" t="n">
        <v>1085125.19238276</v>
      </c>
      <c r="BT19" t="n">
        <v>5632434.49347798</v>
      </c>
      <c r="BU19" t="n">
        <v>8788179.92917833</v>
      </c>
      <c r="BV19" t="n">
        <v>0</v>
      </c>
      <c r="BW19" t="n">
        <v>0</v>
      </c>
      <c r="BX19" t="n">
        <v>0</v>
      </c>
      <c r="BY19" t="n">
        <v>0</v>
      </c>
      <c r="BZ19" t="n">
        <v>12577790.0350636</v>
      </c>
      <c r="CA19" t="n">
        <v>88342332.7756231</v>
      </c>
      <c r="CB19" t="n">
        <v>-782846135.960055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</row>
    <row r="20">
      <c r="A20" t="s">
        <v>131</v>
      </c>
      <c r="B20" t="n">
        <v>20681418.0309868</v>
      </c>
      <c r="C20" t="n">
        <v>574558.368695931</v>
      </c>
      <c r="D20" t="n">
        <v>285685931.961385</v>
      </c>
      <c r="E20" t="n">
        <v>12739152.5628071</v>
      </c>
      <c r="F20" t="n">
        <v>37359018.5788402</v>
      </c>
      <c r="G20" t="n">
        <v>7025467.18042121</v>
      </c>
      <c r="H20" t="n">
        <v>1290994555.55429</v>
      </c>
      <c r="I20" t="n">
        <v>16354128.433954</v>
      </c>
      <c r="J20" t="n">
        <v>23715158.6442634</v>
      </c>
      <c r="K20" t="n">
        <v>17206507.5808593</v>
      </c>
      <c r="L20" t="n">
        <v>244169643.070845</v>
      </c>
      <c r="M20" t="n">
        <v>133263546.359966</v>
      </c>
      <c r="N20" t="n">
        <v>73388526.0927638</v>
      </c>
      <c r="O20" t="n">
        <v>25964259.9776455</v>
      </c>
      <c r="P20" t="n">
        <v>19013768.4315312</v>
      </c>
      <c r="Q20" t="n">
        <v>93374436.016616</v>
      </c>
      <c r="R20" t="n">
        <v>42256629.9033269</v>
      </c>
      <c r="S20" t="n">
        <v>54793152.2946798</v>
      </c>
      <c r="T20" t="n">
        <v>143341572.305632</v>
      </c>
      <c r="U20" t="n">
        <v>1243870.97501688</v>
      </c>
      <c r="V20" t="n">
        <v>92835.8723096709</v>
      </c>
      <c r="W20" t="n">
        <v>9275493.64546907</v>
      </c>
      <c r="X20" t="n">
        <v>4288702.88198837</v>
      </c>
      <c r="Y20" t="n">
        <v>6845940.01923683</v>
      </c>
      <c r="Z20" t="n">
        <v>26576598.4789456</v>
      </c>
      <c r="AA20" t="n">
        <v>43548341.4015083</v>
      </c>
      <c r="AB20" t="n">
        <v>24812817.5502367</v>
      </c>
      <c r="AC20" t="n">
        <v>3885606.36584212</v>
      </c>
      <c r="AD20" t="n">
        <v>2900121.52295412</v>
      </c>
      <c r="AE20" t="n">
        <v>1834562.86015298</v>
      </c>
      <c r="AF20" t="n">
        <v>16868162.3119983</v>
      </c>
      <c r="AG20" t="n">
        <v>6519688.28625112</v>
      </c>
      <c r="AH20" t="n">
        <v>4079208.87087305</v>
      </c>
      <c r="AI20" t="n">
        <v>191517.601005403</v>
      </c>
      <c r="AJ20" t="n">
        <v>14326046.5015786</v>
      </c>
      <c r="AK20" t="n">
        <v>2557131.92825824</v>
      </c>
      <c r="AL20" t="n">
        <v>41720441.8252202</v>
      </c>
      <c r="AM20" t="n">
        <v>3253101.70719055</v>
      </c>
      <c r="AN20" t="n">
        <v>5712314.8433686</v>
      </c>
      <c r="AO20" t="n">
        <v>9009008.60242077</v>
      </c>
      <c r="AP20" t="n">
        <v>156103.544618286</v>
      </c>
      <c r="AQ20" t="n">
        <v>137027868.864509</v>
      </c>
      <c r="AR20" t="n">
        <v>20681664.8153903</v>
      </c>
      <c r="AS20" t="n">
        <v>3602621.89424941</v>
      </c>
      <c r="AT20" t="n">
        <v>1805982.27408438</v>
      </c>
      <c r="AU20" t="n">
        <v>0</v>
      </c>
      <c r="AV20" t="n">
        <v>398085.810106069</v>
      </c>
      <c r="AW20" t="n">
        <v>278000.967746828</v>
      </c>
      <c r="AX20" t="n">
        <v>14853630.5638905</v>
      </c>
      <c r="AY20" t="n">
        <v>14628329.6968874</v>
      </c>
      <c r="AZ20" t="n">
        <v>291472.727184726</v>
      </c>
      <c r="BA20" t="n">
        <v>44635964.7857766</v>
      </c>
      <c r="BB20" t="n">
        <v>81660101.9634811</v>
      </c>
      <c r="BC20" t="n">
        <v>7063799.67963227</v>
      </c>
      <c r="BD20" t="n">
        <v>27574199.0640959</v>
      </c>
      <c r="BE20" t="n">
        <v>39637951.9984965</v>
      </c>
      <c r="BF20" t="n">
        <v>3478362.61404574</v>
      </c>
      <c r="BG20" t="n">
        <v>3671966.12188186</v>
      </c>
      <c r="BH20" t="n">
        <v>10900536.827745</v>
      </c>
      <c r="BI20" t="n">
        <v>216164.818086148</v>
      </c>
      <c r="BJ20" t="n">
        <v>23836685.6702382</v>
      </c>
      <c r="BK20" t="n">
        <v>452440.303868654</v>
      </c>
      <c r="BL20" t="n">
        <v>11211715.6814582</v>
      </c>
      <c r="BM20" t="n">
        <v>19538215.6672195</v>
      </c>
      <c r="BN20" t="n">
        <v>40416491.8518956</v>
      </c>
      <c r="BO20" t="n">
        <v>52873624.247407</v>
      </c>
      <c r="BP20" t="n">
        <v>77098796.0446484</v>
      </c>
      <c r="BQ20" t="n">
        <v>15894065.949452</v>
      </c>
      <c r="BR20" t="n">
        <v>2702411.67512249</v>
      </c>
      <c r="BS20" t="n">
        <v>41824360.6696392</v>
      </c>
      <c r="BT20" t="n">
        <v>35777934.3858282</v>
      </c>
      <c r="BU20" t="n">
        <v>260184227.262233</v>
      </c>
      <c r="BV20" t="n">
        <v>0</v>
      </c>
      <c r="BW20" t="n">
        <v>106571317.483403</v>
      </c>
      <c r="BX20" t="n">
        <v>0</v>
      </c>
      <c r="BY20" t="n">
        <v>0</v>
      </c>
      <c r="BZ20" t="n">
        <v>44324472.4826346</v>
      </c>
      <c r="CA20" t="n">
        <v>321341991.674014</v>
      </c>
      <c r="CB20" t="n">
        <v>-1295472529.78592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1673369.08310295</v>
      </c>
      <c r="CJ20" t="n">
        <v>0</v>
      </c>
      <c r="CK20" t="n">
        <v>0</v>
      </c>
      <c r="CL20" t="n">
        <v>0</v>
      </c>
      <c r="CM20" t="n">
        <v>3271776.86057786</v>
      </c>
      <c r="CN20" t="n">
        <v>0</v>
      </c>
    </row>
    <row r="21">
      <c r="A21" t="s">
        <v>132</v>
      </c>
      <c r="B21" t="n">
        <v>31054607.8548584</v>
      </c>
      <c r="C21" t="n">
        <v>197207.412782526</v>
      </c>
      <c r="D21" t="n">
        <v>344565578.795401</v>
      </c>
      <c r="E21" t="n">
        <v>59118360.8433844</v>
      </c>
      <c r="F21" t="n">
        <v>242154482.256231</v>
      </c>
      <c r="G21" t="n">
        <v>14993094.8156397</v>
      </c>
      <c r="H21" t="n">
        <v>653937791.095376</v>
      </c>
      <c r="I21" t="n">
        <v>3157022.75959691</v>
      </c>
      <c r="J21" t="n">
        <v>1909255.25953141</v>
      </c>
      <c r="K21" t="n">
        <v>4341496.51911309</v>
      </c>
      <c r="L21" t="n">
        <v>41549855.8690315</v>
      </c>
      <c r="M21" t="n">
        <v>242943432.668034</v>
      </c>
      <c r="N21" t="n">
        <v>5992749.00134699</v>
      </c>
      <c r="O21" t="n">
        <v>7958232.88902059</v>
      </c>
      <c r="P21" t="n">
        <v>31481103.5827567</v>
      </c>
      <c r="Q21" t="n">
        <v>34290539.991697</v>
      </c>
      <c r="R21" t="n">
        <v>1370916.07709741</v>
      </c>
      <c r="S21" t="n">
        <v>12629233.7917687</v>
      </c>
      <c r="T21" t="n">
        <v>48427998.8204991</v>
      </c>
      <c r="U21" t="n">
        <v>95950.5272397618</v>
      </c>
      <c r="V21" t="n">
        <v>2728.35681112348</v>
      </c>
      <c r="W21" t="n">
        <v>2690968.33200517</v>
      </c>
      <c r="X21" t="n">
        <v>10453286.9073529</v>
      </c>
      <c r="Y21" t="n">
        <v>376220.401005657</v>
      </c>
      <c r="Z21" t="n">
        <v>14334355.486549</v>
      </c>
      <c r="AA21" t="n">
        <v>13724540.4707153</v>
      </c>
      <c r="AB21" t="n">
        <v>32361713.2564727</v>
      </c>
      <c r="AC21" t="n">
        <v>3048738.04472541</v>
      </c>
      <c r="AD21" t="n">
        <v>2184480.02903384</v>
      </c>
      <c r="AE21" t="n">
        <v>1987774.43833403</v>
      </c>
      <c r="AF21" t="n">
        <v>7846386.9970519</v>
      </c>
      <c r="AG21" t="n">
        <v>182224.523925622</v>
      </c>
      <c r="AH21" t="n">
        <v>644879.594039988</v>
      </c>
      <c r="AI21" t="n">
        <v>12101.0939573467</v>
      </c>
      <c r="AJ21" t="n">
        <v>4599610.7346433</v>
      </c>
      <c r="AK21" t="n">
        <v>394705.978885821</v>
      </c>
      <c r="AL21" t="n">
        <v>2973922.2858707</v>
      </c>
      <c r="AM21" t="n">
        <v>61213126.2159782</v>
      </c>
      <c r="AN21" t="n">
        <v>13382348.0795072</v>
      </c>
      <c r="AO21" t="n">
        <v>1157246.44234447</v>
      </c>
      <c r="AP21" t="n">
        <v>161813.396699698</v>
      </c>
      <c r="AQ21" t="n">
        <v>17655471.2672052</v>
      </c>
      <c r="AR21" t="n">
        <v>9786543.74291309</v>
      </c>
      <c r="AS21" t="n">
        <v>73753.2893264443</v>
      </c>
      <c r="AT21" t="n">
        <v>501924.726685189</v>
      </c>
      <c r="AU21" t="n">
        <v>6202349.28739448</v>
      </c>
      <c r="AV21" t="n">
        <v>0</v>
      </c>
      <c r="AW21" t="n">
        <v>707518.198798663</v>
      </c>
      <c r="AX21" t="n">
        <v>1029098.25508937</v>
      </c>
      <c r="AY21" t="n">
        <v>8054200.3413258</v>
      </c>
      <c r="AZ21" t="n">
        <v>198464.211504086</v>
      </c>
      <c r="BA21" t="n">
        <v>53848321.1358315</v>
      </c>
      <c r="BB21" t="n">
        <v>50317628.3028931</v>
      </c>
      <c r="BC21" t="n">
        <v>4744650.60134946</v>
      </c>
      <c r="BD21" t="n">
        <v>55888073.5979112</v>
      </c>
      <c r="BE21" t="n">
        <v>76747884.7137142</v>
      </c>
      <c r="BF21" t="n">
        <v>19633524.8113149</v>
      </c>
      <c r="BG21" t="n">
        <v>12193216.4630716</v>
      </c>
      <c r="BH21" t="n">
        <v>7477247.11221577</v>
      </c>
      <c r="BI21" t="n">
        <v>1594637.03802031</v>
      </c>
      <c r="BJ21" t="n">
        <v>2194266.44245831</v>
      </c>
      <c r="BK21" t="n">
        <v>334195.615717622</v>
      </c>
      <c r="BL21" t="n">
        <v>4674437.76611909</v>
      </c>
      <c r="BM21" t="n">
        <v>1038179.65261897</v>
      </c>
      <c r="BN21" t="n">
        <v>9778182.86154925</v>
      </c>
      <c r="BO21" t="n">
        <v>88601428.0051423</v>
      </c>
      <c r="BP21" t="n">
        <v>20609541.446988</v>
      </c>
      <c r="BQ21" t="n">
        <v>3268699.1843334</v>
      </c>
      <c r="BR21" t="n">
        <v>954084.52851235</v>
      </c>
      <c r="BS21" t="n">
        <v>61046438.0197304</v>
      </c>
      <c r="BT21" t="n">
        <v>22357515.8217516</v>
      </c>
      <c r="BU21" t="n">
        <v>171412927.935217</v>
      </c>
      <c r="BV21" t="n">
        <v>0</v>
      </c>
      <c r="BW21" t="n">
        <v>1752744204.47476</v>
      </c>
      <c r="BX21" t="n">
        <v>0</v>
      </c>
      <c r="BY21" t="n">
        <v>0</v>
      </c>
      <c r="BZ21" t="n">
        <v>33354318.5855518</v>
      </c>
      <c r="CA21" t="n">
        <v>746517636.990769</v>
      </c>
      <c r="CB21" t="n">
        <v>-2415280448.45286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884193.27981129</v>
      </c>
      <c r="CJ21" t="n">
        <v>0</v>
      </c>
      <c r="CK21" t="n">
        <v>0</v>
      </c>
      <c r="CL21" t="n">
        <v>0</v>
      </c>
      <c r="CM21" t="n">
        <v>164840971.426894</v>
      </c>
      <c r="CN21" t="n">
        <v>0</v>
      </c>
    </row>
    <row r="22">
      <c r="A22" t="s">
        <v>133</v>
      </c>
      <c r="B22" t="n">
        <v>172820.900728279</v>
      </c>
      <c r="C22" t="n">
        <v>0</v>
      </c>
      <c r="D22" t="n">
        <v>2451967.13361632</v>
      </c>
      <c r="E22" t="n">
        <v>440568.474579892</v>
      </c>
      <c r="F22" t="n">
        <v>7194155.42733674</v>
      </c>
      <c r="G22" t="n">
        <v>588011.56051233</v>
      </c>
      <c r="H22" t="n">
        <v>104111071.850431</v>
      </c>
      <c r="I22" t="n">
        <v>4764547.64182326</v>
      </c>
      <c r="J22" t="n">
        <v>5432681.76797934</v>
      </c>
      <c r="K22" t="n">
        <v>3602694.63195924</v>
      </c>
      <c r="L22" t="n">
        <v>29628147.9667742</v>
      </c>
      <c r="M22" t="n">
        <v>28056216.3021795</v>
      </c>
      <c r="N22" t="n">
        <v>359160597.083134</v>
      </c>
      <c r="O22" t="n">
        <v>6036349.03286451</v>
      </c>
      <c r="P22" t="n">
        <v>13807292.2351361</v>
      </c>
      <c r="Q22" t="n">
        <v>94997650.5573458</v>
      </c>
      <c r="R22" t="n">
        <v>6433050.85427742</v>
      </c>
      <c r="S22" t="n">
        <v>17737985.8553093</v>
      </c>
      <c r="T22" t="n">
        <v>25029194.0529702</v>
      </c>
      <c r="U22" t="n">
        <v>632058.112729959</v>
      </c>
      <c r="V22" t="n">
        <v>21664.6261941893</v>
      </c>
      <c r="W22" t="n">
        <v>79987.2311041097</v>
      </c>
      <c r="X22" t="n">
        <v>3692662.69283966</v>
      </c>
      <c r="Y22" t="n">
        <v>1589496.06847957</v>
      </c>
      <c r="Z22" t="n">
        <v>11135006.9724721</v>
      </c>
      <c r="AA22" t="n">
        <v>9101334.58934175</v>
      </c>
      <c r="AB22" t="n">
        <v>419781321.537921</v>
      </c>
      <c r="AC22" t="n">
        <v>9857092.41812737</v>
      </c>
      <c r="AD22" t="n">
        <v>6263520.15633235</v>
      </c>
      <c r="AE22" t="n">
        <v>7998007.71997732</v>
      </c>
      <c r="AF22" t="n">
        <v>15263253.1206074</v>
      </c>
      <c r="AG22" t="n">
        <v>135018.523412291</v>
      </c>
      <c r="AH22" t="n">
        <v>440383.674740764</v>
      </c>
      <c r="AI22" t="n">
        <v>62.184209050103</v>
      </c>
      <c r="AJ22" t="n">
        <v>2386196.23148231</v>
      </c>
      <c r="AK22" t="n">
        <v>21510.6007067138</v>
      </c>
      <c r="AL22" t="n">
        <v>389858.387519597</v>
      </c>
      <c r="AM22" t="n">
        <v>638110.81977482</v>
      </c>
      <c r="AN22" t="n">
        <v>1163898.55549315</v>
      </c>
      <c r="AO22" t="n">
        <v>37960725.1034041</v>
      </c>
      <c r="AP22" t="n">
        <v>2258052.69975231</v>
      </c>
      <c r="AQ22" t="n">
        <v>226051189.3238</v>
      </c>
      <c r="AR22" t="n">
        <v>99929377.118771</v>
      </c>
      <c r="AS22" t="n">
        <v>6243004.08736754</v>
      </c>
      <c r="AT22" t="n">
        <v>10558296.8307739</v>
      </c>
      <c r="AU22" t="n">
        <v>447445.806408155</v>
      </c>
      <c r="AV22" t="n">
        <v>13874220.7820964</v>
      </c>
      <c r="AW22" t="n">
        <v>8021.75471557087</v>
      </c>
      <c r="AX22" t="n">
        <v>5443542.9188284</v>
      </c>
      <c r="AY22" t="n">
        <v>1451569.70402612</v>
      </c>
      <c r="AZ22" t="n">
        <v>11621128.1679681</v>
      </c>
      <c r="BA22" t="n">
        <v>96524248.6553738</v>
      </c>
      <c r="BB22" t="n">
        <v>149272738.812834</v>
      </c>
      <c r="BC22" t="n">
        <v>79711980.925806</v>
      </c>
      <c r="BD22" t="n">
        <v>82739789.5689956</v>
      </c>
      <c r="BE22" t="n">
        <v>12145065.1809125</v>
      </c>
      <c r="BF22" t="n">
        <v>6307471.63757644</v>
      </c>
      <c r="BG22" t="n">
        <v>73901146.9352808</v>
      </c>
      <c r="BH22" t="n">
        <v>5832838.10955126</v>
      </c>
      <c r="BI22" t="n">
        <v>1218794.7215941</v>
      </c>
      <c r="BJ22" t="n">
        <v>6806237.48586986</v>
      </c>
      <c r="BK22" t="n">
        <v>352706.289230153</v>
      </c>
      <c r="BL22" t="n">
        <v>3557753.6051398</v>
      </c>
      <c r="BM22" t="n">
        <v>3499639.23345662</v>
      </c>
      <c r="BN22" t="n">
        <v>2461765.88842571</v>
      </c>
      <c r="BO22" t="n">
        <v>45025226.2243821</v>
      </c>
      <c r="BP22" t="n">
        <v>116086208.28947</v>
      </c>
      <c r="BQ22" t="n">
        <v>38343851.1873093</v>
      </c>
      <c r="BR22" t="n">
        <v>0</v>
      </c>
      <c r="BS22" t="n">
        <v>23440199.8860843</v>
      </c>
      <c r="BT22" t="n">
        <v>11491940.0705354</v>
      </c>
      <c r="BU22" t="n">
        <v>1560335348.52739</v>
      </c>
      <c r="BV22" t="n">
        <v>0</v>
      </c>
      <c r="BW22" t="n">
        <v>2628981731.58036</v>
      </c>
      <c r="BX22" t="n">
        <v>0</v>
      </c>
      <c r="BY22" t="n">
        <v>4039248.61365777</v>
      </c>
      <c r="BZ22" t="n">
        <v>33703246.3084801</v>
      </c>
      <c r="CA22" t="n">
        <v>863542578.58081</v>
      </c>
      <c r="CB22" t="n">
        <v>-5818130406.0977</v>
      </c>
      <c r="CC22" t="n">
        <v>0</v>
      </c>
      <c r="CD22" t="n">
        <v>0</v>
      </c>
      <c r="CE22" t="n">
        <v>52070028.9842797</v>
      </c>
      <c r="CF22" t="n">
        <v>0</v>
      </c>
      <c r="CG22" t="n">
        <v>0</v>
      </c>
      <c r="CH22" t="n">
        <v>0</v>
      </c>
      <c r="CI22" t="n">
        <v>51936815.144807</v>
      </c>
      <c r="CJ22" t="n">
        <v>0</v>
      </c>
      <c r="CK22" t="n">
        <v>0</v>
      </c>
      <c r="CL22" t="n">
        <v>0</v>
      </c>
      <c r="CM22" t="n">
        <v>144781499.815649</v>
      </c>
      <c r="CN22" t="n">
        <v>0</v>
      </c>
    </row>
    <row r="23">
      <c r="A23" t="s">
        <v>134</v>
      </c>
      <c r="B23" t="n">
        <v>31275164.0763262</v>
      </c>
      <c r="C23" t="n">
        <v>241962.224041943</v>
      </c>
      <c r="D23" t="n">
        <v>4803479.56669647</v>
      </c>
      <c r="E23" t="n">
        <v>1012530.04353405</v>
      </c>
      <c r="F23" t="n">
        <v>26248255.6779886</v>
      </c>
      <c r="G23" t="n">
        <v>171743.44473247</v>
      </c>
      <c r="H23" t="n">
        <v>622952802.220738</v>
      </c>
      <c r="I23" t="n">
        <v>2994362.47128096</v>
      </c>
      <c r="J23" t="n">
        <v>1637727.66717002</v>
      </c>
      <c r="K23" t="n">
        <v>7220070.95863278</v>
      </c>
      <c r="L23" t="n">
        <v>21852731.4902479</v>
      </c>
      <c r="M23" t="n">
        <v>92676539.6581331</v>
      </c>
      <c r="N23" t="n">
        <v>34596396.7782329</v>
      </c>
      <c r="O23" t="n">
        <v>34578147.2144323</v>
      </c>
      <c r="P23" t="n">
        <v>4922030.69828039</v>
      </c>
      <c r="Q23" t="n">
        <v>13049242.9927437</v>
      </c>
      <c r="R23" t="n">
        <v>1530086.41986395</v>
      </c>
      <c r="S23" t="n">
        <v>12844679.6873566</v>
      </c>
      <c r="T23" t="n">
        <v>18972510.290944</v>
      </c>
      <c r="U23" t="n">
        <v>162429.549206471</v>
      </c>
      <c r="V23" t="n">
        <v>4511.903531138</v>
      </c>
      <c r="W23" t="n">
        <v>1062864.60024623</v>
      </c>
      <c r="X23" t="n">
        <v>573405.280367965</v>
      </c>
      <c r="Y23" t="n">
        <v>1077193.4567369</v>
      </c>
      <c r="Z23" t="n">
        <v>3532329.24428813</v>
      </c>
      <c r="AA23" t="n">
        <v>6729734.51326665</v>
      </c>
      <c r="AB23" t="n">
        <v>11284662.4240874</v>
      </c>
      <c r="AC23" t="n">
        <v>4365354.05869382</v>
      </c>
      <c r="AD23" t="n">
        <v>1616358.03478079</v>
      </c>
      <c r="AE23" t="n">
        <v>14472935.3277145</v>
      </c>
      <c r="AF23" t="n">
        <v>3217437.99216892</v>
      </c>
      <c r="AG23" t="n">
        <v>47744.4124435505</v>
      </c>
      <c r="AH23" t="n">
        <v>1322997.72346166</v>
      </c>
      <c r="AI23" t="n">
        <v>1341.38586114714</v>
      </c>
      <c r="AJ23" t="n">
        <v>625598.443597279</v>
      </c>
      <c r="AK23" t="n">
        <v>1269936.87357656</v>
      </c>
      <c r="AL23" t="n">
        <v>131423.949869977</v>
      </c>
      <c r="AM23" t="n">
        <v>823347.34801795</v>
      </c>
      <c r="AN23" t="n">
        <v>845962.226961803</v>
      </c>
      <c r="AO23" t="n">
        <v>52029.5202919538</v>
      </c>
      <c r="AP23" t="n">
        <v>0</v>
      </c>
      <c r="AQ23" t="n">
        <v>56879244.9179231</v>
      </c>
      <c r="AR23" t="n">
        <v>2714603.05085309</v>
      </c>
      <c r="AS23" t="n">
        <v>1610451.95431354</v>
      </c>
      <c r="AT23" t="n">
        <v>903564.50677133</v>
      </c>
      <c r="AU23" t="n">
        <v>399459.709322213</v>
      </c>
      <c r="AV23" t="n">
        <v>0</v>
      </c>
      <c r="AW23" t="n">
        <v>57967.086139314</v>
      </c>
      <c r="AX23" t="n">
        <v>16545762.6945758</v>
      </c>
      <c r="AY23" t="n">
        <v>1942770.21058064</v>
      </c>
      <c r="AZ23" t="n">
        <v>0</v>
      </c>
      <c r="BA23" t="n">
        <v>63755538.6662151</v>
      </c>
      <c r="BB23" t="n">
        <v>94645599.0406991</v>
      </c>
      <c r="BC23" t="n">
        <v>775334.346705152</v>
      </c>
      <c r="BD23" t="n">
        <v>27643808.9396037</v>
      </c>
      <c r="BE23" t="n">
        <v>17436567.0995098</v>
      </c>
      <c r="BF23" t="n">
        <v>3759769.1437413</v>
      </c>
      <c r="BG23" t="n">
        <v>141161.761624075</v>
      </c>
      <c r="BH23" t="n">
        <v>8408196.31852071</v>
      </c>
      <c r="BI23" t="n">
        <v>11667122.0174045</v>
      </c>
      <c r="BJ23" t="n">
        <v>4011074.75256606</v>
      </c>
      <c r="BK23" t="n">
        <v>751635.878345654</v>
      </c>
      <c r="BL23" t="n">
        <v>10343146.3697725</v>
      </c>
      <c r="BM23" t="n">
        <v>14163672.158049</v>
      </c>
      <c r="BN23" t="n">
        <v>7150957.39306489</v>
      </c>
      <c r="BO23" t="n">
        <v>48124574.1192793</v>
      </c>
      <c r="BP23" t="n">
        <v>21719275.880739</v>
      </c>
      <c r="BQ23" t="n">
        <v>43540801.3167703</v>
      </c>
      <c r="BR23" t="n">
        <v>1037424.4549631</v>
      </c>
      <c r="BS23" t="n">
        <v>16045023.5914402</v>
      </c>
      <c r="BT23" t="n">
        <v>24862478.0258252</v>
      </c>
      <c r="BU23" t="n">
        <v>681518513.056217</v>
      </c>
      <c r="BV23" t="n">
        <v>0</v>
      </c>
      <c r="BW23" t="n">
        <v>127984973.789882</v>
      </c>
      <c r="BX23" t="n">
        <v>0</v>
      </c>
      <c r="BY23" t="n">
        <v>100112129.017869</v>
      </c>
      <c r="BZ23" t="n">
        <v>8917924.59362483</v>
      </c>
      <c r="CA23" t="n">
        <v>135883310.706295</v>
      </c>
      <c r="CB23" t="n">
        <v>-1860624069.86044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967042.703743442</v>
      </c>
      <c r="CJ23" t="n">
        <v>0</v>
      </c>
      <c r="CK23" t="n">
        <v>0</v>
      </c>
      <c r="CL23" t="n">
        <v>0</v>
      </c>
      <c r="CM23" t="n">
        <v>15803523.9321927</v>
      </c>
      <c r="CN23" t="n">
        <v>0</v>
      </c>
    </row>
    <row r="24">
      <c r="A24" t="s">
        <v>135</v>
      </c>
      <c r="B24" t="n">
        <v>11746205.1784458</v>
      </c>
      <c r="C24" t="n">
        <v>237435.81263008</v>
      </c>
      <c r="D24" t="n">
        <v>24560600.2231711</v>
      </c>
      <c r="E24" t="n">
        <v>8891901.53031458</v>
      </c>
      <c r="F24" t="n">
        <v>20399806.5546707</v>
      </c>
      <c r="G24" t="n">
        <v>276331.17156302</v>
      </c>
      <c r="H24" t="n">
        <v>28477017.3619823</v>
      </c>
      <c r="I24" t="n">
        <v>10047063.1071909</v>
      </c>
      <c r="J24" t="n">
        <v>6461571.28046083</v>
      </c>
      <c r="K24" t="n">
        <v>2958889.26534701</v>
      </c>
      <c r="L24" t="n">
        <v>9166843.63994519</v>
      </c>
      <c r="M24" t="n">
        <v>58209074.5365641</v>
      </c>
      <c r="N24" t="n">
        <v>11642288.385894</v>
      </c>
      <c r="O24" t="n">
        <v>2122571.55111524</v>
      </c>
      <c r="P24" t="n">
        <v>108546840.85657</v>
      </c>
      <c r="Q24" t="n">
        <v>19205586.361874</v>
      </c>
      <c r="R24" t="n">
        <v>4632912.86781638</v>
      </c>
      <c r="S24" t="n">
        <v>10860828.0601608</v>
      </c>
      <c r="T24" t="n">
        <v>46954294.6856504</v>
      </c>
      <c r="U24" t="n">
        <v>172185.688023349</v>
      </c>
      <c r="V24" t="n">
        <v>983.310335726295</v>
      </c>
      <c r="W24" t="n">
        <v>2188859.22436646</v>
      </c>
      <c r="X24" t="n">
        <v>772292.235946596</v>
      </c>
      <c r="Y24" t="n">
        <v>863286.305754864</v>
      </c>
      <c r="Z24" t="n">
        <v>4263586.85950991</v>
      </c>
      <c r="AA24" t="n">
        <v>4018310.64654596</v>
      </c>
      <c r="AB24" t="n">
        <v>77238891.237573</v>
      </c>
      <c r="AC24" t="n">
        <v>48705248.528308</v>
      </c>
      <c r="AD24" t="n">
        <v>23947688.5532509</v>
      </c>
      <c r="AE24" t="n">
        <v>4578844.98490209</v>
      </c>
      <c r="AF24" t="n">
        <v>35471254.9225391</v>
      </c>
      <c r="AG24" t="n">
        <v>0</v>
      </c>
      <c r="AH24" t="n">
        <v>672835.450934788</v>
      </c>
      <c r="AI24" t="n">
        <v>0</v>
      </c>
      <c r="AJ24" t="n">
        <v>47618831.0865996</v>
      </c>
      <c r="AK24" t="n">
        <v>2700080.65647208</v>
      </c>
      <c r="AL24" t="n">
        <v>47482.292172827</v>
      </c>
      <c r="AM24" t="n">
        <v>865217.512083801</v>
      </c>
      <c r="AN24" t="n">
        <v>11290907.3985881</v>
      </c>
      <c r="AO24" t="n">
        <v>2529946.33184685</v>
      </c>
      <c r="AP24" t="n">
        <v>469238.117896415</v>
      </c>
      <c r="AQ24" t="n">
        <v>14641107.3433444</v>
      </c>
      <c r="AR24" t="n">
        <v>3663035.25072272</v>
      </c>
      <c r="AS24" t="n">
        <v>1376874.71087401</v>
      </c>
      <c r="AT24" t="n">
        <v>218810.363843879</v>
      </c>
      <c r="AU24" t="n">
        <v>0</v>
      </c>
      <c r="AV24" t="n">
        <v>0</v>
      </c>
      <c r="AW24" t="n">
        <v>0</v>
      </c>
      <c r="AX24" t="n">
        <v>0</v>
      </c>
      <c r="AY24" t="n">
        <v>16589378.6437399</v>
      </c>
      <c r="AZ24" t="n">
        <v>0</v>
      </c>
      <c r="BA24" t="n">
        <v>1421378.24834167</v>
      </c>
      <c r="BB24" t="n">
        <v>42582201.2031164</v>
      </c>
      <c r="BC24" t="n">
        <v>7370837.2933373</v>
      </c>
      <c r="BD24" t="n">
        <v>122152899.306492</v>
      </c>
      <c r="BE24" t="n">
        <v>14872662.9037331</v>
      </c>
      <c r="BF24" t="n">
        <v>3972041.80840113</v>
      </c>
      <c r="BG24" t="n">
        <v>6849076.57459545</v>
      </c>
      <c r="BH24" t="n">
        <v>13984503.4449975</v>
      </c>
      <c r="BI24" t="n">
        <v>1143355.70164257</v>
      </c>
      <c r="BJ24" t="n">
        <v>20075547.6829545</v>
      </c>
      <c r="BK24" t="n">
        <v>550561.556139685</v>
      </c>
      <c r="BL24" t="n">
        <v>2147978.15758446</v>
      </c>
      <c r="BM24" t="n">
        <v>2025638.80806523</v>
      </c>
      <c r="BN24" t="n">
        <v>14475036.2002451</v>
      </c>
      <c r="BO24" t="n">
        <v>120186525.635649</v>
      </c>
      <c r="BP24" t="n">
        <v>83919084.2976916</v>
      </c>
      <c r="BQ24" t="n">
        <v>1310549.38025542</v>
      </c>
      <c r="BR24" t="n">
        <v>33144110.8876931</v>
      </c>
      <c r="BS24" t="n">
        <v>68583476.8795857</v>
      </c>
      <c r="BT24" t="n">
        <v>7535645.92655829</v>
      </c>
      <c r="BU24" t="n">
        <v>1935157374.01964</v>
      </c>
      <c r="BV24" t="n">
        <v>0</v>
      </c>
      <c r="BW24" t="n">
        <v>283346260.725743</v>
      </c>
      <c r="BX24" t="n">
        <v>0</v>
      </c>
      <c r="BY24" t="n">
        <v>0</v>
      </c>
      <c r="BZ24" t="n">
        <v>11937792.7576877</v>
      </c>
      <c r="CA24" t="n">
        <v>89141789.1778754</v>
      </c>
      <c r="CB24" t="n">
        <v>-2959716016.58091</v>
      </c>
      <c r="CC24" t="n">
        <v>0</v>
      </c>
      <c r="CD24" t="n">
        <v>0</v>
      </c>
      <c r="CE24" t="n">
        <v>55796442.8551304</v>
      </c>
      <c r="CF24" t="n">
        <v>0</v>
      </c>
      <c r="CG24" t="n">
        <v>0</v>
      </c>
      <c r="CH24" t="n">
        <v>0</v>
      </c>
      <c r="CI24" t="n">
        <v>3894991.7181034</v>
      </c>
      <c r="CJ24" t="n">
        <v>0</v>
      </c>
      <c r="CK24" t="n">
        <v>0</v>
      </c>
      <c r="CL24" t="n">
        <v>0</v>
      </c>
      <c r="CM24" t="n">
        <v>353344893.02197</v>
      </c>
      <c r="CN24" t="n">
        <v>0</v>
      </c>
    </row>
    <row r="25">
      <c r="A25" t="s">
        <v>136</v>
      </c>
      <c r="B25" t="n">
        <v>0</v>
      </c>
      <c r="C25" t="n">
        <v>37028.2084971618</v>
      </c>
      <c r="D25" t="n">
        <v>0</v>
      </c>
      <c r="E25" t="n">
        <v>62797.6639252533</v>
      </c>
      <c r="F25" t="n">
        <v>0</v>
      </c>
      <c r="G25" t="n">
        <v>0</v>
      </c>
      <c r="H25" t="n">
        <v>354443.42160771</v>
      </c>
      <c r="I25" t="n">
        <v>48136.2516713158</v>
      </c>
      <c r="J25" t="n">
        <v>0</v>
      </c>
      <c r="K25" t="n">
        <v>0</v>
      </c>
      <c r="L25" t="n">
        <v>407173.292179396</v>
      </c>
      <c r="M25" t="n">
        <v>801955.810174066</v>
      </c>
      <c r="N25" t="n">
        <v>0</v>
      </c>
      <c r="O25" t="n">
        <v>0</v>
      </c>
      <c r="P25" t="n">
        <v>381876.252688039</v>
      </c>
      <c r="Q25" t="n">
        <v>749473342.813179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373158.130079489</v>
      </c>
      <c r="AD25" t="n">
        <v>0</v>
      </c>
      <c r="AE25" t="n">
        <v>0</v>
      </c>
      <c r="AF25" t="n">
        <v>0</v>
      </c>
      <c r="AG25" t="n">
        <v>23444474.4719368</v>
      </c>
      <c r="AH25" t="n">
        <v>9827548.17803532</v>
      </c>
      <c r="AI25" t="n">
        <v>106727.88767385</v>
      </c>
      <c r="AJ25" t="n">
        <v>52913.8964884122</v>
      </c>
      <c r="AK25" t="n">
        <v>530807.871829399</v>
      </c>
      <c r="AL25" t="n">
        <v>0</v>
      </c>
      <c r="AM25" t="n">
        <v>28765458.4039606</v>
      </c>
      <c r="AN25" t="n">
        <v>0</v>
      </c>
      <c r="AO25" t="n">
        <v>0</v>
      </c>
      <c r="AP25" t="n">
        <v>0</v>
      </c>
      <c r="AQ25" t="n">
        <v>28586.0558211118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16149876.6498936</v>
      </c>
      <c r="BC25" t="n">
        <v>465028.473085269</v>
      </c>
      <c r="BD25" t="n">
        <v>585307.362038613</v>
      </c>
      <c r="BE25" t="n">
        <v>816001.145925848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338534.382829119</v>
      </c>
      <c r="BM25" t="n">
        <v>0</v>
      </c>
      <c r="BN25" t="n">
        <v>0</v>
      </c>
      <c r="BO25" t="n">
        <v>1596324.18536854</v>
      </c>
      <c r="BP25" t="n">
        <v>386844577.667474</v>
      </c>
      <c r="BQ25" t="n">
        <v>20082416.3031235</v>
      </c>
      <c r="BR25" t="n">
        <v>8474.04121842431</v>
      </c>
      <c r="BS25" t="n">
        <v>0</v>
      </c>
      <c r="BT25" t="n">
        <v>467959.561556426</v>
      </c>
      <c r="BU25" t="n">
        <v>267636636.730943</v>
      </c>
      <c r="BV25" t="n">
        <v>0</v>
      </c>
      <c r="BW25" t="n">
        <v>319899497.804612</v>
      </c>
      <c r="BX25" t="n">
        <v>0</v>
      </c>
      <c r="BY25" t="n">
        <v>0</v>
      </c>
      <c r="BZ25" t="n">
        <v>233521601.362156</v>
      </c>
      <c r="CA25" t="n">
        <v>366705988.54664</v>
      </c>
      <c r="CB25" t="n">
        <v>-843910514.968343</v>
      </c>
      <c r="CC25" t="n">
        <v>0</v>
      </c>
      <c r="CD25" t="n">
        <v>0</v>
      </c>
      <c r="CE25" t="n">
        <v>12856015.9785687</v>
      </c>
      <c r="CF25" t="n">
        <v>0</v>
      </c>
      <c r="CG25" t="n">
        <v>0</v>
      </c>
      <c r="CH25" t="n">
        <v>0</v>
      </c>
      <c r="CI25" t="n">
        <v>3430795.34480798</v>
      </c>
      <c r="CJ25" t="n">
        <v>0</v>
      </c>
      <c r="CK25" t="n">
        <v>0</v>
      </c>
      <c r="CL25" t="n">
        <v>0</v>
      </c>
      <c r="CM25" t="n">
        <v>1960481.39680427</v>
      </c>
      <c r="CN25" t="n">
        <v>0</v>
      </c>
    </row>
    <row r="26">
      <c r="A26" t="s">
        <v>137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262333977.365458</v>
      </c>
      <c r="I26" t="n">
        <v>2724229.62505913</v>
      </c>
      <c r="J26" t="n">
        <v>0</v>
      </c>
      <c r="K26" t="n">
        <v>0</v>
      </c>
      <c r="L26" t="n">
        <v>0</v>
      </c>
      <c r="M26" t="n">
        <v>1370624.93408094</v>
      </c>
      <c r="N26" t="n">
        <v>565114.924101451</v>
      </c>
      <c r="O26" t="n">
        <v>0</v>
      </c>
      <c r="P26" t="n">
        <v>16909.5162135641</v>
      </c>
      <c r="Q26" t="n">
        <v>1745190.14847376</v>
      </c>
      <c r="R26" t="n">
        <v>50095977.0965196</v>
      </c>
      <c r="S26" t="n">
        <v>1127232.06086273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1872545.73048889</v>
      </c>
      <c r="AB26" t="n">
        <v>11639695.6878912</v>
      </c>
      <c r="AC26" t="n">
        <v>1580705.83886367</v>
      </c>
      <c r="AD26" t="n">
        <v>0</v>
      </c>
      <c r="AE26" t="n">
        <v>155661.255584321</v>
      </c>
      <c r="AF26" t="n">
        <v>17690509.2470572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14674.3790689677</v>
      </c>
      <c r="AP26" t="n">
        <v>0</v>
      </c>
      <c r="AQ26" t="n">
        <v>1158776.16370449</v>
      </c>
      <c r="AR26" t="n">
        <v>3732303.05906201</v>
      </c>
      <c r="AS26" t="n">
        <v>0</v>
      </c>
      <c r="AT26" t="n">
        <v>0</v>
      </c>
      <c r="AU26" t="n">
        <v>0</v>
      </c>
      <c r="AV26" t="n">
        <v>0</v>
      </c>
      <c r="AW26" t="n">
        <v>49711429.4677701</v>
      </c>
      <c r="AX26" t="n">
        <v>599707.973753959</v>
      </c>
      <c r="AY26" t="n">
        <v>0</v>
      </c>
      <c r="AZ26" t="n">
        <v>83926.4112635795</v>
      </c>
      <c r="BA26" t="n">
        <v>53203.5214105739</v>
      </c>
      <c r="BB26" t="n">
        <v>10817375.5372791</v>
      </c>
      <c r="BC26" t="n">
        <v>93681.8096510993</v>
      </c>
      <c r="BD26" t="n">
        <v>32576.1019729858</v>
      </c>
      <c r="BE26" t="n">
        <v>0</v>
      </c>
      <c r="BF26" t="n">
        <v>0</v>
      </c>
      <c r="BG26" t="n">
        <v>3213070.69115461</v>
      </c>
      <c r="BH26" t="n">
        <v>905029.830314363</v>
      </c>
      <c r="BI26" t="n">
        <v>8297.46750878764</v>
      </c>
      <c r="BJ26" t="n">
        <v>1663545.83341634</v>
      </c>
      <c r="BK26" t="n">
        <v>5487046.52594129</v>
      </c>
      <c r="BL26" t="n">
        <v>10448089.4825233</v>
      </c>
      <c r="BM26" t="n">
        <v>25159.0692854223</v>
      </c>
      <c r="BN26" t="n">
        <v>3207384.93824093</v>
      </c>
      <c r="BO26" t="n">
        <v>5895301.89493881</v>
      </c>
      <c r="BP26" t="n">
        <v>0</v>
      </c>
      <c r="BQ26" t="n">
        <v>0</v>
      </c>
      <c r="BR26" t="n">
        <v>1325586.63485161</v>
      </c>
      <c r="BS26" t="n">
        <v>112618.736821444</v>
      </c>
      <c r="BT26" t="n">
        <v>8699662.92409514</v>
      </c>
      <c r="BU26" t="n">
        <v>851255185.692046</v>
      </c>
      <c r="BV26" t="n">
        <v>0</v>
      </c>
      <c r="BW26" t="n">
        <v>429827463.344923</v>
      </c>
      <c r="BX26" t="n">
        <v>0</v>
      </c>
      <c r="BY26" t="n">
        <v>9885729.89843071</v>
      </c>
      <c r="BZ26" t="n">
        <v>10102843.1596261</v>
      </c>
      <c r="CA26" t="n">
        <v>30643545.9990751</v>
      </c>
      <c r="CB26" t="n">
        <v>-925323131.935419</v>
      </c>
      <c r="CC26" t="n">
        <v>0</v>
      </c>
      <c r="CD26" t="n">
        <v>0</v>
      </c>
      <c r="CE26" t="n">
        <v>596007.756276341</v>
      </c>
      <c r="CF26" t="n">
        <v>0</v>
      </c>
      <c r="CG26" t="n">
        <v>0</v>
      </c>
      <c r="CH26" t="n">
        <v>0</v>
      </c>
      <c r="CI26" t="n">
        <v>396161.988553407</v>
      </c>
      <c r="CJ26" t="n">
        <v>0</v>
      </c>
      <c r="CK26" t="n">
        <v>0</v>
      </c>
      <c r="CL26" t="n">
        <v>0</v>
      </c>
      <c r="CM26" t="n">
        <v>22395261.2046748</v>
      </c>
      <c r="CN26" t="n">
        <v>0</v>
      </c>
    </row>
    <row r="27">
      <c r="A27" t="s">
        <v>138</v>
      </c>
      <c r="B27" t="n">
        <v>991725.974576955</v>
      </c>
      <c r="C27" t="n">
        <v>0</v>
      </c>
      <c r="D27" t="n">
        <v>1342378.26195163</v>
      </c>
      <c r="E27" t="n">
        <v>464083.208741323</v>
      </c>
      <c r="F27" t="n">
        <v>1079271.38930698</v>
      </c>
      <c r="G27" t="n">
        <v>0</v>
      </c>
      <c r="H27" t="n">
        <v>19550264.3422711</v>
      </c>
      <c r="I27" t="n">
        <v>133384.456278576</v>
      </c>
      <c r="J27" t="n">
        <v>905732.222678978</v>
      </c>
      <c r="K27" t="n">
        <v>101855.853182608</v>
      </c>
      <c r="L27" t="n">
        <v>436789.28125692</v>
      </c>
      <c r="M27" t="n">
        <v>13392882.8328844</v>
      </c>
      <c r="N27" t="n">
        <v>9311.18831035016</v>
      </c>
      <c r="O27" t="n">
        <v>1755779.28656452</v>
      </c>
      <c r="P27" t="n">
        <v>2057596.86081426</v>
      </c>
      <c r="Q27" t="n">
        <v>188004.522092273</v>
      </c>
      <c r="R27" t="n">
        <v>71542.133435766</v>
      </c>
      <c r="S27" t="n">
        <v>83596919.2503194</v>
      </c>
      <c r="T27" t="n">
        <v>525895.656518285</v>
      </c>
      <c r="U27" t="n">
        <v>25771.7752843306</v>
      </c>
      <c r="V27" t="n">
        <v>294237.336161309</v>
      </c>
      <c r="W27" t="n">
        <v>0</v>
      </c>
      <c r="X27" t="n">
        <v>21463.4154308116</v>
      </c>
      <c r="Y27" t="n">
        <v>6629.85129128786</v>
      </c>
      <c r="Z27" t="n">
        <v>1256852.85839383</v>
      </c>
      <c r="AA27" t="n">
        <v>804096.737094249</v>
      </c>
      <c r="AB27" t="n">
        <v>9236548.85134752</v>
      </c>
      <c r="AC27" t="n">
        <v>7325635.3072619</v>
      </c>
      <c r="AD27" t="n">
        <v>1795142.45887569</v>
      </c>
      <c r="AE27" t="n">
        <v>77798.1016731488</v>
      </c>
      <c r="AF27" t="n">
        <v>12750564.0049893</v>
      </c>
      <c r="AG27" t="n">
        <v>0</v>
      </c>
      <c r="AH27" t="n">
        <v>8438.23466649172</v>
      </c>
      <c r="AI27" t="n">
        <v>0</v>
      </c>
      <c r="AJ27" t="n">
        <v>71635.0274368815</v>
      </c>
      <c r="AK27" t="n">
        <v>147143.856115646</v>
      </c>
      <c r="AL27" t="n">
        <v>19908.130118898</v>
      </c>
      <c r="AM27" t="n">
        <v>1036588.67545846</v>
      </c>
      <c r="AN27" t="n">
        <v>991590.392801806</v>
      </c>
      <c r="AO27" t="n">
        <v>49766.6864270513</v>
      </c>
      <c r="AP27" t="n">
        <v>9786.08628477919</v>
      </c>
      <c r="AQ27" t="n">
        <v>1716516.14585457</v>
      </c>
      <c r="AR27" t="n">
        <v>1110328.42747274</v>
      </c>
      <c r="AS27" t="n">
        <v>654633.796038325</v>
      </c>
      <c r="AT27" t="n">
        <v>230236.196733431</v>
      </c>
      <c r="AU27" t="n">
        <v>148350.012090294</v>
      </c>
      <c r="AV27" t="n">
        <v>0</v>
      </c>
      <c r="AW27" t="n">
        <v>0</v>
      </c>
      <c r="AX27" t="n">
        <v>2606185.07016015</v>
      </c>
      <c r="AY27" t="n">
        <v>603966.864381118</v>
      </c>
      <c r="AZ27" t="n">
        <v>114151.148975002</v>
      </c>
      <c r="BA27" t="n">
        <v>496986.896685889</v>
      </c>
      <c r="BB27" t="n">
        <v>32275317.9791007</v>
      </c>
      <c r="BC27" t="n">
        <v>174777.676190548</v>
      </c>
      <c r="BD27" t="n">
        <v>26947409.8018171</v>
      </c>
      <c r="BE27" t="n">
        <v>3177438.93163752</v>
      </c>
      <c r="BF27" t="n">
        <v>2958295.94782938</v>
      </c>
      <c r="BG27" t="n">
        <v>206872210.342447</v>
      </c>
      <c r="BH27" t="n">
        <v>203549083.160658</v>
      </c>
      <c r="BI27" t="n">
        <v>5694040.47318154</v>
      </c>
      <c r="BJ27" t="n">
        <v>17905070.2779991</v>
      </c>
      <c r="BK27" t="n">
        <v>951069.081722482</v>
      </c>
      <c r="BL27" t="n">
        <v>6974907.49169676</v>
      </c>
      <c r="BM27" t="n">
        <v>681696.548345484</v>
      </c>
      <c r="BN27" t="n">
        <v>13253168.8638968</v>
      </c>
      <c r="BO27" t="n">
        <v>18934852.3165082</v>
      </c>
      <c r="BP27" t="n">
        <v>14495399.745689</v>
      </c>
      <c r="BQ27" t="n">
        <v>5956421.59324573</v>
      </c>
      <c r="BR27" t="n">
        <v>0</v>
      </c>
      <c r="BS27" t="n">
        <v>74420350.5572321</v>
      </c>
      <c r="BT27" t="n">
        <v>314802.339373262</v>
      </c>
      <c r="BU27" t="n">
        <v>1457076868.66446</v>
      </c>
      <c r="BV27" t="n">
        <v>0</v>
      </c>
      <c r="BW27" t="n">
        <v>688540747.987652</v>
      </c>
      <c r="BX27" t="n">
        <v>0</v>
      </c>
      <c r="BY27" t="n">
        <v>0</v>
      </c>
      <c r="BZ27" t="n">
        <v>40564880.40283</v>
      </c>
      <c r="CA27" t="n">
        <v>269947514.650056</v>
      </c>
      <c r="CB27" t="n">
        <v>-1868377967.14562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226866.700436892</v>
      </c>
      <c r="CJ27" t="n">
        <v>0</v>
      </c>
      <c r="CK27" t="n">
        <v>0</v>
      </c>
      <c r="CL27" t="n">
        <v>0</v>
      </c>
      <c r="CM27" t="n">
        <v>11813043.705295</v>
      </c>
      <c r="CN27" t="n">
        <v>0</v>
      </c>
    </row>
    <row r="28">
      <c r="A28" t="s">
        <v>139</v>
      </c>
      <c r="B28" t="n">
        <v>288605843.886926</v>
      </c>
      <c r="C28" t="n">
        <v>648797.10161658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120926.547984581</v>
      </c>
      <c r="J28" t="n">
        <v>6305325.00368869</v>
      </c>
      <c r="K28" t="n">
        <v>21949.3952015828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86229.4637563301</v>
      </c>
      <c r="T28" t="n">
        <v>1669252806.67764</v>
      </c>
      <c r="U28" t="n">
        <v>30288.1068509515</v>
      </c>
      <c r="V28" t="n">
        <v>456076.510496917</v>
      </c>
      <c r="W28" t="n">
        <v>640568.824634843</v>
      </c>
      <c r="X28" t="n">
        <v>1617154.97001579</v>
      </c>
      <c r="Y28" t="n">
        <v>2177869.82961156</v>
      </c>
      <c r="Z28" t="n">
        <v>15615568.73566</v>
      </c>
      <c r="AA28" t="n">
        <v>1331404.36534633</v>
      </c>
      <c r="AB28" t="n">
        <v>24555861.3294247</v>
      </c>
      <c r="AC28" t="n">
        <v>11662.4316809955</v>
      </c>
      <c r="AD28" t="n">
        <v>35027700.6057473</v>
      </c>
      <c r="AE28" t="n">
        <v>11365154.8537357</v>
      </c>
      <c r="AF28" t="n">
        <v>15867277.6218186</v>
      </c>
      <c r="AG28" t="n">
        <v>12876713.8161881</v>
      </c>
      <c r="AH28" t="n">
        <v>19608.3231262589</v>
      </c>
      <c r="AI28" t="n">
        <v>56036.6526322272</v>
      </c>
      <c r="AJ28" t="n">
        <v>293773.709479437</v>
      </c>
      <c r="AK28" t="n">
        <v>0</v>
      </c>
      <c r="AL28" t="n">
        <v>0</v>
      </c>
      <c r="AM28" t="n">
        <v>63021.7972030253</v>
      </c>
      <c r="AN28" t="n">
        <v>0</v>
      </c>
      <c r="AO28" t="n">
        <v>483710.347354219</v>
      </c>
      <c r="AP28" t="n">
        <v>62921.7003861964</v>
      </c>
      <c r="AQ28" t="n">
        <v>0</v>
      </c>
      <c r="AR28" t="n">
        <v>2026280.79671462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74974533.6993817</v>
      </c>
      <c r="BC28" t="n">
        <v>899414.905419055</v>
      </c>
      <c r="BD28" t="n">
        <v>0</v>
      </c>
      <c r="BE28" t="n">
        <v>0</v>
      </c>
      <c r="BF28" t="n">
        <v>44966602.5924674</v>
      </c>
      <c r="BG28" t="n">
        <v>71279.6143205782</v>
      </c>
      <c r="BH28" t="n">
        <v>46315936.6471948</v>
      </c>
      <c r="BI28" t="n">
        <v>41930162.8108156</v>
      </c>
      <c r="BJ28" t="n">
        <v>170349507.715239</v>
      </c>
      <c r="BK28" t="n">
        <v>11758633.3756857</v>
      </c>
      <c r="BL28" t="n">
        <v>121666294.94287</v>
      </c>
      <c r="BM28" t="n">
        <v>93952185.8578711</v>
      </c>
      <c r="BN28" t="n">
        <v>957963188.355232</v>
      </c>
      <c r="BO28" t="n">
        <v>17747174.5506991</v>
      </c>
      <c r="BP28" t="n">
        <v>36695476.6429563</v>
      </c>
      <c r="BQ28" t="n">
        <v>570211.678546433</v>
      </c>
      <c r="BR28" t="n">
        <v>9392237.42145261</v>
      </c>
      <c r="BS28" t="n">
        <v>650936791.30915</v>
      </c>
      <c r="BT28" t="n">
        <v>0</v>
      </c>
      <c r="BU28" t="n">
        <v>7860830268.2484</v>
      </c>
      <c r="BV28" t="n">
        <v>0</v>
      </c>
      <c r="BW28" t="n">
        <v>0</v>
      </c>
      <c r="BX28" t="n">
        <v>0</v>
      </c>
      <c r="BY28" t="n">
        <v>0</v>
      </c>
      <c r="BZ28" t="n">
        <v>119890228.640355</v>
      </c>
      <c r="CA28" t="n">
        <v>1409828240.8619</v>
      </c>
      <c r="CB28" t="n">
        <v>-1933127634.47183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</row>
    <row r="29">
      <c r="A29" t="s">
        <v>140</v>
      </c>
      <c r="B29" t="n">
        <v>723189.388826866</v>
      </c>
      <c r="C29" t="n">
        <v>120727.698968314</v>
      </c>
      <c r="D29" t="n">
        <v>0</v>
      </c>
      <c r="E29" t="n">
        <v>20932.5546417511</v>
      </c>
      <c r="F29" t="n">
        <v>0</v>
      </c>
      <c r="G29" t="n">
        <v>0</v>
      </c>
      <c r="H29" t="n">
        <v>16153601.9676149</v>
      </c>
      <c r="I29" t="n">
        <v>1886571.26225341</v>
      </c>
      <c r="J29" t="n">
        <v>2749566.90387495</v>
      </c>
      <c r="K29" t="n">
        <v>0</v>
      </c>
      <c r="L29" t="n">
        <v>1832.84058891834</v>
      </c>
      <c r="M29" t="n">
        <v>1543987.18538711</v>
      </c>
      <c r="N29" t="n">
        <v>5961.56765310599</v>
      </c>
      <c r="O29" t="n">
        <v>0</v>
      </c>
      <c r="P29" t="n">
        <v>1133970.09899949</v>
      </c>
      <c r="Q29" t="n">
        <v>6623224.32559696</v>
      </c>
      <c r="R29" t="n">
        <v>29608868.4445199</v>
      </c>
      <c r="S29" t="n">
        <v>9024720.52594569</v>
      </c>
      <c r="T29" t="n">
        <v>1762066.91511407</v>
      </c>
      <c r="U29" t="n">
        <v>14997716.7335133</v>
      </c>
      <c r="V29" t="n">
        <v>2858029.65760607</v>
      </c>
      <c r="W29" t="n">
        <v>3166796.96498835</v>
      </c>
      <c r="X29" t="n">
        <v>615798.854789185</v>
      </c>
      <c r="Y29" t="n">
        <v>119783.300096336</v>
      </c>
      <c r="Z29" t="n">
        <v>5532.08646945702</v>
      </c>
      <c r="AA29" t="n">
        <v>16241438.5252253</v>
      </c>
      <c r="AB29" t="n">
        <v>23106445.8390842</v>
      </c>
      <c r="AC29" t="n">
        <v>344378.494377766</v>
      </c>
      <c r="AD29" t="n">
        <v>1417127.91524042</v>
      </c>
      <c r="AE29" t="n">
        <v>65491710.8902686</v>
      </c>
      <c r="AF29" t="n">
        <v>7954245.80068274</v>
      </c>
      <c r="AG29" t="n">
        <v>0</v>
      </c>
      <c r="AH29" t="n">
        <v>0</v>
      </c>
      <c r="AI29" t="n">
        <v>2050.93160662607</v>
      </c>
      <c r="AJ29" t="n">
        <v>74858.0893411247</v>
      </c>
      <c r="AK29" t="n">
        <v>0</v>
      </c>
      <c r="AL29" t="n">
        <v>45359.0137214059</v>
      </c>
      <c r="AM29" t="n">
        <v>207456.019597414</v>
      </c>
      <c r="AN29" t="n">
        <v>48323.5839973397</v>
      </c>
      <c r="AO29" t="n">
        <v>4024.9156344223</v>
      </c>
      <c r="AP29" t="n">
        <v>1084343.54272303</v>
      </c>
      <c r="AQ29" t="n">
        <v>16727.9607258266</v>
      </c>
      <c r="AR29" t="n">
        <v>14708.3755152261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486228.03836953</v>
      </c>
      <c r="AY29" t="n">
        <v>1535830.5685135</v>
      </c>
      <c r="AZ29" t="n">
        <v>0</v>
      </c>
      <c r="BA29" t="n">
        <v>0</v>
      </c>
      <c r="BB29" t="n">
        <v>5135256.60374648</v>
      </c>
      <c r="BC29" t="n">
        <v>101135.605019725</v>
      </c>
      <c r="BD29" t="n">
        <v>2212045.23620466</v>
      </c>
      <c r="BE29" t="n">
        <v>2923526.90439785</v>
      </c>
      <c r="BF29" t="n">
        <v>188810.643198181</v>
      </c>
      <c r="BG29" t="n">
        <v>1148713.02159857</v>
      </c>
      <c r="BH29" t="n">
        <v>4284069.67217272</v>
      </c>
      <c r="BI29" t="n">
        <v>28005767.2927324</v>
      </c>
      <c r="BJ29" t="n">
        <v>20061900.5429832</v>
      </c>
      <c r="BK29" t="n">
        <v>0</v>
      </c>
      <c r="BL29" t="n">
        <v>4992683.55807358</v>
      </c>
      <c r="BM29" t="n">
        <v>33404065.9368988</v>
      </c>
      <c r="BN29" t="n">
        <v>6183211.51765295</v>
      </c>
      <c r="BO29" t="n">
        <v>8771327.6060833</v>
      </c>
      <c r="BP29" t="n">
        <v>9381771.9110312</v>
      </c>
      <c r="BQ29" t="n">
        <v>3891245.71646819</v>
      </c>
      <c r="BR29" t="n">
        <v>11901.1951486765</v>
      </c>
      <c r="BS29" t="n">
        <v>32626549.9006261</v>
      </c>
      <c r="BT29" t="n">
        <v>217452.776818238</v>
      </c>
      <c r="BU29" t="n">
        <v>262379936.898362</v>
      </c>
      <c r="BV29" t="n">
        <v>0</v>
      </c>
      <c r="BW29" t="n">
        <v>1836250.77802994</v>
      </c>
      <c r="BX29" t="n">
        <v>0</v>
      </c>
      <c r="BY29" t="n">
        <v>4152199.49346286</v>
      </c>
      <c r="BZ29" t="n">
        <v>1728973.4029549</v>
      </c>
      <c r="CA29" t="n">
        <v>40977307.3297107</v>
      </c>
      <c r="CB29" t="n">
        <v>-561691253.849193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58437.9806158014</v>
      </c>
      <c r="CJ29" t="n">
        <v>0</v>
      </c>
      <c r="CK29" t="n">
        <v>0</v>
      </c>
      <c r="CL29" t="n">
        <v>0</v>
      </c>
      <c r="CM29" t="n">
        <v>50670.6051104406</v>
      </c>
      <c r="CN29" t="n">
        <v>0</v>
      </c>
    </row>
    <row r="30">
      <c r="A30" t="s">
        <v>141</v>
      </c>
      <c r="B30" t="n">
        <v>716464.608071051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1407419.59340439</v>
      </c>
      <c r="Q30" t="n">
        <v>0</v>
      </c>
      <c r="R30" t="n">
        <v>0</v>
      </c>
      <c r="S30" t="n">
        <v>2462477.15451869</v>
      </c>
      <c r="T30" t="n">
        <v>186962.276604044</v>
      </c>
      <c r="U30" t="n">
        <v>1889505.62840226</v>
      </c>
      <c r="V30" t="n">
        <v>4091386.4047717</v>
      </c>
      <c r="W30" t="n">
        <v>0</v>
      </c>
      <c r="X30" t="n">
        <v>21843032.1469023</v>
      </c>
      <c r="Y30" t="n">
        <v>0</v>
      </c>
      <c r="Z30" t="n">
        <v>0</v>
      </c>
      <c r="AA30" t="n">
        <v>1634.32932521292</v>
      </c>
      <c r="AB30" t="n">
        <v>4474622.37984378</v>
      </c>
      <c r="AC30" t="n">
        <v>1601417.72237735</v>
      </c>
      <c r="AD30" t="n">
        <v>93693.3959024286</v>
      </c>
      <c r="AE30" t="n">
        <v>838460.454310489</v>
      </c>
      <c r="AF30" t="n">
        <v>2722808.3001168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1415468.63026462</v>
      </c>
      <c r="AP30" t="n">
        <v>122307.027579894</v>
      </c>
      <c r="AQ30" t="n">
        <v>21291778.6028883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819370.010973017</v>
      </c>
      <c r="AZ30" t="n">
        <v>0</v>
      </c>
      <c r="BA30" t="n">
        <v>0</v>
      </c>
      <c r="BB30" t="n">
        <v>63563.0040325233</v>
      </c>
      <c r="BC30" t="n">
        <v>40359.5742519631</v>
      </c>
      <c r="BD30" t="n">
        <v>2648573.7478013</v>
      </c>
      <c r="BE30" t="n">
        <v>254808.63956379</v>
      </c>
      <c r="BF30" t="n">
        <v>694276.995385017</v>
      </c>
      <c r="BG30" t="n">
        <v>1125172.80829226</v>
      </c>
      <c r="BH30" t="n">
        <v>1204622.1629488</v>
      </c>
      <c r="BI30" t="n">
        <v>0</v>
      </c>
      <c r="BJ30" t="n">
        <v>8393352.45295071</v>
      </c>
      <c r="BK30" t="n">
        <v>1100408.64754591</v>
      </c>
      <c r="BL30" t="n">
        <v>1844988.62092664</v>
      </c>
      <c r="BM30" t="n">
        <v>548343.038229527</v>
      </c>
      <c r="BN30" t="n">
        <v>10176479.9112524</v>
      </c>
      <c r="BO30" t="n">
        <v>26655471.4842238</v>
      </c>
      <c r="BP30" t="n">
        <v>6949417.00500175</v>
      </c>
      <c r="BQ30" t="n">
        <v>1340541.88029715</v>
      </c>
      <c r="BR30" t="n">
        <v>655840.171724436</v>
      </c>
      <c r="BS30" t="n">
        <v>41128842.4859515</v>
      </c>
      <c r="BT30" t="n">
        <v>56970.7673895769</v>
      </c>
      <c r="BU30" t="n">
        <v>2574597708.40867</v>
      </c>
      <c r="BV30" t="n">
        <v>0</v>
      </c>
      <c r="BW30" t="n">
        <v>0</v>
      </c>
      <c r="BX30" t="n">
        <v>0</v>
      </c>
      <c r="BY30" t="n">
        <v>0</v>
      </c>
      <c r="BZ30" t="n">
        <v>-2070086.10574873</v>
      </c>
      <c r="CA30" t="n">
        <v>33801749.1494777</v>
      </c>
      <c r="CB30" t="n">
        <v>-2702473546.6333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</row>
    <row r="31">
      <c r="A31" t="s">
        <v>142</v>
      </c>
      <c r="B31" t="n">
        <v>4044572.24840737</v>
      </c>
      <c r="C31" t="n">
        <v>0</v>
      </c>
      <c r="D31" t="n">
        <v>1463104.97535961</v>
      </c>
      <c r="E31" t="n">
        <v>1153792.46450832</v>
      </c>
      <c r="F31" t="n">
        <v>1571474.82639415</v>
      </c>
      <c r="G31" t="n">
        <v>91084.4731391508</v>
      </c>
      <c r="H31" t="n">
        <v>25810838.3589815</v>
      </c>
      <c r="I31" t="n">
        <v>2793301.37593883</v>
      </c>
      <c r="J31" t="n">
        <v>10432515.5191105</v>
      </c>
      <c r="K31" t="n">
        <v>2798619.95410499</v>
      </c>
      <c r="L31" t="n">
        <v>6449346.25936496</v>
      </c>
      <c r="M31" t="n">
        <v>5318749.61499051</v>
      </c>
      <c r="N31" t="n">
        <v>3342217.66525501</v>
      </c>
      <c r="O31" t="n">
        <v>1884870.93743421</v>
      </c>
      <c r="P31" t="n">
        <v>1796537.38359969</v>
      </c>
      <c r="Q31" t="n">
        <v>1897912.0203329</v>
      </c>
      <c r="R31" t="n">
        <v>6547148.73163384</v>
      </c>
      <c r="S31" t="n">
        <v>13381452.6980824</v>
      </c>
      <c r="T31" t="n">
        <v>135488029.608208</v>
      </c>
      <c r="U31" t="n">
        <v>548189.974334409</v>
      </c>
      <c r="V31" t="n">
        <v>19658.4241406573</v>
      </c>
      <c r="W31" t="n">
        <v>50642039.5149471</v>
      </c>
      <c r="X31" t="n">
        <v>35851860.6169626</v>
      </c>
      <c r="Y31" t="n">
        <v>886791.168868047</v>
      </c>
      <c r="Z31" t="n">
        <v>9379950.06351072</v>
      </c>
      <c r="AA31" t="n">
        <v>14655811.8029043</v>
      </c>
      <c r="AB31" t="n">
        <v>46994674.4960541</v>
      </c>
      <c r="AC31" t="n">
        <v>1118989.69143774</v>
      </c>
      <c r="AD31" t="n">
        <v>9725591.02778159</v>
      </c>
      <c r="AE31" t="n">
        <v>2922692.1348525</v>
      </c>
      <c r="AF31" t="n">
        <v>7229978.18173619</v>
      </c>
      <c r="AG31" t="n">
        <v>447324.042888279</v>
      </c>
      <c r="AH31" t="n">
        <v>528496.586930814</v>
      </c>
      <c r="AI31" t="n">
        <v>219.644291455357</v>
      </c>
      <c r="AJ31" t="n">
        <v>868409.307667003</v>
      </c>
      <c r="AK31" t="n">
        <v>6535263.16595296</v>
      </c>
      <c r="AL31" t="n">
        <v>1016603.5419087</v>
      </c>
      <c r="AM31" t="n">
        <v>7916462.42615595</v>
      </c>
      <c r="AN31" t="n">
        <v>843409.491968527</v>
      </c>
      <c r="AO31" t="n">
        <v>14454673.1366701</v>
      </c>
      <c r="AP31" t="n">
        <v>144470.697944855</v>
      </c>
      <c r="AQ31" t="n">
        <v>1934721.58319187</v>
      </c>
      <c r="AR31" t="n">
        <v>1496587.28822142</v>
      </c>
      <c r="AS31" t="n">
        <v>4489862.15208554</v>
      </c>
      <c r="AT31" t="n">
        <v>1747215.33107197</v>
      </c>
      <c r="AU31" t="n">
        <v>4211542.1664687</v>
      </c>
      <c r="AV31" t="n">
        <v>6974.4657075514</v>
      </c>
      <c r="AW31" t="n">
        <v>0</v>
      </c>
      <c r="AX31" t="n">
        <v>3980216.67167904</v>
      </c>
      <c r="AY31" t="n">
        <v>3866000.02372548</v>
      </c>
      <c r="AZ31" t="n">
        <v>1508443.52500417</v>
      </c>
      <c r="BA31" t="n">
        <v>4987004.56338694</v>
      </c>
      <c r="BB31" t="n">
        <v>20741200.1632256</v>
      </c>
      <c r="BC31" t="n">
        <v>7474515.04027107</v>
      </c>
      <c r="BD31" t="n">
        <v>30066493.8667407</v>
      </c>
      <c r="BE31" t="n">
        <v>2226498.6550767</v>
      </c>
      <c r="BF31" t="n">
        <v>1177137.48821335</v>
      </c>
      <c r="BG31" t="n">
        <v>7631576.16773255</v>
      </c>
      <c r="BH31" t="n">
        <v>6160329.93503995</v>
      </c>
      <c r="BI31" t="n">
        <v>3832890.5653244</v>
      </c>
      <c r="BJ31" t="n">
        <v>6484255.62997045</v>
      </c>
      <c r="BK31" t="n">
        <v>418364.875346983</v>
      </c>
      <c r="BL31" t="n">
        <v>1879523.11348217</v>
      </c>
      <c r="BM31" t="n">
        <v>24120373.7308406</v>
      </c>
      <c r="BN31" t="n">
        <v>34627466.8498805</v>
      </c>
      <c r="BO31" t="n">
        <v>6109717.97298726</v>
      </c>
      <c r="BP31" t="n">
        <v>2297557.37915866</v>
      </c>
      <c r="BQ31" t="n">
        <v>12644532.6494888</v>
      </c>
      <c r="BR31" t="n">
        <v>968091.10336608</v>
      </c>
      <c r="BS31" t="n">
        <v>71993762.8245293</v>
      </c>
      <c r="BT31" t="n">
        <v>132538.663117479</v>
      </c>
      <c r="BU31" t="n">
        <v>126554169.318218</v>
      </c>
      <c r="BV31" t="n">
        <v>0</v>
      </c>
      <c r="BW31" t="n">
        <v>0</v>
      </c>
      <c r="BX31" t="n">
        <v>0</v>
      </c>
      <c r="BY31" t="n">
        <v>0</v>
      </c>
      <c r="BZ31" t="n">
        <v>2415671.27580287</v>
      </c>
      <c r="CA31" t="n">
        <v>16712163.977126</v>
      </c>
      <c r="CB31" t="n">
        <v>-274321806.329396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</row>
    <row r="32">
      <c r="A32" t="s">
        <v>143</v>
      </c>
      <c r="B32" t="n">
        <v>142933.148567752</v>
      </c>
      <c r="C32" t="n">
        <v>0</v>
      </c>
      <c r="D32" t="n">
        <v>247571.303464395</v>
      </c>
      <c r="E32" t="n">
        <v>26683.7010087369</v>
      </c>
      <c r="F32" t="n">
        <v>0</v>
      </c>
      <c r="G32" t="n">
        <v>74459.0192366631</v>
      </c>
      <c r="H32" t="n">
        <v>733900.273915437</v>
      </c>
      <c r="I32" t="n">
        <v>23962.0773264352</v>
      </c>
      <c r="J32" t="n">
        <v>0</v>
      </c>
      <c r="K32" t="n">
        <v>0</v>
      </c>
      <c r="L32" t="n">
        <v>86738.5915639734</v>
      </c>
      <c r="M32" t="n">
        <v>23736.8776443823</v>
      </c>
      <c r="N32" t="n">
        <v>0</v>
      </c>
      <c r="O32" t="n">
        <v>6508.26932903033</v>
      </c>
      <c r="P32" t="n">
        <v>3287.8380553892</v>
      </c>
      <c r="Q32" t="n">
        <v>0</v>
      </c>
      <c r="R32" t="n">
        <v>0</v>
      </c>
      <c r="S32" t="n">
        <v>0</v>
      </c>
      <c r="T32" t="n">
        <v>520594.101192351</v>
      </c>
      <c r="U32" t="n">
        <v>0</v>
      </c>
      <c r="V32" t="n">
        <v>2875.76664352802</v>
      </c>
      <c r="W32" t="n">
        <v>0</v>
      </c>
      <c r="X32" t="n">
        <v>7223689.37984096</v>
      </c>
      <c r="Y32" t="n">
        <v>8275.11495012083</v>
      </c>
      <c r="Z32" t="n">
        <v>439245.81663382</v>
      </c>
      <c r="AA32" t="n">
        <v>0</v>
      </c>
      <c r="AB32" t="n">
        <v>110190665.093732</v>
      </c>
      <c r="AC32" t="n">
        <v>2426863.82237352</v>
      </c>
      <c r="AD32" t="n">
        <v>2431176.255643</v>
      </c>
      <c r="AE32" t="n">
        <v>2348204.81406864</v>
      </c>
      <c r="AF32" t="n">
        <v>48499142.155998</v>
      </c>
      <c r="AG32" t="n">
        <v>177560.797175532</v>
      </c>
      <c r="AH32" t="n">
        <v>105322.66678903</v>
      </c>
      <c r="AI32" t="n">
        <v>0</v>
      </c>
      <c r="AJ32" t="n">
        <v>2112196.18965497</v>
      </c>
      <c r="AK32" t="n">
        <v>767775.769980805</v>
      </c>
      <c r="AL32" t="n">
        <v>276759.92530951</v>
      </c>
      <c r="AM32" t="n">
        <v>1895175.28564714</v>
      </c>
      <c r="AN32" t="n">
        <v>107754.719227177</v>
      </c>
      <c r="AO32" t="n">
        <v>53520432.6930194</v>
      </c>
      <c r="AP32" t="n">
        <v>3193309.23876805</v>
      </c>
      <c r="AQ32" t="n">
        <v>6879221.31766617</v>
      </c>
      <c r="AR32" t="n">
        <v>47550011.586015</v>
      </c>
      <c r="AS32" t="n">
        <v>9714554.78572189</v>
      </c>
      <c r="AT32" t="n">
        <v>12569772.2627947</v>
      </c>
      <c r="AU32" t="n">
        <v>30323168.9866375</v>
      </c>
      <c r="AV32" t="n">
        <v>0</v>
      </c>
      <c r="AW32" t="n">
        <v>0</v>
      </c>
      <c r="AX32" t="n">
        <v>1129111.53227727</v>
      </c>
      <c r="AY32" t="n">
        <v>3777597.78047147</v>
      </c>
      <c r="AZ32" t="n">
        <v>5719630.53048839</v>
      </c>
      <c r="BA32" t="n">
        <v>5995337.63427695</v>
      </c>
      <c r="BB32" t="n">
        <v>85871789.2852339</v>
      </c>
      <c r="BC32" t="n">
        <v>12323364.012022</v>
      </c>
      <c r="BD32" t="n">
        <v>38085523.0039</v>
      </c>
      <c r="BE32" t="n">
        <v>203389.709178438</v>
      </c>
      <c r="BF32" t="n">
        <v>5723431.57362194</v>
      </c>
      <c r="BG32" t="n">
        <v>18693013.6003438</v>
      </c>
      <c r="BH32" t="n">
        <v>27095439.1679043</v>
      </c>
      <c r="BI32" t="n">
        <v>1128138.56729958</v>
      </c>
      <c r="BJ32" t="n">
        <v>18536860.8756087</v>
      </c>
      <c r="BK32" t="n">
        <v>8221252.54688604</v>
      </c>
      <c r="BL32" t="n">
        <v>4482902.48811878</v>
      </c>
      <c r="BM32" t="n">
        <v>13318642.768036</v>
      </c>
      <c r="BN32" t="n">
        <v>12902979.3074567</v>
      </c>
      <c r="BO32" t="n">
        <v>15537688.4224134</v>
      </c>
      <c r="BP32" t="n">
        <v>6298550.99036444</v>
      </c>
      <c r="BQ32" t="n">
        <v>17590387.397998</v>
      </c>
      <c r="BR32" t="n">
        <v>661226.602513514</v>
      </c>
      <c r="BS32" t="n">
        <v>94112768.9522437</v>
      </c>
      <c r="BT32" t="n">
        <v>2842785.53572418</v>
      </c>
      <c r="BU32" t="n">
        <v>33022246.5267633</v>
      </c>
      <c r="BV32" t="n">
        <v>0</v>
      </c>
      <c r="BW32" t="n">
        <v>0</v>
      </c>
      <c r="BX32" t="n">
        <v>0</v>
      </c>
      <c r="BY32" t="n">
        <v>0</v>
      </c>
      <c r="BZ32" t="n">
        <v>1356388.34121073</v>
      </c>
      <c r="CA32" t="n">
        <v>22137460.2337485</v>
      </c>
      <c r="CB32" t="n">
        <v>-51729973.9311805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</row>
    <row r="33">
      <c r="A33" t="s">
        <v>144</v>
      </c>
      <c r="B33" t="n">
        <v>92426426.7568862</v>
      </c>
      <c r="C33" t="n">
        <v>980200.263461594</v>
      </c>
      <c r="D33" t="n">
        <v>145793951.835316</v>
      </c>
      <c r="E33" t="n">
        <v>40268458.3603066</v>
      </c>
      <c r="F33" t="n">
        <v>84883165.7640077</v>
      </c>
      <c r="G33" t="n">
        <v>134013184.364898</v>
      </c>
      <c r="H33" t="n">
        <v>520507341.391185</v>
      </c>
      <c r="I33" t="n">
        <v>4312070.57060855</v>
      </c>
      <c r="J33" t="n">
        <v>6978514.72638942</v>
      </c>
      <c r="K33" t="n">
        <v>5534803.8131103</v>
      </c>
      <c r="L33" t="n">
        <v>8852397.7553881</v>
      </c>
      <c r="M33" t="n">
        <v>4750387.86058829</v>
      </c>
      <c r="N33" t="n">
        <v>1676026.01222307</v>
      </c>
      <c r="O33" t="n">
        <v>1558215.87549027</v>
      </c>
      <c r="P33" t="n">
        <v>295212.211582042</v>
      </c>
      <c r="Q33" t="n">
        <v>1314136.05355019</v>
      </c>
      <c r="R33" t="n">
        <v>2203009.45713475</v>
      </c>
      <c r="S33" t="n">
        <v>9915144.93640668</v>
      </c>
      <c r="T33" t="n">
        <v>22747743.4052624</v>
      </c>
      <c r="U33" t="n">
        <v>186623.850144533</v>
      </c>
      <c r="V33" t="n">
        <v>8156.69401128898</v>
      </c>
      <c r="W33" t="n">
        <v>2685801.12715342</v>
      </c>
      <c r="X33" t="n">
        <v>2716462.29007785</v>
      </c>
      <c r="Y33" t="n">
        <v>79005821.2911823</v>
      </c>
      <c r="Z33" t="n">
        <v>29746382.4921885</v>
      </c>
      <c r="AA33" t="n">
        <v>3977898.04428503</v>
      </c>
      <c r="AB33" t="n">
        <v>40274627.1589959</v>
      </c>
      <c r="AC33" t="n">
        <v>8557674.05235786</v>
      </c>
      <c r="AD33" t="n">
        <v>5631825.09622428</v>
      </c>
      <c r="AE33" t="n">
        <v>3027718.54684454</v>
      </c>
      <c r="AF33" t="n">
        <v>13252709.8464682</v>
      </c>
      <c r="AG33" t="n">
        <v>601369457.496902</v>
      </c>
      <c r="AH33" t="n">
        <v>51291767.006113</v>
      </c>
      <c r="AI33" t="n">
        <v>559306.244072225</v>
      </c>
      <c r="AJ33" t="n">
        <v>129376354.022419</v>
      </c>
      <c r="AK33" t="n">
        <v>13747982.0736189</v>
      </c>
      <c r="AL33" t="n">
        <v>4716427.15373732</v>
      </c>
      <c r="AM33" t="n">
        <v>83089438.9007956</v>
      </c>
      <c r="AN33" t="n">
        <v>23880160.4486729</v>
      </c>
      <c r="AO33" t="n">
        <v>5244096.07014857</v>
      </c>
      <c r="AP33" t="n">
        <v>350458.767332285</v>
      </c>
      <c r="AQ33" t="n">
        <v>6548949.04988082</v>
      </c>
      <c r="AR33" t="n">
        <v>6166524.13978206</v>
      </c>
      <c r="AS33" t="n">
        <v>33386888.378387</v>
      </c>
      <c r="AT33" t="n">
        <v>24985362.6888026</v>
      </c>
      <c r="AU33" t="n">
        <v>487063.785576511</v>
      </c>
      <c r="AV33" t="n">
        <v>5954007.46927326</v>
      </c>
      <c r="AW33" t="n">
        <v>374560.644847817</v>
      </c>
      <c r="AX33" t="n">
        <v>36858475.9888564</v>
      </c>
      <c r="AY33" t="n">
        <v>12890901.2876113</v>
      </c>
      <c r="AZ33" t="n">
        <v>414071.807031648</v>
      </c>
      <c r="BA33" t="n">
        <v>18404347.2763503</v>
      </c>
      <c r="BB33" t="n">
        <v>25979077.7437026</v>
      </c>
      <c r="BC33" t="n">
        <v>9935178.91406729</v>
      </c>
      <c r="BD33" t="n">
        <v>50254610.3271739</v>
      </c>
      <c r="BE33" t="n">
        <v>16243657.4430609</v>
      </c>
      <c r="BF33" t="n">
        <v>9107006.44020596</v>
      </c>
      <c r="BG33" t="n">
        <v>8203869.31399934</v>
      </c>
      <c r="BH33" t="n">
        <v>8544556.87646269</v>
      </c>
      <c r="BI33" t="n">
        <v>6069004.84298135</v>
      </c>
      <c r="BJ33" t="n">
        <v>7520380.98942636</v>
      </c>
      <c r="BK33" t="n">
        <v>2446406.4169376</v>
      </c>
      <c r="BL33" t="n">
        <v>14598091.4892874</v>
      </c>
      <c r="BM33" t="n">
        <v>10730672.2960954</v>
      </c>
      <c r="BN33" t="n">
        <v>42844839.5557345</v>
      </c>
      <c r="BO33" t="n">
        <v>26539523.6373738</v>
      </c>
      <c r="BP33" t="n">
        <v>132839293.201666</v>
      </c>
      <c r="BQ33" t="n">
        <v>11658843.4147238</v>
      </c>
      <c r="BR33" t="n">
        <v>16544360.7729156</v>
      </c>
      <c r="BS33" t="n">
        <v>806481138.022442</v>
      </c>
      <c r="BT33" t="n">
        <v>133618843.160713</v>
      </c>
      <c r="BU33" t="n">
        <v>1585411805.89702</v>
      </c>
      <c r="BV33" t="n">
        <v>0</v>
      </c>
      <c r="BW33" t="n">
        <v>0</v>
      </c>
      <c r="BX33" t="n">
        <v>0</v>
      </c>
      <c r="BY33" t="n">
        <v>0</v>
      </c>
      <c r="BZ33" t="n">
        <v>24946467.7974361</v>
      </c>
      <c r="CA33" t="n">
        <v>13188999.8787639</v>
      </c>
      <c r="CB33" t="n">
        <v>-1193473540.91641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</row>
    <row r="34">
      <c r="A34" t="s">
        <v>145</v>
      </c>
      <c r="B34" t="n">
        <v>215552114.440836</v>
      </c>
      <c r="C34" t="n">
        <v>4626504.65226212</v>
      </c>
      <c r="D34" t="n">
        <v>187688684.666425</v>
      </c>
      <c r="E34" t="n">
        <v>20876978.2939078</v>
      </c>
      <c r="F34" t="n">
        <v>63964830.7106938</v>
      </c>
      <c r="G34" t="n">
        <v>7404853.57229735</v>
      </c>
      <c r="H34" t="n">
        <v>182059544.524672</v>
      </c>
      <c r="I34" t="n">
        <v>15867485.069423</v>
      </c>
      <c r="J34" t="n">
        <v>46277659.0916171</v>
      </c>
      <c r="K34" t="n">
        <v>5077390.68619787</v>
      </c>
      <c r="L34" t="n">
        <v>36790948.362894</v>
      </c>
      <c r="M34" t="n">
        <v>12103030.0526627</v>
      </c>
      <c r="N34" t="n">
        <v>22925440.2435352</v>
      </c>
      <c r="O34" t="n">
        <v>6038065.02361291</v>
      </c>
      <c r="P34" t="n">
        <v>7531193.21971768</v>
      </c>
      <c r="Q34" t="n">
        <v>8520817.14476362</v>
      </c>
      <c r="R34" t="n">
        <v>16254847.7255209</v>
      </c>
      <c r="S34" t="n">
        <v>78840186.6765544</v>
      </c>
      <c r="T34" t="n">
        <v>72575414.8681422</v>
      </c>
      <c r="U34" t="n">
        <v>28793077.1524227</v>
      </c>
      <c r="V34" t="n">
        <v>188284.952880284</v>
      </c>
      <c r="W34" t="n">
        <v>13383556.1370044</v>
      </c>
      <c r="X34" t="n">
        <v>15762658.2710155</v>
      </c>
      <c r="Y34" t="n">
        <v>131878121.718615</v>
      </c>
      <c r="Z34" t="n">
        <v>616792689.375702</v>
      </c>
      <c r="AA34" t="n">
        <v>355812866.528235</v>
      </c>
      <c r="AB34" t="n">
        <v>18491393.0062781</v>
      </c>
      <c r="AC34" t="n">
        <v>1578034.47365386</v>
      </c>
      <c r="AD34" t="n">
        <v>1069054.23719539</v>
      </c>
      <c r="AE34" t="n">
        <v>561950.023894512</v>
      </c>
      <c r="AF34" t="n">
        <v>5654310.62892626</v>
      </c>
      <c r="AG34" t="n">
        <v>31660.9881169942</v>
      </c>
      <c r="AH34" t="n">
        <v>1992135.5215542</v>
      </c>
      <c r="AI34" t="n">
        <v>715.288252767004</v>
      </c>
      <c r="AJ34" t="n">
        <v>1890842.14751497</v>
      </c>
      <c r="AK34" t="n">
        <v>129076.950246103</v>
      </c>
      <c r="AL34" t="n">
        <v>92154.9429547499</v>
      </c>
      <c r="AM34" t="n">
        <v>466174.178665925</v>
      </c>
      <c r="AN34" t="n">
        <v>2386101.14413969</v>
      </c>
      <c r="AO34" t="n">
        <v>4613626.30361203</v>
      </c>
      <c r="AP34" t="n">
        <v>1333976.9925586</v>
      </c>
      <c r="AQ34" t="n">
        <v>10501195.4399496</v>
      </c>
      <c r="AR34" t="n">
        <v>8636793.70276352</v>
      </c>
      <c r="AS34" t="n">
        <v>461301.716491509</v>
      </c>
      <c r="AT34" t="n">
        <v>588620.23786528</v>
      </c>
      <c r="AU34" t="n">
        <v>495276.050388702</v>
      </c>
      <c r="AV34" t="n">
        <v>0</v>
      </c>
      <c r="AW34" t="n">
        <v>4317050.46277219</v>
      </c>
      <c r="AX34" t="n">
        <v>88613523.7645488</v>
      </c>
      <c r="AY34" t="n">
        <v>983441.898350617</v>
      </c>
      <c r="AZ34" t="n">
        <v>857749.806985402</v>
      </c>
      <c r="BA34" t="n">
        <v>4617911.59879892</v>
      </c>
      <c r="BB34" t="n">
        <v>436012614.936283</v>
      </c>
      <c r="BC34" t="n">
        <v>19579794.216014</v>
      </c>
      <c r="BD34" t="n">
        <v>100417169.078464</v>
      </c>
      <c r="BE34" t="n">
        <v>20087299.2606527</v>
      </c>
      <c r="BF34" t="n">
        <v>5514462.13629758</v>
      </c>
      <c r="BG34" t="n">
        <v>382186349.273857</v>
      </c>
      <c r="BH34" t="n">
        <v>84723926.0163156</v>
      </c>
      <c r="BI34" t="n">
        <v>24949455.5723934</v>
      </c>
      <c r="BJ34" t="n">
        <v>5047248.11386116</v>
      </c>
      <c r="BK34" t="n">
        <v>3552150.18255888</v>
      </c>
      <c r="BL34" t="n">
        <v>15456394.1104366</v>
      </c>
      <c r="BM34" t="n">
        <v>1101466.52141814</v>
      </c>
      <c r="BN34" t="n">
        <v>15533026.5862002</v>
      </c>
      <c r="BO34" t="n">
        <v>62086224.0264921</v>
      </c>
      <c r="BP34" t="n">
        <v>38122822.2118214</v>
      </c>
      <c r="BQ34" t="n">
        <v>28040532.9102884</v>
      </c>
      <c r="BR34" t="n">
        <v>1095409.85044392</v>
      </c>
      <c r="BS34" t="n">
        <v>325962378.896066</v>
      </c>
      <c r="BT34" t="n">
        <v>13893674.9246301</v>
      </c>
      <c r="BU34" t="n">
        <v>3414623835.76271</v>
      </c>
      <c r="BV34" t="n">
        <v>0</v>
      </c>
      <c r="BW34" t="n">
        <v>7924402.6674875</v>
      </c>
      <c r="BX34" t="n">
        <v>0</v>
      </c>
      <c r="BY34" t="n">
        <v>0</v>
      </c>
      <c r="BZ34" t="n">
        <v>47322535.0727364</v>
      </c>
      <c r="CA34" t="n">
        <v>556883562.44226</v>
      </c>
      <c r="CB34" t="n">
        <v>-3763038989.32804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</row>
    <row r="35">
      <c r="A35" t="s">
        <v>146</v>
      </c>
      <c r="B35" t="n">
        <v>21121646.0992717</v>
      </c>
      <c r="C35" t="n">
        <v>241470.739828357</v>
      </c>
      <c r="D35" t="n">
        <v>3412269.24964738</v>
      </c>
      <c r="E35" t="n">
        <v>19613742.323241</v>
      </c>
      <c r="F35" t="n">
        <v>44084329.1815633</v>
      </c>
      <c r="G35" t="n">
        <v>202737.417313897</v>
      </c>
      <c r="H35" t="n">
        <v>506365435.858271</v>
      </c>
      <c r="I35" t="n">
        <v>6920492.56266341</v>
      </c>
      <c r="J35" t="n">
        <v>15269498.0789513</v>
      </c>
      <c r="K35" t="n">
        <v>2557321.04969186</v>
      </c>
      <c r="L35" t="n">
        <v>17417891.6118852</v>
      </c>
      <c r="M35" t="n">
        <v>60888059.204955</v>
      </c>
      <c r="N35" t="n">
        <v>33601722.1022983</v>
      </c>
      <c r="O35" t="n">
        <v>6972265.65133602</v>
      </c>
      <c r="P35" t="n">
        <v>18928815.9079068</v>
      </c>
      <c r="Q35" t="n">
        <v>26135152.9162704</v>
      </c>
      <c r="R35" t="n">
        <v>31125405.5160613</v>
      </c>
      <c r="S35" t="n">
        <v>66976990.789132</v>
      </c>
      <c r="T35" t="n">
        <v>195629054.894111</v>
      </c>
      <c r="U35" t="n">
        <v>1114495.61169228</v>
      </c>
      <c r="V35" t="n">
        <v>192895.080100902</v>
      </c>
      <c r="W35" t="n">
        <v>5068938.02948915</v>
      </c>
      <c r="X35" t="n">
        <v>16284782.824284</v>
      </c>
      <c r="Y35" t="n">
        <v>2838690.91958957</v>
      </c>
      <c r="Z35" t="n">
        <v>31886828.7739149</v>
      </c>
      <c r="AA35" t="n">
        <v>128237243.046538</v>
      </c>
      <c r="AB35" t="n">
        <v>216587076.43613</v>
      </c>
      <c r="AC35" t="n">
        <v>13613229.3459457</v>
      </c>
      <c r="AD35" t="n">
        <v>23380146.7556127</v>
      </c>
      <c r="AE35" t="n">
        <v>6414856.83389475</v>
      </c>
      <c r="AF35" t="n">
        <v>37521546.2482698</v>
      </c>
      <c r="AG35" t="n">
        <v>15847726.7606647</v>
      </c>
      <c r="AH35" t="n">
        <v>48862.4075429244</v>
      </c>
      <c r="AI35" t="n">
        <v>0</v>
      </c>
      <c r="AJ35" t="n">
        <v>9969799.17639451</v>
      </c>
      <c r="AK35" t="n">
        <v>551178.493169466</v>
      </c>
      <c r="AL35" t="n">
        <v>4475815.20894517</v>
      </c>
      <c r="AM35" t="n">
        <v>16315480.3083041</v>
      </c>
      <c r="AN35" t="n">
        <v>2605388.76150933</v>
      </c>
      <c r="AO35" t="n">
        <v>4183453.60162721</v>
      </c>
      <c r="AP35" t="n">
        <v>405120.707378445</v>
      </c>
      <c r="AQ35" t="n">
        <v>67956547.3533915</v>
      </c>
      <c r="AR35" t="n">
        <v>8082500.59781394</v>
      </c>
      <c r="AS35" t="n">
        <v>476317.880471943</v>
      </c>
      <c r="AT35" t="n">
        <v>1168279.06659779</v>
      </c>
      <c r="AU35" t="n">
        <v>8701621.22385464</v>
      </c>
      <c r="AV35" t="n">
        <v>0</v>
      </c>
      <c r="AW35" t="n">
        <v>157210.424962458</v>
      </c>
      <c r="AX35" t="n">
        <v>4428022.17624971</v>
      </c>
      <c r="AY35" t="n">
        <v>18983761.2743303</v>
      </c>
      <c r="AZ35" t="n">
        <v>231206.820141257</v>
      </c>
      <c r="BA35" t="n">
        <v>38419545.9317438</v>
      </c>
      <c r="BB35" t="n">
        <v>116848383.617192</v>
      </c>
      <c r="BC35" t="n">
        <v>1461015.66832361</v>
      </c>
      <c r="BD35" t="n">
        <v>27658931.3675046</v>
      </c>
      <c r="BE35" t="n">
        <v>5717907.59466543</v>
      </c>
      <c r="BF35" t="n">
        <v>5637661.05087826</v>
      </c>
      <c r="BG35" t="n">
        <v>98543699.2739632</v>
      </c>
      <c r="BH35" t="n">
        <v>36347073.7535757</v>
      </c>
      <c r="BI35" t="n">
        <v>14844383.8802165</v>
      </c>
      <c r="BJ35" t="n">
        <v>16457154.575672</v>
      </c>
      <c r="BK35" t="n">
        <v>621194.805554489</v>
      </c>
      <c r="BL35" t="n">
        <v>5896065.22878118</v>
      </c>
      <c r="BM35" t="n">
        <v>2277201.18318183</v>
      </c>
      <c r="BN35" t="n">
        <v>95792641.6159968</v>
      </c>
      <c r="BO35" t="n">
        <v>43410881.4526048</v>
      </c>
      <c r="BP35" t="n">
        <v>42108655.3672704</v>
      </c>
      <c r="BQ35" t="n">
        <v>11676341.2476034</v>
      </c>
      <c r="BR35" t="n">
        <v>460098.013664343</v>
      </c>
      <c r="BS35" t="n">
        <v>141869879.551493</v>
      </c>
      <c r="BT35" t="n">
        <v>25349930.4000096</v>
      </c>
      <c r="BU35" t="n">
        <v>515278253.420506</v>
      </c>
      <c r="BV35" t="n">
        <v>0</v>
      </c>
      <c r="BW35" t="n">
        <v>2302806.7603789</v>
      </c>
      <c r="BX35" t="n">
        <v>0</v>
      </c>
      <c r="BY35" t="n">
        <v>378201.709545525</v>
      </c>
      <c r="BZ35" t="n">
        <v>14737876.0239726</v>
      </c>
      <c r="CA35" t="n">
        <v>162089872.032507</v>
      </c>
      <c r="CB35" t="n">
        <v>-954033370.263398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55225.2732963203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</row>
    <row r="36">
      <c r="A36" t="s">
        <v>147</v>
      </c>
      <c r="B36" t="n">
        <v>193037421.834377</v>
      </c>
      <c r="C36" t="n">
        <v>3073528.95967036</v>
      </c>
      <c r="D36" t="n">
        <v>116912802.528804</v>
      </c>
      <c r="E36" t="n">
        <v>23668489.654418</v>
      </c>
      <c r="F36" t="n">
        <v>62414185.6604267</v>
      </c>
      <c r="G36" t="n">
        <v>25184144.0280427</v>
      </c>
      <c r="H36" t="n">
        <v>643317949.873952</v>
      </c>
      <c r="I36" t="n">
        <v>24218719.4156754</v>
      </c>
      <c r="J36" t="n">
        <v>38484472.9942391</v>
      </c>
      <c r="K36" t="n">
        <v>42804138.7300118</v>
      </c>
      <c r="L36" t="n">
        <v>57818934.6382727</v>
      </c>
      <c r="M36" t="n">
        <v>69041693.41863</v>
      </c>
      <c r="N36" t="n">
        <v>61586995.2068215</v>
      </c>
      <c r="O36" t="n">
        <v>13235338.4781609</v>
      </c>
      <c r="P36" t="n">
        <v>22856969.1906174</v>
      </c>
      <c r="Q36" t="n">
        <v>44399058.7965554</v>
      </c>
      <c r="R36" t="n">
        <v>25551700.319966</v>
      </c>
      <c r="S36" t="n">
        <v>53887773.6860016</v>
      </c>
      <c r="T36" t="n">
        <v>348065854.830516</v>
      </c>
      <c r="U36" t="n">
        <v>3964124.59821989</v>
      </c>
      <c r="V36" t="n">
        <v>1155260.29898357</v>
      </c>
      <c r="W36" t="n">
        <v>10319275.4223508</v>
      </c>
      <c r="X36" t="n">
        <v>11043333.4747104</v>
      </c>
      <c r="Y36" t="n">
        <v>43261326.3781323</v>
      </c>
      <c r="Z36" t="n">
        <v>73119838.7943872</v>
      </c>
      <c r="AA36" t="n">
        <v>50686707.9124807</v>
      </c>
      <c r="AB36" t="n">
        <v>275288899.686513</v>
      </c>
      <c r="AC36" t="n">
        <v>22296993.6000921</v>
      </c>
      <c r="AD36" t="n">
        <v>17221517.7449568</v>
      </c>
      <c r="AE36" t="n">
        <v>16368462.1524388</v>
      </c>
      <c r="AF36" t="n">
        <v>70333035.3639154</v>
      </c>
      <c r="AG36" t="n">
        <v>37912204.914587</v>
      </c>
      <c r="AH36" t="n">
        <v>11117209.6942531</v>
      </c>
      <c r="AI36" t="n">
        <v>100792.220050394</v>
      </c>
      <c r="AJ36" t="n">
        <v>37250197.8556478</v>
      </c>
      <c r="AK36" t="n">
        <v>4403953.54161726</v>
      </c>
      <c r="AL36" t="n">
        <v>6648074.45469683</v>
      </c>
      <c r="AM36" t="n">
        <v>21372621.8734508</v>
      </c>
      <c r="AN36" t="n">
        <v>8242909.36088687</v>
      </c>
      <c r="AO36" t="n">
        <v>68197329.0782856</v>
      </c>
      <c r="AP36" t="n">
        <v>757154.906703527</v>
      </c>
      <c r="AQ36" t="n">
        <v>79726720.8865581</v>
      </c>
      <c r="AR36" t="n">
        <v>20188145.6766098</v>
      </c>
      <c r="AS36" t="n">
        <v>9551522.97449139</v>
      </c>
      <c r="AT36" t="n">
        <v>7869465.46617925</v>
      </c>
      <c r="AU36" t="n">
        <v>3983574.14785938</v>
      </c>
      <c r="AV36" t="n">
        <v>2817281.2470097</v>
      </c>
      <c r="AW36" t="n">
        <v>3909896.47687949</v>
      </c>
      <c r="AX36" t="n">
        <v>22419276.6703242</v>
      </c>
      <c r="AY36" t="n">
        <v>61128315.7459316</v>
      </c>
      <c r="AZ36" t="n">
        <v>2386643.70043821</v>
      </c>
      <c r="BA36" t="n">
        <v>36320449.7632321</v>
      </c>
      <c r="BB36" t="n">
        <v>134288977.91803</v>
      </c>
      <c r="BC36" t="n">
        <v>22862560.5890019</v>
      </c>
      <c r="BD36" t="n">
        <v>65559394.2945099</v>
      </c>
      <c r="BE36" t="n">
        <v>19076302.9755019</v>
      </c>
      <c r="BF36" t="n">
        <v>11208787.7489303</v>
      </c>
      <c r="BG36" t="n">
        <v>131073886.216206</v>
      </c>
      <c r="BH36" t="n">
        <v>57817792.8126407</v>
      </c>
      <c r="BI36" t="n">
        <v>14399203.700083</v>
      </c>
      <c r="BJ36" t="n">
        <v>25964749.4651464</v>
      </c>
      <c r="BK36" t="n">
        <v>3671900.89468736</v>
      </c>
      <c r="BL36" t="n">
        <v>35138265.8747365</v>
      </c>
      <c r="BM36" t="n">
        <v>23624300.9681258</v>
      </c>
      <c r="BN36" t="n">
        <v>153308145.424317</v>
      </c>
      <c r="BO36" t="n">
        <v>65502652.7648473</v>
      </c>
      <c r="BP36" t="n">
        <v>74517559.3414694</v>
      </c>
      <c r="BQ36" t="n">
        <v>22723038.2904774</v>
      </c>
      <c r="BR36" t="n">
        <v>9207135.5672232</v>
      </c>
      <c r="BS36" t="n">
        <v>200180653.389707</v>
      </c>
      <c r="BT36" t="n">
        <v>40606089.2486326</v>
      </c>
      <c r="BU36" t="n">
        <v>3019000366.88264</v>
      </c>
      <c r="BV36" t="n">
        <v>446396.791780213</v>
      </c>
      <c r="BW36" t="n">
        <v>1047064285.41483</v>
      </c>
      <c r="BX36" t="n">
        <v>120870557.420445</v>
      </c>
      <c r="BY36" t="n">
        <v>20564891.7883432</v>
      </c>
      <c r="BZ36" t="n">
        <v>158556706.618857</v>
      </c>
      <c r="CA36" t="n">
        <v>3583810797.27056</v>
      </c>
      <c r="CB36" t="n">
        <v>1334933648.7195</v>
      </c>
      <c r="CC36" t="n">
        <v>0</v>
      </c>
      <c r="CD36" t="n">
        <v>0</v>
      </c>
      <c r="CE36" t="n">
        <v>63955905.2098852</v>
      </c>
      <c r="CF36" t="n">
        <v>5655722.42957272</v>
      </c>
      <c r="CG36" t="n">
        <v>0</v>
      </c>
      <c r="CH36" t="n">
        <v>0</v>
      </c>
      <c r="CI36" t="n">
        <v>2157484.32005858</v>
      </c>
      <c r="CJ36" t="n">
        <v>0</v>
      </c>
      <c r="CK36" t="n">
        <v>0</v>
      </c>
      <c r="CL36" t="n">
        <v>0</v>
      </c>
      <c r="CM36" t="n">
        <v>60198134.8113195</v>
      </c>
      <c r="CN36" t="n">
        <v>13676446.2122709</v>
      </c>
    </row>
    <row r="37">
      <c r="A37" t="s">
        <v>148</v>
      </c>
      <c r="B37" t="n">
        <v>224253.445317226</v>
      </c>
      <c r="C37" t="n">
        <v>9941.08453767891</v>
      </c>
      <c r="D37" t="n">
        <v>9044738.83284558</v>
      </c>
      <c r="E37" t="n">
        <v>3412006.40660543</v>
      </c>
      <c r="F37" t="n">
        <v>9826652.67760155</v>
      </c>
      <c r="G37" t="n">
        <v>190864.184128579</v>
      </c>
      <c r="H37" t="n">
        <v>54011851.4017917</v>
      </c>
      <c r="I37" t="n">
        <v>2678647.07838603</v>
      </c>
      <c r="J37" t="n">
        <v>3065128.82336737</v>
      </c>
      <c r="K37" t="n">
        <v>651107.618513028</v>
      </c>
      <c r="L37" t="n">
        <v>3879286.30361828</v>
      </c>
      <c r="M37" t="n">
        <v>16553945.4578633</v>
      </c>
      <c r="N37" t="n">
        <v>2516289.51471622</v>
      </c>
      <c r="O37" t="n">
        <v>15316.6200567777</v>
      </c>
      <c r="P37" t="n">
        <v>4174450.24886619</v>
      </c>
      <c r="Q37" t="n">
        <v>6733560.79263162</v>
      </c>
      <c r="R37" t="n">
        <v>1698713.13855014</v>
      </c>
      <c r="S37" t="n">
        <v>5347826.08733235</v>
      </c>
      <c r="T37" t="n">
        <v>20735434.6067863</v>
      </c>
      <c r="U37" t="n">
        <v>78894.3524717146</v>
      </c>
      <c r="V37" t="n">
        <v>0</v>
      </c>
      <c r="W37" t="n">
        <v>867147.13954303</v>
      </c>
      <c r="X37" t="n">
        <v>350414.338002645</v>
      </c>
      <c r="Y37" t="n">
        <v>19474.7305634394</v>
      </c>
      <c r="Z37" t="n">
        <v>2141636.13712815</v>
      </c>
      <c r="AA37" t="n">
        <v>1390803.17444041</v>
      </c>
      <c r="AB37" t="n">
        <v>1740903.70699386</v>
      </c>
      <c r="AC37" t="n">
        <v>21425608.3359805</v>
      </c>
      <c r="AD37" t="n">
        <v>12390951.6080962</v>
      </c>
      <c r="AE37" t="n">
        <v>2459381.00857991</v>
      </c>
      <c r="AF37" t="n">
        <v>18354772.9027367</v>
      </c>
      <c r="AG37" t="n">
        <v>0</v>
      </c>
      <c r="AH37" t="n">
        <v>132195.903520547</v>
      </c>
      <c r="AI37" t="n">
        <v>0</v>
      </c>
      <c r="AJ37" t="n">
        <v>17757459.0953278</v>
      </c>
      <c r="AK37" t="n">
        <v>64531.8021201414</v>
      </c>
      <c r="AL37" t="n">
        <v>38985.8387519597</v>
      </c>
      <c r="AM37" t="n">
        <v>152030.719448939</v>
      </c>
      <c r="AN37" t="n">
        <v>580738.721548317</v>
      </c>
      <c r="AO37" t="n">
        <v>1206434.92774619</v>
      </c>
      <c r="AP37" t="n">
        <v>239688.294087753</v>
      </c>
      <c r="AQ37" t="n">
        <v>1473521.68894011</v>
      </c>
      <c r="AR37" t="n">
        <v>215936.96412438</v>
      </c>
      <c r="AS37" t="n">
        <v>620141.091139039</v>
      </c>
      <c r="AT37" t="n">
        <v>106386.051679031</v>
      </c>
      <c r="AU37" t="n">
        <v>172158.245921346</v>
      </c>
      <c r="AV37" t="n">
        <v>0</v>
      </c>
      <c r="AW37" t="n">
        <v>1810436.95455714</v>
      </c>
      <c r="AX37" t="n">
        <v>3196940.41501004</v>
      </c>
      <c r="AY37" t="n">
        <v>8396311.2401452</v>
      </c>
      <c r="AZ37" t="n">
        <v>0</v>
      </c>
      <c r="BA37" t="n">
        <v>743887.43057881</v>
      </c>
      <c r="BB37" t="n">
        <v>12112256.9044075</v>
      </c>
      <c r="BC37" t="n">
        <v>0</v>
      </c>
      <c r="BD37" t="n">
        <v>48408040.5725971</v>
      </c>
      <c r="BE37" t="n">
        <v>1251854.30301079</v>
      </c>
      <c r="BF37" t="n">
        <v>0</v>
      </c>
      <c r="BG37" t="n">
        <v>0</v>
      </c>
      <c r="BH37" t="n">
        <v>0</v>
      </c>
      <c r="BI37" t="n">
        <v>0</v>
      </c>
      <c r="BJ37" t="n">
        <v>0</v>
      </c>
      <c r="BK37" t="n">
        <v>91410.5146289562</v>
      </c>
      <c r="BL37" t="n">
        <v>623228.130466736</v>
      </c>
      <c r="BM37" t="n">
        <v>696508.793447637</v>
      </c>
      <c r="BN37" t="n">
        <v>2680335.26322876</v>
      </c>
      <c r="BO37" t="n">
        <v>60720656.0862505</v>
      </c>
      <c r="BP37" t="n">
        <v>0</v>
      </c>
      <c r="BQ37" t="n">
        <v>0</v>
      </c>
      <c r="BR37" t="n">
        <v>0</v>
      </c>
      <c r="BS37" t="n">
        <v>0</v>
      </c>
      <c r="BT37" t="n">
        <v>33753.819981738</v>
      </c>
      <c r="BU37" t="n">
        <v>4994128174.48346</v>
      </c>
      <c r="BV37" t="n">
        <v>0</v>
      </c>
      <c r="BW37" t="n">
        <v>530950777.663011</v>
      </c>
      <c r="BX37" t="n">
        <v>0</v>
      </c>
      <c r="BY37" t="n">
        <v>114354.071200033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</row>
    <row r="38">
      <c r="A38" t="s">
        <v>149</v>
      </c>
      <c r="B38" t="n">
        <v>862513.251220102</v>
      </c>
      <c r="C38" t="n">
        <v>0</v>
      </c>
      <c r="D38" t="n">
        <v>55489.1952935311</v>
      </c>
      <c r="E38" t="n">
        <v>0</v>
      </c>
      <c r="F38" t="n">
        <v>0</v>
      </c>
      <c r="G38" t="n">
        <v>1104285.63674392</v>
      </c>
      <c r="H38" t="n">
        <v>5403770.67638797</v>
      </c>
      <c r="I38" t="n">
        <v>0</v>
      </c>
      <c r="J38" t="n">
        <v>45748.1913935429</v>
      </c>
      <c r="K38" t="n">
        <v>0</v>
      </c>
      <c r="L38" t="n">
        <v>22423.6202521288</v>
      </c>
      <c r="M38" t="n">
        <v>139656.457743503</v>
      </c>
      <c r="N38" t="n">
        <v>18233.9819906972</v>
      </c>
      <c r="O38" t="n">
        <v>10211.0800378518</v>
      </c>
      <c r="P38" t="n">
        <v>10316.8371921314</v>
      </c>
      <c r="Q38" t="n">
        <v>0</v>
      </c>
      <c r="R38" t="n">
        <v>87562.5329149556</v>
      </c>
      <c r="S38" t="n">
        <v>239130.434799414</v>
      </c>
      <c r="T38" t="n">
        <v>215193.539284661</v>
      </c>
      <c r="U38" t="n">
        <v>0</v>
      </c>
      <c r="V38" t="n">
        <v>0</v>
      </c>
      <c r="W38" t="n">
        <v>2806.30142246935</v>
      </c>
      <c r="X38" t="n">
        <v>148660.628243546</v>
      </c>
      <c r="Y38" t="n">
        <v>25966.3074179192</v>
      </c>
      <c r="Z38" t="n">
        <v>246554.047389471</v>
      </c>
      <c r="AA38" t="n">
        <v>10005.7782333842</v>
      </c>
      <c r="AB38" t="n">
        <v>139272.296559509</v>
      </c>
      <c r="AC38" t="n">
        <v>216221.735500721</v>
      </c>
      <c r="AD38" t="n">
        <v>515313.677463357</v>
      </c>
      <c r="AE38" t="n">
        <v>195879.903338223</v>
      </c>
      <c r="AF38" t="n">
        <v>662211.41453011</v>
      </c>
      <c r="AG38" t="n">
        <v>0</v>
      </c>
      <c r="AH38" t="n">
        <v>66097.9517602737</v>
      </c>
      <c r="AI38" t="n">
        <v>0</v>
      </c>
      <c r="AJ38" t="n">
        <v>2969047.16073881</v>
      </c>
      <c r="AK38" t="n">
        <v>301148.409893993</v>
      </c>
      <c r="AL38" t="n">
        <v>0</v>
      </c>
      <c r="AM38" t="n">
        <v>469913.132842174</v>
      </c>
      <c r="AN38" t="n">
        <v>0</v>
      </c>
      <c r="AO38" t="n">
        <v>24621.120974412</v>
      </c>
      <c r="AP38" t="n">
        <v>0</v>
      </c>
      <c r="AQ38" t="n">
        <v>0</v>
      </c>
      <c r="AR38" t="n">
        <v>35989.4940207301</v>
      </c>
      <c r="AS38" t="n">
        <v>56376.4628308217</v>
      </c>
      <c r="AT38" t="n">
        <v>45594.0221481561</v>
      </c>
      <c r="AU38" t="n">
        <v>12297.0175658104</v>
      </c>
      <c r="AV38" t="n">
        <v>0</v>
      </c>
      <c r="AW38" t="n">
        <v>1426404.87328745</v>
      </c>
      <c r="AX38" t="n">
        <v>280209.916853469</v>
      </c>
      <c r="AY38" t="n">
        <v>44820.166762341</v>
      </c>
      <c r="AZ38" t="n">
        <v>0</v>
      </c>
      <c r="BA38" t="n">
        <v>29755.4972231524</v>
      </c>
      <c r="BB38" t="n">
        <v>121609.005064333</v>
      </c>
      <c r="BC38" t="n">
        <v>0</v>
      </c>
      <c r="BD38" t="n">
        <v>1366429.44785276</v>
      </c>
      <c r="BE38" t="n">
        <v>0</v>
      </c>
      <c r="BF38" t="n">
        <v>118207.851886384</v>
      </c>
      <c r="BG38" t="n">
        <v>35940.3100903824</v>
      </c>
      <c r="BH38" t="n">
        <v>57585.9283923714</v>
      </c>
      <c r="BI38" t="n">
        <v>13921.7441743166</v>
      </c>
      <c r="BJ38" t="n">
        <v>16227.6044219354</v>
      </c>
      <c r="BK38" t="n">
        <v>146256.82340633</v>
      </c>
      <c r="BL38" t="n">
        <v>588604.345440807</v>
      </c>
      <c r="BM38" t="n">
        <v>780934.10174432</v>
      </c>
      <c r="BN38" t="n">
        <v>27592908.7563395</v>
      </c>
      <c r="BO38" t="n">
        <v>513243.516983912</v>
      </c>
      <c r="BP38" t="n">
        <v>0</v>
      </c>
      <c r="BQ38" t="n">
        <v>0</v>
      </c>
      <c r="BR38" t="n">
        <v>0</v>
      </c>
      <c r="BS38" t="n">
        <v>377910.306151209</v>
      </c>
      <c r="BT38" t="n">
        <v>0</v>
      </c>
      <c r="BU38" t="n">
        <v>4963884287.39034</v>
      </c>
      <c r="BV38" t="n">
        <v>0</v>
      </c>
      <c r="BW38" t="n">
        <v>5506576.81789453</v>
      </c>
      <c r="BX38" t="n">
        <v>23332.9526181971</v>
      </c>
      <c r="BY38" t="n">
        <v>160627.909503619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</row>
    <row r="39">
      <c r="A39" t="s">
        <v>150</v>
      </c>
      <c r="B39" t="n">
        <v>49353.3951951087</v>
      </c>
      <c r="C39" t="n">
        <v>0</v>
      </c>
      <c r="D39" t="n">
        <v>12026.957005756</v>
      </c>
      <c r="E39" t="n">
        <v>3175.90574805883</v>
      </c>
      <c r="F39" t="n">
        <v>8329.09752006116</v>
      </c>
      <c r="G39" t="n">
        <v>60871.0729060321</v>
      </c>
      <c r="H39" t="n">
        <v>871421.657484351</v>
      </c>
      <c r="I39" t="n">
        <v>3259.40218140926</v>
      </c>
      <c r="J39" t="n">
        <v>5453.60840860777</v>
      </c>
      <c r="K39" t="n">
        <v>641.471591701292</v>
      </c>
      <c r="L39" t="n">
        <v>5346.20671258701</v>
      </c>
      <c r="M39" t="n">
        <v>28857.1297731054</v>
      </c>
      <c r="N39" t="n">
        <v>4742.53013659566</v>
      </c>
      <c r="O39" t="n">
        <v>1217.25537685968</v>
      </c>
      <c r="P39" t="n">
        <v>4723.79047857962</v>
      </c>
      <c r="Q39" t="n">
        <v>5659.12957701863</v>
      </c>
      <c r="R39" t="n">
        <v>11766.7719657802</v>
      </c>
      <c r="S39" t="n">
        <v>30626.8870391835</v>
      </c>
      <c r="T39" t="n">
        <v>40978.2715404418</v>
      </c>
      <c r="U39" t="n">
        <v>301.762716832133</v>
      </c>
      <c r="V39" t="n">
        <v>0</v>
      </c>
      <c r="W39" t="n">
        <v>1034.02388225265</v>
      </c>
      <c r="X39" t="n">
        <v>10817.1566193028</v>
      </c>
      <c r="Y39" t="n">
        <v>1125.60890912744</v>
      </c>
      <c r="Z39" t="n">
        <v>15403.04650421</v>
      </c>
      <c r="AA39" t="n">
        <v>2602.43236151749</v>
      </c>
      <c r="AB39" t="n">
        <v>11319.9194497693</v>
      </c>
      <c r="AC39" t="n">
        <v>37491.8324595747</v>
      </c>
      <c r="AD39" t="n">
        <v>23353.6169343065</v>
      </c>
      <c r="AE39" t="n">
        <v>5189.04442088265</v>
      </c>
      <c r="AF39" t="n">
        <v>36194.6308575964</v>
      </c>
      <c r="AG39" t="n">
        <v>0</v>
      </c>
      <c r="AH39" t="n">
        <v>4297.90278873635</v>
      </c>
      <c r="AI39" t="n">
        <v>4.60890268724821</v>
      </c>
      <c r="AJ39" t="n">
        <v>182896.159714106</v>
      </c>
      <c r="AK39" t="n">
        <v>16784.2666774453</v>
      </c>
      <c r="AL39" t="n">
        <v>844.995145492435</v>
      </c>
      <c r="AM39" t="n">
        <v>26960.5350444557</v>
      </c>
      <c r="AN39" t="n">
        <v>484.121943344939</v>
      </c>
      <c r="AO39" t="n">
        <v>2668.24164439893</v>
      </c>
      <c r="AP39" t="n">
        <v>280.816374326585</v>
      </c>
      <c r="AQ39" t="n">
        <v>1330.73819643209</v>
      </c>
      <c r="AR39" t="n">
        <v>1950.12783550266</v>
      </c>
      <c r="AS39" t="n">
        <v>4582.22513646232</v>
      </c>
      <c r="AT39" t="n">
        <v>2635.26303307453</v>
      </c>
      <c r="AU39" t="n">
        <v>799.591888730829</v>
      </c>
      <c r="AV39" t="n">
        <v>0</v>
      </c>
      <c r="AW39" t="n">
        <v>160527.915463523</v>
      </c>
      <c r="AX39" t="n">
        <v>43341.8859085719</v>
      </c>
      <c r="AY39" t="n">
        <v>15219.3955010094</v>
      </c>
      <c r="AZ39" t="n">
        <v>305.206706935898</v>
      </c>
      <c r="BA39" t="n">
        <v>2579.73166772138</v>
      </c>
      <c r="BB39" t="n">
        <v>20032.1082949624</v>
      </c>
      <c r="BC39" t="n">
        <v>0</v>
      </c>
      <c r="BD39" t="n">
        <v>129523.068599408</v>
      </c>
      <c r="BE39" t="n">
        <v>1252.30183310493</v>
      </c>
      <c r="BF39" t="n">
        <v>14518.4857836536</v>
      </c>
      <c r="BG39" t="n">
        <v>3894.92550706496</v>
      </c>
      <c r="BH39" t="n">
        <v>1997.02585340562</v>
      </c>
      <c r="BI39" t="n">
        <v>301.745624069554</v>
      </c>
      <c r="BJ39" t="n">
        <v>1055.17136979522</v>
      </c>
      <c r="BK39" t="n">
        <v>1585.01535082762</v>
      </c>
      <c r="BL39" t="n">
        <v>5253.15135994338</v>
      </c>
      <c r="BM39" t="n">
        <v>27905.5014270575</v>
      </c>
      <c r="BN39" t="n">
        <v>131951.509215806</v>
      </c>
      <c r="BO39" t="n">
        <v>109958.94881018</v>
      </c>
      <c r="BP39" t="n">
        <v>0</v>
      </c>
      <c r="BQ39" t="n">
        <v>1291.9269577788</v>
      </c>
      <c r="BR39" t="n">
        <v>0</v>
      </c>
      <c r="BS39" t="n">
        <v>9010.08219361723</v>
      </c>
      <c r="BT39" t="n">
        <v>0</v>
      </c>
      <c r="BU39" t="n">
        <v>93980125.2899372</v>
      </c>
      <c r="BV39" t="n">
        <v>0</v>
      </c>
      <c r="BW39" t="n">
        <v>931095.28381556</v>
      </c>
      <c r="BX39" t="n">
        <v>249450.855553008</v>
      </c>
      <c r="BY39" t="n">
        <v>77402.4798774534</v>
      </c>
      <c r="BZ39" t="n">
        <v>0</v>
      </c>
      <c r="CA39" t="n">
        <v>0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</row>
    <row r="40">
      <c r="A40" t="s">
        <v>151</v>
      </c>
      <c r="B40" t="n">
        <v>21259144.5099567</v>
      </c>
      <c r="C40" t="n">
        <v>90750.7056862084</v>
      </c>
      <c r="D40" t="n">
        <v>2743827.35240886</v>
      </c>
      <c r="E40" t="n">
        <v>2054219.94524894</v>
      </c>
      <c r="F40" t="n">
        <v>835252.085519024</v>
      </c>
      <c r="G40" t="n">
        <v>28842466.1220686</v>
      </c>
      <c r="H40" t="n">
        <v>1549398058.633</v>
      </c>
      <c r="I40" t="n">
        <v>2745597.42988791</v>
      </c>
      <c r="J40" t="n">
        <v>295820.218066715</v>
      </c>
      <c r="K40" t="n">
        <v>106944.561374652</v>
      </c>
      <c r="L40" t="n">
        <v>1177036.19627134</v>
      </c>
      <c r="M40" t="n">
        <v>7698999.74405802</v>
      </c>
      <c r="N40" t="n">
        <v>1262286.4247832</v>
      </c>
      <c r="O40" t="n">
        <v>497149.093805558</v>
      </c>
      <c r="P40" t="n">
        <v>829969.151908611</v>
      </c>
      <c r="Q40" t="n">
        <v>595879.656654822</v>
      </c>
      <c r="R40" t="n">
        <v>4369755.65482163</v>
      </c>
      <c r="S40" t="n">
        <v>11311840.3706824</v>
      </c>
      <c r="T40" t="n">
        <v>11611422.7999318</v>
      </c>
      <c r="U40" t="n">
        <v>151810.023686269</v>
      </c>
      <c r="V40" t="n">
        <v>3432.37557806136</v>
      </c>
      <c r="W40" t="n">
        <v>202811.659882642</v>
      </c>
      <c r="X40" t="n">
        <v>6914753.30560116</v>
      </c>
      <c r="Y40" t="n">
        <v>1442009.27031324</v>
      </c>
      <c r="Z40" t="n">
        <v>11934154.5858695</v>
      </c>
      <c r="AA40" t="n">
        <v>768789.148457144</v>
      </c>
      <c r="AB40" t="n">
        <v>7403235.34725375</v>
      </c>
      <c r="AC40" t="n">
        <v>16777780.8909704</v>
      </c>
      <c r="AD40" t="n">
        <v>5773364.75787669</v>
      </c>
      <c r="AE40" t="n">
        <v>8957351.86243918</v>
      </c>
      <c r="AF40" t="n">
        <v>15529234.9032395</v>
      </c>
      <c r="AG40" t="n">
        <v>132454.971880715</v>
      </c>
      <c r="AH40" t="n">
        <v>1785053.97566068</v>
      </c>
      <c r="AI40" t="n">
        <v>75544.366754876</v>
      </c>
      <c r="AJ40" t="n">
        <v>83419359.0536452</v>
      </c>
      <c r="AK40" t="n">
        <v>7388313.09259265</v>
      </c>
      <c r="AL40" t="n">
        <v>415212.018294636</v>
      </c>
      <c r="AM40" t="n">
        <v>16086630.7852317</v>
      </c>
      <c r="AN40" t="n">
        <v>67967.6767609728</v>
      </c>
      <c r="AO40" t="n">
        <v>1180003.70054284</v>
      </c>
      <c r="AP40" t="n">
        <v>73921.5997970364</v>
      </c>
      <c r="AQ40" t="n">
        <v>249103.033734711</v>
      </c>
      <c r="AR40" t="n">
        <v>1286792.72419682</v>
      </c>
      <c r="AS40" t="n">
        <v>2734091.28652422</v>
      </c>
      <c r="AT40" t="n">
        <v>1745816.50989663</v>
      </c>
      <c r="AU40" t="n">
        <v>495804.72447676</v>
      </c>
      <c r="AV40" t="n">
        <v>0</v>
      </c>
      <c r="AW40" t="n">
        <v>65712369.6776254</v>
      </c>
      <c r="AX40" t="n">
        <v>11336570.1555294</v>
      </c>
      <c r="AY40" t="n">
        <v>1875301.73475345</v>
      </c>
      <c r="AZ40" t="n">
        <v>235670.064084161</v>
      </c>
      <c r="BA40" t="n">
        <v>1222351.10501737</v>
      </c>
      <c r="BB40" t="n">
        <v>6568392.27797967</v>
      </c>
      <c r="BC40" t="n">
        <v>0</v>
      </c>
      <c r="BD40" t="n">
        <v>20956209.8385064</v>
      </c>
      <c r="BE40" t="n">
        <v>322328.055657195</v>
      </c>
      <c r="BF40" t="n">
        <v>1298919.28833923</v>
      </c>
      <c r="BG40" t="n">
        <v>3978137.69236333</v>
      </c>
      <c r="BH40" t="n">
        <v>1340518.45444617</v>
      </c>
      <c r="BI40" t="n">
        <v>794309.780420268</v>
      </c>
      <c r="BJ40" t="n">
        <v>691317.31929508</v>
      </c>
      <c r="BK40" t="n">
        <v>4311444.91037055</v>
      </c>
      <c r="BL40" t="n">
        <v>8823773.41695504</v>
      </c>
      <c r="BM40" t="n">
        <v>18769909.2492875</v>
      </c>
      <c r="BN40" t="n">
        <v>89211617.2984644</v>
      </c>
      <c r="BO40" t="n">
        <v>31475772.7009624</v>
      </c>
      <c r="BP40" t="n">
        <v>24308.6253392024</v>
      </c>
      <c r="BQ40" t="n">
        <v>695283.948827414</v>
      </c>
      <c r="BR40" t="n">
        <v>27691.508782013</v>
      </c>
      <c r="BS40" t="n">
        <v>5275453.53579229</v>
      </c>
      <c r="BT40" t="n">
        <v>0</v>
      </c>
      <c r="BU40" t="n">
        <v>13221975049.9701</v>
      </c>
      <c r="BV40" t="n">
        <v>0</v>
      </c>
      <c r="BW40" t="n">
        <v>384650816.861277</v>
      </c>
      <c r="BX40" t="n">
        <v>134170424.66286</v>
      </c>
      <c r="BY40" t="n">
        <v>105980257.63353</v>
      </c>
      <c r="BZ40" t="n">
        <v>0</v>
      </c>
      <c r="CA40" t="n">
        <v>0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</row>
    <row r="41">
      <c r="A41" t="s">
        <v>152</v>
      </c>
      <c r="B41" t="n">
        <v>3476693.19922537</v>
      </c>
      <c r="C41" t="n">
        <v>10301.1273828318</v>
      </c>
      <c r="D41" t="n">
        <v>745475.806218726</v>
      </c>
      <c r="E41" t="n">
        <v>344018.412671561</v>
      </c>
      <c r="F41" t="n">
        <v>15827659.6263873</v>
      </c>
      <c r="G41" t="n">
        <v>10161750.7224989</v>
      </c>
      <c r="H41" t="n">
        <v>9596269.53245507</v>
      </c>
      <c r="I41" t="n">
        <v>1035830.73319288</v>
      </c>
      <c r="J41" t="n">
        <v>5361606.41013916</v>
      </c>
      <c r="K41" t="n">
        <v>1161598.22109918</v>
      </c>
      <c r="L41" t="n">
        <v>4084923.50275207</v>
      </c>
      <c r="M41" t="n">
        <v>2505630.36894408</v>
      </c>
      <c r="N41" t="n">
        <v>1150777.3456241</v>
      </c>
      <c r="O41" t="n">
        <v>181041.264879592</v>
      </c>
      <c r="P41" t="n">
        <v>390241.729319679</v>
      </c>
      <c r="Q41" t="n">
        <v>1481726.61666182</v>
      </c>
      <c r="R41" t="n">
        <v>1520910.4242982</v>
      </c>
      <c r="S41" t="n">
        <v>3162781.67761924</v>
      </c>
      <c r="T41" t="n">
        <v>9446977.17630266</v>
      </c>
      <c r="U41" t="n">
        <v>135877.792923078</v>
      </c>
      <c r="V41" t="n">
        <v>16200.1888578396</v>
      </c>
      <c r="W41" t="n">
        <v>394658.104730367</v>
      </c>
      <c r="X41" t="n">
        <v>1480015.35160352</v>
      </c>
      <c r="Y41" t="n">
        <v>803819.359106121</v>
      </c>
      <c r="Z41" t="n">
        <v>1536427.91093563</v>
      </c>
      <c r="AA41" t="n">
        <v>3296149.70056628</v>
      </c>
      <c r="AB41" t="n">
        <v>106576556.40277</v>
      </c>
      <c r="AC41" t="n">
        <v>2830440.88750665</v>
      </c>
      <c r="AD41" t="n">
        <v>882523.25345076</v>
      </c>
      <c r="AE41" t="n">
        <v>1172980.66071826</v>
      </c>
      <c r="AF41" t="n">
        <v>3007556.56301336</v>
      </c>
      <c r="AG41" t="n">
        <v>7393429.23443658</v>
      </c>
      <c r="AH41" t="n">
        <v>416703.068469723</v>
      </c>
      <c r="AI41" t="n">
        <v>26748.6897957107</v>
      </c>
      <c r="AJ41" t="n">
        <v>22381766.2954191</v>
      </c>
      <c r="AK41" t="n">
        <v>345100.266118269</v>
      </c>
      <c r="AL41" t="n">
        <v>356520.45257601</v>
      </c>
      <c r="AM41" t="n">
        <v>10425884.7803721</v>
      </c>
      <c r="AN41" t="n">
        <v>2577034.55194438</v>
      </c>
      <c r="AO41" t="n">
        <v>9393504.54234377</v>
      </c>
      <c r="AP41" t="n">
        <v>1717234.26289418</v>
      </c>
      <c r="AQ41" t="n">
        <v>9534882.22472803</v>
      </c>
      <c r="AR41" t="n">
        <v>31154162.6287074</v>
      </c>
      <c r="AS41" t="n">
        <v>79536668.1200963</v>
      </c>
      <c r="AT41" t="n">
        <v>42310176.0780539</v>
      </c>
      <c r="AU41" t="n">
        <v>1252415.58744124</v>
      </c>
      <c r="AV41" t="n">
        <v>5544972.75698241</v>
      </c>
      <c r="AW41" t="n">
        <v>154346.932294912</v>
      </c>
      <c r="AX41" t="n">
        <v>128723704.643282</v>
      </c>
      <c r="AY41" t="n">
        <v>17819266.8467998</v>
      </c>
      <c r="AZ41" t="n">
        <v>9901314.98204468</v>
      </c>
      <c r="BA41" t="n">
        <v>88461373.2007259</v>
      </c>
      <c r="BB41" t="n">
        <v>104363181.83783</v>
      </c>
      <c r="BC41" t="n">
        <v>7154109.53976875</v>
      </c>
      <c r="BD41" t="n">
        <v>79606803.0330905</v>
      </c>
      <c r="BE41" t="n">
        <v>7979279.63927589</v>
      </c>
      <c r="BF41" t="n">
        <v>7842245.625438</v>
      </c>
      <c r="BG41" t="n">
        <v>46745679.3512108</v>
      </c>
      <c r="BH41" t="n">
        <v>3689300.80689889</v>
      </c>
      <c r="BI41" t="n">
        <v>3696139.87012937</v>
      </c>
      <c r="BJ41" t="n">
        <v>9581553.56324875</v>
      </c>
      <c r="BK41" t="n">
        <v>2152101.96404939</v>
      </c>
      <c r="BL41" t="n">
        <v>5509641.83111275</v>
      </c>
      <c r="BM41" t="n">
        <v>3530766.55803048</v>
      </c>
      <c r="BN41" t="n">
        <v>34488926.5628104</v>
      </c>
      <c r="BO41" t="n">
        <v>10767372.1223144</v>
      </c>
      <c r="BP41" t="n">
        <v>95418524.0943462</v>
      </c>
      <c r="BQ41" t="n">
        <v>55606019.0568132</v>
      </c>
      <c r="BR41" t="n">
        <v>4573857.11274172</v>
      </c>
      <c r="BS41" t="n">
        <v>56347390.7976266</v>
      </c>
      <c r="BT41" t="n">
        <v>777186.974285571</v>
      </c>
      <c r="BU41" t="n">
        <v>2071560859.10804</v>
      </c>
      <c r="BV41" t="n">
        <v>0</v>
      </c>
      <c r="BW41" t="n">
        <v>14155059.9755342</v>
      </c>
      <c r="BX41" t="n">
        <v>1697162.80318905</v>
      </c>
      <c r="BY41" t="n">
        <v>89829.7205964232</v>
      </c>
      <c r="BZ41" t="n">
        <v>940889.0630795</v>
      </c>
      <c r="CA41" t="n">
        <v>1622023049.2629</v>
      </c>
      <c r="CB41" t="n">
        <v>-996190702.081877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346227.18407936</v>
      </c>
      <c r="CN41" t="n">
        <v>98922.0525941028</v>
      </c>
    </row>
    <row r="42">
      <c r="A42" t="s">
        <v>153</v>
      </c>
      <c r="B42" t="n">
        <v>31033858.4365921</v>
      </c>
      <c r="C42" t="n">
        <v>169453.218463869</v>
      </c>
      <c r="D42" t="n">
        <v>18247115.9150518</v>
      </c>
      <c r="E42" t="n">
        <v>13633155.3151376</v>
      </c>
      <c r="F42" t="n">
        <v>9123747.2517748</v>
      </c>
      <c r="G42" t="n">
        <v>24187648.6696065</v>
      </c>
      <c r="H42" t="n">
        <v>45670022.1918647</v>
      </c>
      <c r="I42" t="n">
        <v>6274849.36112922</v>
      </c>
      <c r="J42" t="n">
        <v>34474194.41454</v>
      </c>
      <c r="K42" t="n">
        <v>15518093.5265507</v>
      </c>
      <c r="L42" t="n">
        <v>8663820.44036338</v>
      </c>
      <c r="M42" t="n">
        <v>3941130.68736373</v>
      </c>
      <c r="N42" t="n">
        <v>1087841.49527015</v>
      </c>
      <c r="O42" t="n">
        <v>982688.307776329</v>
      </c>
      <c r="P42" t="n">
        <v>1171472.09447752</v>
      </c>
      <c r="Q42" t="n">
        <v>2830424.11987958</v>
      </c>
      <c r="R42" t="n">
        <v>3420470.25891942</v>
      </c>
      <c r="S42" t="n">
        <v>4029837.08218208</v>
      </c>
      <c r="T42" t="n">
        <v>70600677.2164894</v>
      </c>
      <c r="U42" t="n">
        <v>253800.53487947</v>
      </c>
      <c r="V42" t="n">
        <v>6409.06408695478</v>
      </c>
      <c r="W42" t="n">
        <v>5026714.4112633</v>
      </c>
      <c r="X42" t="n">
        <v>791884.861105012</v>
      </c>
      <c r="Y42" t="n">
        <v>17395696.4811207</v>
      </c>
      <c r="Z42" t="n">
        <v>16347259.4262423</v>
      </c>
      <c r="AA42" t="n">
        <v>12898295.2974859</v>
      </c>
      <c r="AB42" t="n">
        <v>3894844.44354451</v>
      </c>
      <c r="AC42" t="n">
        <v>460707.642656706</v>
      </c>
      <c r="AD42" t="n">
        <v>1913161.54292416</v>
      </c>
      <c r="AE42" t="n">
        <v>587402.487623818</v>
      </c>
      <c r="AF42" t="n">
        <v>1196270.80987213</v>
      </c>
      <c r="AG42" t="n">
        <v>4179793.05921097</v>
      </c>
      <c r="AH42" t="n">
        <v>2851931.54728503</v>
      </c>
      <c r="AI42" t="n">
        <v>3926.70583626164</v>
      </c>
      <c r="AJ42" t="n">
        <v>44737458.8477682</v>
      </c>
      <c r="AK42" t="n">
        <v>244442.847728087</v>
      </c>
      <c r="AL42" t="n">
        <v>249203.538582502</v>
      </c>
      <c r="AM42" t="n">
        <v>2581661.07798601</v>
      </c>
      <c r="AN42" t="n">
        <v>317279.669936746</v>
      </c>
      <c r="AO42" t="n">
        <v>559580.553542102</v>
      </c>
      <c r="AP42" t="n">
        <v>36807.8033991078</v>
      </c>
      <c r="AQ42" t="n">
        <v>4622277.01545728</v>
      </c>
      <c r="AR42" t="n">
        <v>690151.312543627</v>
      </c>
      <c r="AS42" t="n">
        <v>700713.82441326</v>
      </c>
      <c r="AT42" t="n">
        <v>485740.122621591</v>
      </c>
      <c r="AU42" t="n">
        <v>1187800.53069331</v>
      </c>
      <c r="AV42" t="n">
        <v>47956.3413420458</v>
      </c>
      <c r="AW42" t="n">
        <v>1110501.47356343</v>
      </c>
      <c r="AX42" t="n">
        <v>2840503.19233511</v>
      </c>
      <c r="AY42" t="n">
        <v>806437.32215206</v>
      </c>
      <c r="AZ42" t="n">
        <v>370043.924790034</v>
      </c>
      <c r="BA42" t="n">
        <v>929875.277957096</v>
      </c>
      <c r="BB42" t="n">
        <v>12886630.3682119</v>
      </c>
      <c r="BC42" t="n">
        <v>521172.908758021</v>
      </c>
      <c r="BD42" t="n">
        <v>8074494.67374317</v>
      </c>
      <c r="BE42" t="n">
        <v>766007.93776987</v>
      </c>
      <c r="BF42" t="n">
        <v>634333.345243811</v>
      </c>
      <c r="BG42" t="n">
        <v>5271165.94869254</v>
      </c>
      <c r="BH42" t="n">
        <v>1840491.00741948</v>
      </c>
      <c r="BI42" t="n">
        <v>840460.655903558</v>
      </c>
      <c r="BJ42" t="n">
        <v>2846794.89843288</v>
      </c>
      <c r="BK42" t="n">
        <v>220739.413451564</v>
      </c>
      <c r="BL42" t="n">
        <v>2090250.23792935</v>
      </c>
      <c r="BM42" t="n">
        <v>2158638.75160511</v>
      </c>
      <c r="BN42" t="n">
        <v>13842261.8809807</v>
      </c>
      <c r="BO42" t="n">
        <v>2425498.66909854</v>
      </c>
      <c r="BP42" t="n">
        <v>3982972.76016653</v>
      </c>
      <c r="BQ42" t="n">
        <v>15748470.5196508</v>
      </c>
      <c r="BR42" t="n">
        <v>12978370.0103434</v>
      </c>
      <c r="BS42" t="n">
        <v>31363337.0900613</v>
      </c>
      <c r="BT42" t="n">
        <v>16917155.6968199</v>
      </c>
      <c r="BU42" t="n">
        <v>131268665.987286</v>
      </c>
      <c r="BV42" t="n">
        <v>0</v>
      </c>
      <c r="BW42" t="n">
        <v>44962699.3017048</v>
      </c>
      <c r="BX42" t="n">
        <v>0</v>
      </c>
      <c r="BY42" t="n">
        <v>600314.021283319</v>
      </c>
      <c r="BZ42" t="n">
        <v>9645429.93297358</v>
      </c>
      <c r="CA42" t="n">
        <v>204915837.634252</v>
      </c>
      <c r="CB42" t="n">
        <v>7168179.6507699</v>
      </c>
      <c r="CC42" t="n">
        <v>0</v>
      </c>
      <c r="CD42" t="n">
        <v>0</v>
      </c>
      <c r="CE42" t="n">
        <v>1907898.22628854</v>
      </c>
      <c r="CF42" t="n">
        <v>0</v>
      </c>
      <c r="CG42" t="n">
        <v>0</v>
      </c>
      <c r="CH42" t="n">
        <v>0</v>
      </c>
      <c r="CI42" t="n">
        <v>2799179.14951822</v>
      </c>
      <c r="CJ42" t="n">
        <v>0</v>
      </c>
      <c r="CK42" t="n">
        <v>0</v>
      </c>
      <c r="CL42" t="n">
        <v>0</v>
      </c>
      <c r="CM42" t="n">
        <v>8665184.12886002</v>
      </c>
      <c r="CN42" t="n">
        <v>0</v>
      </c>
    </row>
    <row r="43">
      <c r="A43" t="s">
        <v>154</v>
      </c>
      <c r="B43" t="n">
        <v>185828.639931385</v>
      </c>
      <c r="C43" t="n">
        <v>1495.15428080338</v>
      </c>
      <c r="D43" t="n">
        <v>246196.959016552</v>
      </c>
      <c r="E43" t="n">
        <v>75952.4516979656</v>
      </c>
      <c r="F43" t="n">
        <v>89791.2634348571</v>
      </c>
      <c r="G43" t="n">
        <v>64332.7891460699</v>
      </c>
      <c r="H43" t="n">
        <v>495321.366963334</v>
      </c>
      <c r="I43" t="n">
        <v>1413.58809541038</v>
      </c>
      <c r="J43" t="n">
        <v>129011.208375609</v>
      </c>
      <c r="K43" t="n">
        <v>57727.1951063806</v>
      </c>
      <c r="L43" t="n">
        <v>26769.589398601</v>
      </c>
      <c r="M43" t="n">
        <v>10152.1964153284</v>
      </c>
      <c r="N43" t="n">
        <v>5827.63975782236</v>
      </c>
      <c r="O43" t="n">
        <v>5279.18192979525</v>
      </c>
      <c r="P43" t="n">
        <v>1721.38174661808</v>
      </c>
      <c r="Q43" t="n">
        <v>5683.73264126381</v>
      </c>
      <c r="R43" t="n">
        <v>3950.86156131866</v>
      </c>
      <c r="S43" t="n">
        <v>21252.3894915474</v>
      </c>
      <c r="T43" t="n">
        <v>260657.355574813</v>
      </c>
      <c r="U43" t="n">
        <v>2442.96520067338</v>
      </c>
      <c r="V43" t="n">
        <v>0</v>
      </c>
      <c r="W43" t="n">
        <v>7333.50126573938</v>
      </c>
      <c r="X43" t="n">
        <v>199.6320114977</v>
      </c>
      <c r="Y43" t="n">
        <v>19038.6897208112</v>
      </c>
      <c r="Z43" t="n">
        <v>65802.5586518631</v>
      </c>
      <c r="AA43" t="n">
        <v>26147.3649094558</v>
      </c>
      <c r="AB43" t="n">
        <v>7855.03720478196</v>
      </c>
      <c r="AC43" t="n">
        <v>4434.55621253557</v>
      </c>
      <c r="AD43" t="n">
        <v>6605.45141457362</v>
      </c>
      <c r="AE43" t="n">
        <v>2045.87752088491</v>
      </c>
      <c r="AF43" t="n">
        <v>5683.55909679656</v>
      </c>
      <c r="AG43" t="n">
        <v>13748.1674148878</v>
      </c>
      <c r="AH43" t="n">
        <v>3417.29876992252</v>
      </c>
      <c r="AI43" t="n">
        <v>11.9931624432712</v>
      </c>
      <c r="AJ43" t="n">
        <v>4807.34809039105</v>
      </c>
      <c r="AK43" t="n">
        <v>404.403395416712</v>
      </c>
      <c r="AL43" t="n">
        <v>3664.70601621555</v>
      </c>
      <c r="AM43" t="n">
        <v>2338.53260589392</v>
      </c>
      <c r="AN43" t="n">
        <v>839.846054890288</v>
      </c>
      <c r="AO43" t="n">
        <v>925.763539268352</v>
      </c>
      <c r="AP43" t="n">
        <v>0</v>
      </c>
      <c r="AQ43" t="n">
        <v>7310.37897746178</v>
      </c>
      <c r="AR43" t="n">
        <v>3721.35142986666</v>
      </c>
      <c r="AS43" t="n">
        <v>1324.86031545672</v>
      </c>
      <c r="AT43" t="n">
        <v>571.450874193521</v>
      </c>
      <c r="AU43" t="n">
        <v>0</v>
      </c>
      <c r="AV43" t="n">
        <v>253.8829171823</v>
      </c>
      <c r="AW43" t="n">
        <v>5672.76000016031</v>
      </c>
      <c r="AX43" t="n">
        <v>11254.3633664215</v>
      </c>
      <c r="AY43" t="n">
        <v>3089.63483568892</v>
      </c>
      <c r="AZ43" t="n">
        <v>0</v>
      </c>
      <c r="BA43" t="n">
        <v>4475.27217800089</v>
      </c>
      <c r="BB43" t="n">
        <v>688625.272897631</v>
      </c>
      <c r="BC43" t="n">
        <v>41003.4642853292</v>
      </c>
      <c r="BD43" t="n">
        <v>49665.6594561783</v>
      </c>
      <c r="BE43" t="n">
        <v>6155.33374903113</v>
      </c>
      <c r="BF43" t="n">
        <v>84448.5460049599</v>
      </c>
      <c r="BG43" t="n">
        <v>55743.986398221</v>
      </c>
      <c r="BH43" t="n">
        <v>41139.8045516945</v>
      </c>
      <c r="BI43" t="n">
        <v>2355.58300852717</v>
      </c>
      <c r="BJ43" t="n">
        <v>4576.23086671517</v>
      </c>
      <c r="BK43" t="n">
        <v>1031.12106435598</v>
      </c>
      <c r="BL43" t="n">
        <v>7811.20513605781</v>
      </c>
      <c r="BM43" t="n">
        <v>3571.22676625932</v>
      </c>
      <c r="BN43" t="n">
        <v>25781.3467467801</v>
      </c>
      <c r="BO43" t="n">
        <v>14102.4956868159</v>
      </c>
      <c r="BP43" t="n">
        <v>515135.862655498</v>
      </c>
      <c r="BQ43" t="n">
        <v>86286.6500559929</v>
      </c>
      <c r="BR43" t="n">
        <v>314797.813781628</v>
      </c>
      <c r="BS43" t="n">
        <v>243338.914477944</v>
      </c>
      <c r="BT43" t="n">
        <v>53304.5732186209</v>
      </c>
      <c r="BU43" t="n">
        <v>11048745.311561</v>
      </c>
      <c r="BV43" t="n">
        <v>0</v>
      </c>
      <c r="BW43" t="n">
        <v>36.2347983895757</v>
      </c>
      <c r="BX43" t="n">
        <v>0</v>
      </c>
      <c r="BY43" t="n">
        <v>0</v>
      </c>
      <c r="BZ43" t="n">
        <v>23899.3054450908</v>
      </c>
      <c r="CA43" t="n">
        <v>2353696.11367298</v>
      </c>
      <c r="CB43" t="n">
        <v>5015470.48937245</v>
      </c>
      <c r="CC43" t="n">
        <v>0</v>
      </c>
      <c r="CD43" t="n">
        <v>0</v>
      </c>
      <c r="CE43" t="n">
        <v>1105.89357074941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</row>
    <row r="44">
      <c r="A44" t="s">
        <v>155</v>
      </c>
      <c r="B44" t="n">
        <v>95654164.9326472</v>
      </c>
      <c r="C44" t="n">
        <v>2149738.77641892</v>
      </c>
      <c r="D44" t="n">
        <v>37992538.1383936</v>
      </c>
      <c r="E44" t="n">
        <v>14089905.5454716</v>
      </c>
      <c r="F44" t="n">
        <v>25247774.1729126</v>
      </c>
      <c r="G44" t="n">
        <v>13411967.7776419</v>
      </c>
      <c r="H44" t="n">
        <v>393129989.357727</v>
      </c>
      <c r="I44" t="n">
        <v>13626087.2256842</v>
      </c>
      <c r="J44" t="n">
        <v>53839946.7416063</v>
      </c>
      <c r="K44" t="n">
        <v>34019315.1506805</v>
      </c>
      <c r="L44" t="n">
        <v>30432980.4230051</v>
      </c>
      <c r="M44" t="n">
        <v>23825718.9779115</v>
      </c>
      <c r="N44" t="n">
        <v>14417162.1882258</v>
      </c>
      <c r="O44" t="n">
        <v>4693042.58044311</v>
      </c>
      <c r="P44" t="n">
        <v>6000118.31597749</v>
      </c>
      <c r="Q44" t="n">
        <v>15687070.9973516</v>
      </c>
      <c r="R44" t="n">
        <v>13217313.4082125</v>
      </c>
      <c r="S44" t="n">
        <v>20327038.9021604</v>
      </c>
      <c r="T44" t="n">
        <v>297478544.221611</v>
      </c>
      <c r="U44" t="n">
        <v>2363343.46483449</v>
      </c>
      <c r="V44" t="n">
        <v>401269.574459872</v>
      </c>
      <c r="W44" t="n">
        <v>6097628.98583188</v>
      </c>
      <c r="X44" t="n">
        <v>4786556.81282465</v>
      </c>
      <c r="Y44" t="n">
        <v>31935232.5905723</v>
      </c>
      <c r="Z44" t="n">
        <v>22657798.6070647</v>
      </c>
      <c r="AA44" t="n">
        <v>18242365.7988016</v>
      </c>
      <c r="AB44" t="n">
        <v>77912718.8971869</v>
      </c>
      <c r="AC44" t="n">
        <v>27120546.7240137</v>
      </c>
      <c r="AD44" t="n">
        <v>21545149.2188548</v>
      </c>
      <c r="AE44" t="n">
        <v>14437726.8651752</v>
      </c>
      <c r="AF44" t="n">
        <v>54053650.7101588</v>
      </c>
      <c r="AG44" t="n">
        <v>42042688.7841579</v>
      </c>
      <c r="AH44" t="n">
        <v>4418919.61031163</v>
      </c>
      <c r="AI44" t="n">
        <v>30698.8511389136</v>
      </c>
      <c r="AJ44" t="n">
        <v>95500593.7936939</v>
      </c>
      <c r="AK44" t="n">
        <v>2037541.68368594</v>
      </c>
      <c r="AL44" t="n">
        <v>3158508.81519044</v>
      </c>
      <c r="AM44" t="n">
        <v>33827676.4545974</v>
      </c>
      <c r="AN44" t="n">
        <v>8871123.02514519</v>
      </c>
      <c r="AO44" t="n">
        <v>12283306.6473482</v>
      </c>
      <c r="AP44" t="n">
        <v>789221.060962069</v>
      </c>
      <c r="AQ44" t="n">
        <v>17390890.235756</v>
      </c>
      <c r="AR44" t="n">
        <v>11816478.6946975</v>
      </c>
      <c r="AS44" t="n">
        <v>2395331.3911751</v>
      </c>
      <c r="AT44" t="n">
        <v>1879343.90243684</v>
      </c>
      <c r="AU44" t="n">
        <v>2089909.91730781</v>
      </c>
      <c r="AV44" t="n">
        <v>304366.268160539</v>
      </c>
      <c r="AW44" t="n">
        <v>2122104.476123</v>
      </c>
      <c r="AX44" t="n">
        <v>8379307.84397052</v>
      </c>
      <c r="AY44" t="n">
        <v>5970072.74344523</v>
      </c>
      <c r="AZ44" t="n">
        <v>1252342.63846598</v>
      </c>
      <c r="BA44" t="n">
        <v>10114047.3140396</v>
      </c>
      <c r="BB44" t="n">
        <v>63040386.2741656</v>
      </c>
      <c r="BC44" t="n">
        <v>4345763.95050308</v>
      </c>
      <c r="BD44" t="n">
        <v>24504654.788813</v>
      </c>
      <c r="BE44" t="n">
        <v>6663652.41655559</v>
      </c>
      <c r="BF44" t="n">
        <v>4048348.6059313</v>
      </c>
      <c r="BG44" t="n">
        <v>21006338.9634193</v>
      </c>
      <c r="BH44" t="n">
        <v>13975239.9330946</v>
      </c>
      <c r="BI44" t="n">
        <v>4486140.70785641</v>
      </c>
      <c r="BJ44" t="n">
        <v>10616521.9975854</v>
      </c>
      <c r="BK44" t="n">
        <v>2372079.95315358</v>
      </c>
      <c r="BL44" t="n">
        <v>15565191.7293318</v>
      </c>
      <c r="BM44" t="n">
        <v>8986972.43900512</v>
      </c>
      <c r="BN44" t="n">
        <v>44311361.1394532</v>
      </c>
      <c r="BO44" t="n">
        <v>25985343.455086</v>
      </c>
      <c r="BP44" t="n">
        <v>70296967.6559115</v>
      </c>
      <c r="BQ44" t="n">
        <v>10142311.9186631</v>
      </c>
      <c r="BR44" t="n">
        <v>13536951.088746</v>
      </c>
      <c r="BS44" t="n">
        <v>77935463.7884217</v>
      </c>
      <c r="BT44" t="n">
        <v>12638227.3023176</v>
      </c>
      <c r="BU44" t="n">
        <v>1265087396.8839</v>
      </c>
      <c r="BV44" t="n">
        <v>85670.9045949744</v>
      </c>
      <c r="BW44" t="n">
        <v>204927098.79329</v>
      </c>
      <c r="BX44" t="n">
        <v>7880138.852626</v>
      </c>
      <c r="BY44" t="n">
        <v>9584495.49853082</v>
      </c>
      <c r="BZ44" t="n">
        <v>21689017.3466277</v>
      </c>
      <c r="CA44" t="n">
        <v>470890127.106277</v>
      </c>
      <c r="CB44" t="n">
        <v>76575308.046912</v>
      </c>
      <c r="CC44" t="n">
        <v>0</v>
      </c>
      <c r="CD44" t="n">
        <v>0</v>
      </c>
      <c r="CE44" t="n">
        <v>9853881.66676596</v>
      </c>
      <c r="CF44" t="n">
        <v>441931.662630716</v>
      </c>
      <c r="CG44" t="n">
        <v>0</v>
      </c>
      <c r="CH44" t="n">
        <v>0</v>
      </c>
      <c r="CI44" t="n">
        <v>1219065.85297429</v>
      </c>
      <c r="CJ44" t="n">
        <v>549428.55354089</v>
      </c>
      <c r="CK44" t="n">
        <v>0</v>
      </c>
      <c r="CL44" t="n">
        <v>0</v>
      </c>
      <c r="CM44" t="n">
        <v>11630427.9284848</v>
      </c>
      <c r="CN44" t="n">
        <v>1069999.3694206</v>
      </c>
    </row>
    <row r="45">
      <c r="A45" t="s">
        <v>156</v>
      </c>
      <c r="B45" t="n">
        <v>0</v>
      </c>
      <c r="C45" t="n">
        <v>9941.08453767891</v>
      </c>
      <c r="D45" t="n">
        <v>55489.1952935311</v>
      </c>
      <c r="E45" t="n">
        <v>104662.773208755</v>
      </c>
      <c r="F45" t="n">
        <v>8564010.15478124</v>
      </c>
      <c r="G45" t="n">
        <v>14342080.1216618</v>
      </c>
      <c r="H45" t="n">
        <v>15332229.7181726</v>
      </c>
      <c r="I45" t="n">
        <v>601520.747427039</v>
      </c>
      <c r="J45" t="n">
        <v>2607646.90943194</v>
      </c>
      <c r="K45" t="n">
        <v>628910.767881902</v>
      </c>
      <c r="L45" t="n">
        <v>2231150.21508682</v>
      </c>
      <c r="M45" t="n">
        <v>1303460.2722727</v>
      </c>
      <c r="N45" t="n">
        <v>437615.567776734</v>
      </c>
      <c r="O45" t="n">
        <v>71477.5602649628</v>
      </c>
      <c r="P45" t="n">
        <v>159910.976478037</v>
      </c>
      <c r="Q45" t="n">
        <v>522194.510448982</v>
      </c>
      <c r="R45" t="n">
        <v>840600.315983574</v>
      </c>
      <c r="S45" t="n">
        <v>1956521.73926793</v>
      </c>
      <c r="T45" t="n">
        <v>3427725.66146282</v>
      </c>
      <c r="U45" t="n">
        <v>41767.5983673783</v>
      </c>
      <c r="V45" t="n">
        <v>4511.903531138</v>
      </c>
      <c r="W45" t="n">
        <v>204860.003840263</v>
      </c>
      <c r="X45" t="n">
        <v>817633.455339505</v>
      </c>
      <c r="Y45" t="n">
        <v>389494.611268787</v>
      </c>
      <c r="Z45" t="n">
        <v>594630.349586372</v>
      </c>
      <c r="AA45" t="n">
        <v>1610930.29557486</v>
      </c>
      <c r="AB45" t="n">
        <v>27645550.8670624</v>
      </c>
      <c r="AC45" t="n">
        <v>2378439.09050793</v>
      </c>
      <c r="AD45" t="n">
        <v>140540.093853643</v>
      </c>
      <c r="AE45" t="n">
        <v>631168.577423163</v>
      </c>
      <c r="AF45" t="n">
        <v>2144989.14706492</v>
      </c>
      <c r="AG45" t="n">
        <v>34822.7658514531</v>
      </c>
      <c r="AH45" t="n">
        <v>5188689.21318148</v>
      </c>
      <c r="AI45" t="n">
        <v>0</v>
      </c>
      <c r="AJ45" t="n">
        <v>0</v>
      </c>
      <c r="AK45" t="n">
        <v>0</v>
      </c>
      <c r="AL45" t="n">
        <v>155943.355007839</v>
      </c>
      <c r="AM45" t="n">
        <v>2391028.58769694</v>
      </c>
      <c r="AN45" t="n">
        <v>67008.3140248058</v>
      </c>
      <c r="AO45" t="n">
        <v>6204522.48555182</v>
      </c>
      <c r="AP45" t="n">
        <v>1017055.73437236</v>
      </c>
      <c r="AQ45" t="n">
        <v>11767707.9325078</v>
      </c>
      <c r="AR45" t="n">
        <v>26002409.4299775</v>
      </c>
      <c r="AS45" t="n">
        <v>65396696.8837532</v>
      </c>
      <c r="AT45" t="n">
        <v>27751561.4808444</v>
      </c>
      <c r="AU45" t="n">
        <v>15322083.8869998</v>
      </c>
      <c r="AV45" t="n">
        <v>3511111.11111111</v>
      </c>
      <c r="AW45" t="n">
        <v>164585.177687013</v>
      </c>
      <c r="AX45" t="n">
        <v>98481048.959592</v>
      </c>
      <c r="AY45" t="n">
        <v>14880295.3650972</v>
      </c>
      <c r="AZ45" t="n">
        <v>9124766.23434813</v>
      </c>
      <c r="BA45" t="n">
        <v>72662924.2189382</v>
      </c>
      <c r="BB45" t="n">
        <v>116623035.856695</v>
      </c>
      <c r="BC45" t="n">
        <v>5360808.17196029</v>
      </c>
      <c r="BD45" t="n">
        <v>64495469.9386503</v>
      </c>
      <c r="BE45" t="n">
        <v>4795564.94537979</v>
      </c>
      <c r="BF45" t="n">
        <v>6895458.02670574</v>
      </c>
      <c r="BG45" t="n">
        <v>45141029.4735203</v>
      </c>
      <c r="BH45" t="n">
        <v>39100845.3784202</v>
      </c>
      <c r="BI45" t="n">
        <v>9494629.52688389</v>
      </c>
      <c r="BJ45" t="n">
        <v>5387564.66808256</v>
      </c>
      <c r="BK45" t="n">
        <v>45229922.6384075</v>
      </c>
      <c r="BL45" t="n">
        <v>3150764.43735961</v>
      </c>
      <c r="BM45" t="n">
        <v>2807141.50086472</v>
      </c>
      <c r="BN45" t="n">
        <v>26554019.1194291</v>
      </c>
      <c r="BO45" t="n">
        <v>6988007.88508864</v>
      </c>
      <c r="BP45" t="n">
        <v>910689.359396867</v>
      </c>
      <c r="BQ45" t="n">
        <v>139080.874909033</v>
      </c>
      <c r="BR45" t="n">
        <v>382209.009723246</v>
      </c>
      <c r="BS45" t="n">
        <v>340799514.08716</v>
      </c>
      <c r="BT45" t="n">
        <v>11408791.1538274</v>
      </c>
      <c r="BU45" t="n">
        <v>1288755376.48339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</row>
    <row r="46">
      <c r="A46" t="s">
        <v>157</v>
      </c>
      <c r="B46" t="n">
        <v>1230490.88101201</v>
      </c>
      <c r="C46" t="n">
        <v>13796.0028628259</v>
      </c>
      <c r="D46" t="n">
        <v>100077774.296499</v>
      </c>
      <c r="E46" t="n">
        <v>418315.767302639</v>
      </c>
      <c r="F46" t="n">
        <v>761854.582344232</v>
      </c>
      <c r="G46" t="n">
        <v>27384478.9313886</v>
      </c>
      <c r="H46" t="n">
        <v>3351328.57248137</v>
      </c>
      <c r="I46" t="n">
        <v>33912.7879443413</v>
      </c>
      <c r="J46" t="n">
        <v>69837.0881714649</v>
      </c>
      <c r="K46" t="n">
        <v>32857.8839935957</v>
      </c>
      <c r="L46" t="n">
        <v>62237.9435605363</v>
      </c>
      <c r="M46" t="n">
        <v>41346.5474336957</v>
      </c>
      <c r="N46" t="n">
        <v>15182.8143171455</v>
      </c>
      <c r="O46" t="n">
        <v>9919.48737892414</v>
      </c>
      <c r="P46" t="n">
        <v>2505.55611988163</v>
      </c>
      <c r="Q46" t="n">
        <v>11442.4616249983</v>
      </c>
      <c r="R46" t="n">
        <v>24303.4439591049</v>
      </c>
      <c r="S46" t="n">
        <v>102574.780008461</v>
      </c>
      <c r="T46" t="n">
        <v>226113.538729617</v>
      </c>
      <c r="U46" t="n">
        <v>10304.7268931172</v>
      </c>
      <c r="V46" t="n">
        <v>0</v>
      </c>
      <c r="W46" t="n">
        <v>22588.2101100007</v>
      </c>
      <c r="X46" t="n">
        <v>26525.2778659197</v>
      </c>
      <c r="Y46" t="n">
        <v>41087596.7690686</v>
      </c>
      <c r="Z46" t="n">
        <v>555509.90336093</v>
      </c>
      <c r="AA46" t="n">
        <v>55543.1329969559</v>
      </c>
      <c r="AB46" t="n">
        <v>449373.236172384</v>
      </c>
      <c r="AC46" t="n">
        <v>87292.3430778068</v>
      </c>
      <c r="AD46" t="n">
        <v>58511.469139947</v>
      </c>
      <c r="AE46" t="n">
        <v>30204.1682226437</v>
      </c>
      <c r="AF46" t="n">
        <v>135852.380319488</v>
      </c>
      <c r="AG46" t="n">
        <v>5325548.76748234</v>
      </c>
      <c r="AH46" t="n">
        <v>431127.145413604</v>
      </c>
      <c r="AI46" t="n">
        <v>4662.58543315411</v>
      </c>
      <c r="AJ46" t="n">
        <v>1364257.69857434</v>
      </c>
      <c r="AK46" t="n">
        <v>149259.523850814</v>
      </c>
      <c r="AL46" t="n">
        <v>54103.6283308064</v>
      </c>
      <c r="AM46" t="n">
        <v>778725.162338338</v>
      </c>
      <c r="AN46" t="n">
        <v>229381.645961421</v>
      </c>
      <c r="AO46" t="n">
        <v>54669.7783987709</v>
      </c>
      <c r="AP46" t="n">
        <v>3596.04071735017</v>
      </c>
      <c r="AQ46" t="n">
        <v>51122.9669207707</v>
      </c>
      <c r="AR46" t="n">
        <v>64928.9832369586</v>
      </c>
      <c r="AS46" t="n">
        <v>363806.358796039</v>
      </c>
      <c r="AT46" t="n">
        <v>274188.674622467</v>
      </c>
      <c r="AU46" t="n">
        <v>6826.20448097514</v>
      </c>
      <c r="AV46" t="n">
        <v>59970.920144724</v>
      </c>
      <c r="AW46" t="n">
        <v>30454.3241594027</v>
      </c>
      <c r="AX46" t="n">
        <v>385333.549371991</v>
      </c>
      <c r="AY46" t="n">
        <v>136840.816770875</v>
      </c>
      <c r="AZ46" t="n">
        <v>3908.37517214517</v>
      </c>
      <c r="BA46" t="n">
        <v>198211.093762822</v>
      </c>
      <c r="BB46" t="n">
        <v>202519.333859885</v>
      </c>
      <c r="BC46" t="n">
        <v>90519.8875165864</v>
      </c>
      <c r="BD46" t="n">
        <v>652326.714356336</v>
      </c>
      <c r="BE46" t="n">
        <v>144329.031871847</v>
      </c>
      <c r="BF46" t="n">
        <v>98427.6427899982</v>
      </c>
      <c r="BG46" t="n">
        <v>99754.2308424099</v>
      </c>
      <c r="BH46" t="n">
        <v>92703.017536994</v>
      </c>
      <c r="BI46" t="n">
        <v>57960.8055106366</v>
      </c>
      <c r="BJ46" t="n">
        <v>81073.0332659214</v>
      </c>
      <c r="BK46" t="n">
        <v>25371.4716283444</v>
      </c>
      <c r="BL46" t="n">
        <v>153760.233472836</v>
      </c>
      <c r="BM46" t="n">
        <v>99588.935388307</v>
      </c>
      <c r="BN46" t="n">
        <v>403689.035958061</v>
      </c>
      <c r="BO46" t="n">
        <v>257512.008822945</v>
      </c>
      <c r="BP46" t="n">
        <v>1161839.67371645</v>
      </c>
      <c r="BQ46" t="n">
        <v>115807.896480721</v>
      </c>
      <c r="BR46" t="n">
        <v>2556122.4044866</v>
      </c>
      <c r="BS46" t="n">
        <v>7473483.99991416</v>
      </c>
      <c r="BT46" t="n">
        <v>20626426.8798413</v>
      </c>
      <c r="BU46" t="n">
        <v>21143841.8007559</v>
      </c>
      <c r="BV46" t="n">
        <v>0</v>
      </c>
      <c r="BW46" t="n">
        <v>0</v>
      </c>
      <c r="BX46" t="n">
        <v>0</v>
      </c>
      <c r="BY46" t="n">
        <v>0</v>
      </c>
      <c r="BZ46" t="n">
        <v>74670522.9987243</v>
      </c>
      <c r="CA46" t="n">
        <v>341064702.770376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</row>
    <row r="47">
      <c r="A47" t="s">
        <v>158</v>
      </c>
      <c r="B47" t="n">
        <v>0</v>
      </c>
      <c r="C47" t="n">
        <v>367820.12789412</v>
      </c>
      <c r="D47" t="n">
        <v>1165273.10116415</v>
      </c>
      <c r="E47" t="n">
        <v>11073321.4054863</v>
      </c>
      <c r="F47" t="n">
        <v>439180.0079375</v>
      </c>
      <c r="G47" t="n">
        <v>116686182.282608</v>
      </c>
      <c r="H47" t="n">
        <v>0</v>
      </c>
      <c r="I47" t="n">
        <v>6127992.61441296</v>
      </c>
      <c r="J47" t="n">
        <v>19191366.2895912</v>
      </c>
      <c r="K47" t="n">
        <v>991459.328190292</v>
      </c>
      <c r="L47" t="n">
        <v>997851.101219732</v>
      </c>
      <c r="M47" t="n">
        <v>176898.179808438</v>
      </c>
      <c r="N47" t="n">
        <v>0</v>
      </c>
      <c r="O47" t="n">
        <v>20422.1600757036</v>
      </c>
      <c r="P47" t="n">
        <v>14185.6511391807</v>
      </c>
      <c r="Q47" t="n">
        <v>0</v>
      </c>
      <c r="R47" t="n">
        <v>4203001.57991787</v>
      </c>
      <c r="S47" t="n">
        <v>3891304.34809956</v>
      </c>
      <c r="T47" t="n">
        <v>7808451.28261485</v>
      </c>
      <c r="U47" t="n">
        <v>264528.122993396</v>
      </c>
      <c r="V47" t="n">
        <v>0</v>
      </c>
      <c r="W47" t="n">
        <v>1585560.30369518</v>
      </c>
      <c r="X47" t="n">
        <v>3716515.70608866</v>
      </c>
      <c r="Y47" t="n">
        <v>6920020.92687546</v>
      </c>
      <c r="Z47" t="n">
        <v>908865.900180797</v>
      </c>
      <c r="AA47" t="n">
        <v>5353091.35486057</v>
      </c>
      <c r="AB47" t="n">
        <v>1086863593.31333</v>
      </c>
      <c r="AC47" t="n">
        <v>37308077.6345789</v>
      </c>
      <c r="AD47" t="n">
        <v>37735015.1997031</v>
      </c>
      <c r="AE47" t="n">
        <v>11143390.0565745</v>
      </c>
      <c r="AF47" t="n">
        <v>185980636.18075</v>
      </c>
      <c r="AG47" t="n">
        <v>981827883.181721</v>
      </c>
      <c r="AH47" t="n">
        <v>20639085.4371455</v>
      </c>
      <c r="AI47" t="n">
        <v>845892.132225015</v>
      </c>
      <c r="AJ47" t="n">
        <v>697797112.610002</v>
      </c>
      <c r="AK47" t="n">
        <v>12960136.9257951</v>
      </c>
      <c r="AL47" t="n">
        <v>35633056.6192912</v>
      </c>
      <c r="AM47" t="n">
        <v>397809108.899891</v>
      </c>
      <c r="AN47" t="n">
        <v>63434537.2768161</v>
      </c>
      <c r="AO47" t="n">
        <v>31859730.5408891</v>
      </c>
      <c r="AP47" t="n">
        <v>6944482.46654248</v>
      </c>
      <c r="AQ47" t="n">
        <v>2578662.95564518</v>
      </c>
      <c r="AR47" t="n">
        <v>77287438.4095178</v>
      </c>
      <c r="AS47" t="n">
        <v>15672656.6669684</v>
      </c>
      <c r="AT47" t="n">
        <v>67570340.8235674</v>
      </c>
      <c r="AU47" t="n">
        <v>836197.194475108</v>
      </c>
      <c r="AV47" t="n">
        <v>0</v>
      </c>
      <c r="AW47" t="n">
        <v>0</v>
      </c>
      <c r="AX47" t="n">
        <v>0</v>
      </c>
      <c r="AY47" t="n">
        <v>63629696.7469367</v>
      </c>
      <c r="AZ47" t="n">
        <v>9293743.38683606</v>
      </c>
      <c r="BA47" t="n">
        <v>29130631.7814662</v>
      </c>
      <c r="BB47" t="n">
        <v>215491156.973998</v>
      </c>
      <c r="BC47" t="n">
        <v>11577714.9873515</v>
      </c>
      <c r="BD47" t="n">
        <v>51013366.0531697</v>
      </c>
      <c r="BE47" t="n">
        <v>32702286.2540357</v>
      </c>
      <c r="BF47" t="n">
        <v>4990998.19075844</v>
      </c>
      <c r="BG47" t="n">
        <v>39462460.4792399</v>
      </c>
      <c r="BH47" t="n">
        <v>57090689.408197</v>
      </c>
      <c r="BI47" t="n">
        <v>5151045.34449712</v>
      </c>
      <c r="BJ47" t="n">
        <v>21209478.9794696</v>
      </c>
      <c r="BK47" t="n">
        <v>10621901.7998847</v>
      </c>
      <c r="BL47" t="n">
        <v>22055351.0615173</v>
      </c>
      <c r="BM47" t="n">
        <v>2448333.94060382</v>
      </c>
      <c r="BN47" t="n">
        <v>19655791.9303442</v>
      </c>
      <c r="BO47" t="n">
        <v>21872069.8776221</v>
      </c>
      <c r="BP47" t="n">
        <v>63908.0252208328</v>
      </c>
      <c r="BQ47" t="n">
        <v>5066517.58597191</v>
      </c>
      <c r="BR47" t="n">
        <v>23405751.7382902</v>
      </c>
      <c r="BS47" t="n">
        <v>16193456.6185793</v>
      </c>
      <c r="BT47" t="n">
        <v>37027940.5199666</v>
      </c>
      <c r="BU47" t="n">
        <v>415591912.880611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149046492.887325</v>
      </c>
      <c r="CB47" t="n">
        <v>47882507.3140334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</row>
    <row r="48">
      <c r="A48" t="s">
        <v>159</v>
      </c>
      <c r="B48" t="n">
        <v>6419680.86423645</v>
      </c>
      <c r="C48" t="n">
        <v>0</v>
      </c>
      <c r="D48" t="n">
        <v>170663.529700693</v>
      </c>
      <c r="E48" t="n">
        <v>1577322.92254279</v>
      </c>
      <c r="F48" t="n">
        <v>0</v>
      </c>
      <c r="G48" t="n">
        <v>4766085.46339089</v>
      </c>
      <c r="H48" t="n">
        <v>0</v>
      </c>
      <c r="I48" t="n">
        <v>5675406.51506747</v>
      </c>
      <c r="J48" t="n">
        <v>20108936.5860249</v>
      </c>
      <c r="K48" t="n">
        <v>261697.902654389</v>
      </c>
      <c r="L48" t="n">
        <v>3425334.90791744</v>
      </c>
      <c r="M48" t="n">
        <v>2085605.90006993</v>
      </c>
      <c r="N48" t="n">
        <v>4075201.21652645</v>
      </c>
      <c r="O48" t="n">
        <v>219837.621805171</v>
      </c>
      <c r="P48" t="n">
        <v>59494.9557716578</v>
      </c>
      <c r="Q48" t="n">
        <v>584666.006913261</v>
      </c>
      <c r="R48" t="n">
        <v>897696.140527835</v>
      </c>
      <c r="S48" t="n">
        <v>5226320.7233958</v>
      </c>
      <c r="T48" t="n">
        <v>29223960.5252734</v>
      </c>
      <c r="U48" t="n">
        <v>2169566.06591434</v>
      </c>
      <c r="V48" t="n">
        <v>326106.882396902</v>
      </c>
      <c r="W48" t="n">
        <v>3686922.16325969</v>
      </c>
      <c r="X48" t="n">
        <v>3505377.88131671</v>
      </c>
      <c r="Y48" t="n">
        <v>4335864.1375231</v>
      </c>
      <c r="Z48" t="n">
        <v>6616590.66653844</v>
      </c>
      <c r="AA48" t="n">
        <v>15894742.468277</v>
      </c>
      <c r="AB48" t="n">
        <v>248308147.300377</v>
      </c>
      <c r="AC48" t="n">
        <v>72960240.6323538</v>
      </c>
      <c r="AD48" t="n">
        <v>73241945.2528715</v>
      </c>
      <c r="AE48" t="n">
        <v>45228497.686697</v>
      </c>
      <c r="AF48" t="n">
        <v>174448544.146847</v>
      </c>
      <c r="AG48" t="n">
        <v>2748938.53904851</v>
      </c>
      <c r="AH48" t="n">
        <v>8470.50019807304</v>
      </c>
      <c r="AI48" t="n">
        <v>97883.07175957</v>
      </c>
      <c r="AJ48" t="n">
        <v>45898570.8997015</v>
      </c>
      <c r="AK48" t="n">
        <v>1488563.45854964</v>
      </c>
      <c r="AL48" t="n">
        <v>11790709.5263854</v>
      </c>
      <c r="AM48" t="n">
        <v>7701037.81784168</v>
      </c>
      <c r="AN48" t="n">
        <v>39546751.5900643</v>
      </c>
      <c r="AO48" t="n">
        <v>5401727.07574867</v>
      </c>
      <c r="AP48" t="n">
        <v>946391.883177935</v>
      </c>
      <c r="AQ48" t="n">
        <v>3975980.92957791</v>
      </c>
      <c r="AR48" t="n">
        <v>12692443.1139836</v>
      </c>
      <c r="AS48" t="n">
        <v>0</v>
      </c>
      <c r="AT48" t="n">
        <v>0</v>
      </c>
      <c r="AU48" t="n">
        <v>113462.760352048</v>
      </c>
      <c r="AV48" t="n">
        <v>0</v>
      </c>
      <c r="AW48" t="n">
        <v>14061.139496465</v>
      </c>
      <c r="AX48" t="n">
        <v>2892315.02145686</v>
      </c>
      <c r="AY48" t="n">
        <v>5498670.60250561</v>
      </c>
      <c r="AZ48" t="n">
        <v>1284836.27636035</v>
      </c>
      <c r="BA48" t="n">
        <v>3797935.67964783</v>
      </c>
      <c r="BB48" t="n">
        <v>15833630.2296385</v>
      </c>
      <c r="BC48" t="n">
        <v>114933.928167658</v>
      </c>
      <c r="BD48" t="n">
        <v>122109286.476315</v>
      </c>
      <c r="BE48" t="n">
        <v>3178903.52561556</v>
      </c>
      <c r="BF48" t="n">
        <v>1252269.50974882</v>
      </c>
      <c r="BG48" t="n">
        <v>6512568.20254782</v>
      </c>
      <c r="BH48" t="n">
        <v>9044533.67949785</v>
      </c>
      <c r="BI48" t="n">
        <v>1277402.39584206</v>
      </c>
      <c r="BJ48" t="n">
        <v>2087897.52936157</v>
      </c>
      <c r="BK48" t="n">
        <v>2361607.5952229</v>
      </c>
      <c r="BL48" t="n">
        <v>2200783.26142379</v>
      </c>
      <c r="BM48" t="n">
        <v>6361668.52532626</v>
      </c>
      <c r="BN48" t="n">
        <v>10948977.6924297</v>
      </c>
      <c r="BO48" t="n">
        <v>7204621.41157742</v>
      </c>
      <c r="BP48" t="n">
        <v>3570778.7560969</v>
      </c>
      <c r="BQ48" t="n">
        <v>13046666.17453</v>
      </c>
      <c r="BR48" t="n">
        <v>0</v>
      </c>
      <c r="BS48" t="n">
        <v>59858835.2285228</v>
      </c>
      <c r="BT48" t="n">
        <v>640185.304106582</v>
      </c>
      <c r="BU48" t="n">
        <v>2355625.04095412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1918752.29993184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</row>
    <row r="49">
      <c r="A49" t="s">
        <v>160</v>
      </c>
      <c r="B49" t="n">
        <v>561588.924255653</v>
      </c>
      <c r="C49" t="n">
        <v>0</v>
      </c>
      <c r="D49" t="n">
        <v>616163.744182576</v>
      </c>
      <c r="E49" t="n">
        <v>9195.95448601981</v>
      </c>
      <c r="F49" t="n">
        <v>296069.650861302</v>
      </c>
      <c r="G49" t="n">
        <v>1788963.42637358</v>
      </c>
      <c r="H49" t="n">
        <v>9464691.3142596</v>
      </c>
      <c r="I49" t="n">
        <v>91978.8252207961</v>
      </c>
      <c r="J49" t="n">
        <v>10048.8997418795</v>
      </c>
      <c r="K49" t="n">
        <v>49654.9164344865</v>
      </c>
      <c r="L49" t="n">
        <v>430397.042414898</v>
      </c>
      <c r="M49" t="n">
        <v>169958.190818543</v>
      </c>
      <c r="N49" t="n">
        <v>372906.234269643</v>
      </c>
      <c r="O49" t="n">
        <v>4485.86562358237</v>
      </c>
      <c r="P49" t="n">
        <v>17152.7462525026</v>
      </c>
      <c r="Q49" t="n">
        <v>908491.458579136</v>
      </c>
      <c r="R49" t="n">
        <v>79060.355368575</v>
      </c>
      <c r="S49" t="n">
        <v>301336.202817223</v>
      </c>
      <c r="T49" t="n">
        <v>69392.3576773198</v>
      </c>
      <c r="U49" t="n">
        <v>0</v>
      </c>
      <c r="V49" t="n">
        <v>0</v>
      </c>
      <c r="W49" t="n">
        <v>8629.92330258902</v>
      </c>
      <c r="X49" t="n">
        <v>207833.305372508</v>
      </c>
      <c r="Y49" t="n">
        <v>35009.9523313212</v>
      </c>
      <c r="Z49" t="n">
        <v>79754.6579197342</v>
      </c>
      <c r="AA49" t="n">
        <v>35165.3901040383</v>
      </c>
      <c r="AB49" t="n">
        <v>27952572.2411106</v>
      </c>
      <c r="AC49" t="n">
        <v>3833303.47808418</v>
      </c>
      <c r="AD49" t="n">
        <v>862614.995633491</v>
      </c>
      <c r="AE49" t="n">
        <v>2264791.16574414</v>
      </c>
      <c r="AF49" t="n">
        <v>5397792.89293738</v>
      </c>
      <c r="AG49" t="n">
        <v>310188.785713852</v>
      </c>
      <c r="AH49" t="n">
        <v>516182.682427161</v>
      </c>
      <c r="AI49" t="n">
        <v>0</v>
      </c>
      <c r="AJ49" t="n">
        <v>240601.638346359</v>
      </c>
      <c r="AK49" t="n">
        <v>109979.228762415</v>
      </c>
      <c r="AL49" t="n">
        <v>0</v>
      </c>
      <c r="AM49" t="n">
        <v>2685223.21555912</v>
      </c>
      <c r="AN49" t="n">
        <v>671835.823261416</v>
      </c>
      <c r="AO49" t="n">
        <v>367262717.658114</v>
      </c>
      <c r="AP49" t="n">
        <v>204417.704875822</v>
      </c>
      <c r="AQ49" t="n">
        <v>5487929.16389652</v>
      </c>
      <c r="AR49" t="n">
        <v>21964515.5009186</v>
      </c>
      <c r="AS49" t="n">
        <v>4228621.34131045</v>
      </c>
      <c r="AT49" t="n">
        <v>6954726.14169514</v>
      </c>
      <c r="AU49" t="n">
        <v>3330833.97180821</v>
      </c>
      <c r="AV49" t="n">
        <v>510828.069604204</v>
      </c>
      <c r="AW49" t="n">
        <v>0</v>
      </c>
      <c r="AX49" t="n">
        <v>4973687.84905616</v>
      </c>
      <c r="AY49" t="n">
        <v>4869842.3673166</v>
      </c>
      <c r="AZ49" t="n">
        <v>7560940.49092064</v>
      </c>
      <c r="BA49" t="n">
        <v>14644911.7273239</v>
      </c>
      <c r="BB49" t="n">
        <v>53433853.7045511</v>
      </c>
      <c r="BC49" t="n">
        <v>4952626.57477531</v>
      </c>
      <c r="BD49" t="n">
        <v>22098665.44893</v>
      </c>
      <c r="BE49" t="n">
        <v>241579.46794418</v>
      </c>
      <c r="BF49" t="n">
        <v>4102182.98695856</v>
      </c>
      <c r="BG49" t="n">
        <v>14730866.5005174</v>
      </c>
      <c r="BH49" t="n">
        <v>10331529.1816689</v>
      </c>
      <c r="BI49" t="n">
        <v>825257.469022738</v>
      </c>
      <c r="BJ49" t="n">
        <v>8124241.85145754</v>
      </c>
      <c r="BK49" t="n">
        <v>464456.643200097</v>
      </c>
      <c r="BL49" t="n">
        <v>1172822.55280299</v>
      </c>
      <c r="BM49" t="n">
        <v>1343870.3531419</v>
      </c>
      <c r="BN49" t="n">
        <v>1633302.92367198</v>
      </c>
      <c r="BO49" t="n">
        <v>4987478.72443591</v>
      </c>
      <c r="BP49" t="n">
        <v>453088.915597839</v>
      </c>
      <c r="BQ49" t="n">
        <v>10221386.4643577</v>
      </c>
      <c r="BR49" t="n">
        <v>278480.739800494</v>
      </c>
      <c r="BS49" t="n">
        <v>84336490.8040939</v>
      </c>
      <c r="BT49" t="n">
        <v>1637311.13693964</v>
      </c>
      <c r="BU49" t="n">
        <v>826703104.6406</v>
      </c>
      <c r="BV49" t="n">
        <v>0</v>
      </c>
      <c r="BW49" t="n">
        <v>0</v>
      </c>
      <c r="BX49" t="n">
        <v>1191321564.65146</v>
      </c>
      <c r="BY49" t="n">
        <v>0</v>
      </c>
      <c r="BZ49" t="n">
        <v>6801682.35599509</v>
      </c>
      <c r="CA49" t="n">
        <v>872030290.086685</v>
      </c>
      <c r="CB49" t="n">
        <v>-84592763.8779123</v>
      </c>
      <c r="CC49" t="n">
        <v>0</v>
      </c>
      <c r="CD49" t="n">
        <v>0</v>
      </c>
      <c r="CE49" t="n">
        <v>0</v>
      </c>
      <c r="CF49" t="n">
        <v>1292960503.8805</v>
      </c>
      <c r="CG49" t="n">
        <v>0</v>
      </c>
      <c r="CH49" t="n">
        <v>0</v>
      </c>
      <c r="CI49" t="n">
        <v>0</v>
      </c>
      <c r="CJ49" t="n">
        <v>24916943.9840017</v>
      </c>
      <c r="CK49" t="n">
        <v>0</v>
      </c>
      <c r="CL49" t="n">
        <v>0</v>
      </c>
      <c r="CM49" t="n">
        <v>0</v>
      </c>
      <c r="CN49" t="n">
        <v>84797520.5423127</v>
      </c>
    </row>
    <row r="50">
      <c r="A50" t="s">
        <v>161</v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197489.591307573</v>
      </c>
      <c r="AC50" t="n">
        <v>1090975.01421237</v>
      </c>
      <c r="AD50" t="n">
        <v>1106791.93925845</v>
      </c>
      <c r="AE50" t="n">
        <v>0</v>
      </c>
      <c r="AF50" t="n">
        <v>311318.315787548</v>
      </c>
      <c r="AG50" t="n">
        <v>72911.9019510348</v>
      </c>
      <c r="AH50" t="n">
        <v>0</v>
      </c>
      <c r="AI50" t="n">
        <v>0</v>
      </c>
      <c r="AJ50" t="n">
        <v>4439.56711143631</v>
      </c>
      <c r="AK50" t="n">
        <v>0</v>
      </c>
      <c r="AL50" t="n">
        <v>360630.11407211</v>
      </c>
      <c r="AM50" t="n">
        <v>41896.1084906888</v>
      </c>
      <c r="AN50" t="n">
        <v>0</v>
      </c>
      <c r="AO50" t="n">
        <v>837134.945871476</v>
      </c>
      <c r="AP50" t="n">
        <v>61322337.2141541</v>
      </c>
      <c r="AQ50" t="n">
        <v>225886051.2921</v>
      </c>
      <c r="AR50" t="n">
        <v>1032472.70208239</v>
      </c>
      <c r="AS50" t="n">
        <v>132576.89113758</v>
      </c>
      <c r="AT50" t="n">
        <v>101639.921382513</v>
      </c>
      <c r="AU50" t="n">
        <v>0</v>
      </c>
      <c r="AV50" t="n">
        <v>0</v>
      </c>
      <c r="AW50" t="n">
        <v>0</v>
      </c>
      <c r="AX50" t="n">
        <v>197028.675098033</v>
      </c>
      <c r="AY50" t="n">
        <v>1489828.67132679</v>
      </c>
      <c r="AZ50" t="n">
        <v>29483.6947250768</v>
      </c>
      <c r="BA50" t="n">
        <v>275246.825549403</v>
      </c>
      <c r="BB50" t="n">
        <v>13740073.8330252</v>
      </c>
      <c r="BC50" t="n">
        <v>1234506.92689022</v>
      </c>
      <c r="BD50" t="n">
        <v>243687.703099688</v>
      </c>
      <c r="BE50" t="n">
        <v>0</v>
      </c>
      <c r="BF50" t="n">
        <v>2409746.52616062</v>
      </c>
      <c r="BG50" t="n">
        <v>212278.855257921</v>
      </c>
      <c r="BH50" t="n">
        <v>50029.0055976764</v>
      </c>
      <c r="BI50" t="n">
        <v>3290372.64657879</v>
      </c>
      <c r="BJ50" t="n">
        <v>4844565.02550693</v>
      </c>
      <c r="BK50" t="n">
        <v>1401485.49520553</v>
      </c>
      <c r="BL50" t="n">
        <v>591859.94174075</v>
      </c>
      <c r="BM50" t="n">
        <v>5485071.08116713</v>
      </c>
      <c r="BN50" t="n">
        <v>17571298.960874</v>
      </c>
      <c r="BO50" t="n">
        <v>1265265.26478489</v>
      </c>
      <c r="BP50" t="n">
        <v>113838.44555225</v>
      </c>
      <c r="BQ50" t="n">
        <v>3343013.44518934</v>
      </c>
      <c r="BR50" t="n">
        <v>188837.228170989</v>
      </c>
      <c r="BS50" t="n">
        <v>2144686.20150033</v>
      </c>
      <c r="BT50" t="n">
        <v>0</v>
      </c>
      <c r="BU50" t="n">
        <v>80864647.1379367</v>
      </c>
      <c r="BV50" t="n">
        <v>0</v>
      </c>
      <c r="BW50" t="n">
        <v>0</v>
      </c>
      <c r="BX50" t="n">
        <v>43349532.9985933</v>
      </c>
      <c r="BY50" t="n">
        <v>0</v>
      </c>
      <c r="BZ50" t="n">
        <v>-601601.78658579</v>
      </c>
      <c r="CA50" t="n">
        <v>133330822.328156</v>
      </c>
      <c r="CB50" t="n">
        <v>-181679547.05002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</row>
    <row r="51">
      <c r="A51" t="s">
        <v>162</v>
      </c>
      <c r="B51" t="n">
        <v>10294151.3029458</v>
      </c>
      <c r="C51" t="n">
        <v>52366.4815582792</v>
      </c>
      <c r="D51" t="n">
        <v>19876365.1942207</v>
      </c>
      <c r="E51" t="n">
        <v>2473110.23109997</v>
      </c>
      <c r="F51" t="n">
        <v>28753015.7993068</v>
      </c>
      <c r="G51" t="n">
        <v>14715218.9634909</v>
      </c>
      <c r="H51" t="n">
        <v>113420294.010702</v>
      </c>
      <c r="I51" t="n">
        <v>2701814.87585371</v>
      </c>
      <c r="J51" t="n">
        <v>14998492.8187085</v>
      </c>
      <c r="K51" t="n">
        <v>1692642.63780711</v>
      </c>
      <c r="L51" t="n">
        <v>9983958.75228475</v>
      </c>
      <c r="M51" t="n">
        <v>7758325.01747072</v>
      </c>
      <c r="N51" t="n">
        <v>4555553.94105297</v>
      </c>
      <c r="O51" t="n">
        <v>557097.584039167</v>
      </c>
      <c r="P51" t="n">
        <v>469703.222622479</v>
      </c>
      <c r="Q51" t="n">
        <v>6494263.97010462</v>
      </c>
      <c r="R51" t="n">
        <v>2648902.40177162</v>
      </c>
      <c r="S51" t="n">
        <v>7721572.52863168</v>
      </c>
      <c r="T51" t="n">
        <v>17250282.1354469</v>
      </c>
      <c r="U51" t="n">
        <v>328281.520590722</v>
      </c>
      <c r="V51" t="n">
        <v>57720.5306312306</v>
      </c>
      <c r="W51" t="n">
        <v>734911.677941056</v>
      </c>
      <c r="X51" t="n">
        <v>3579872.26172718</v>
      </c>
      <c r="Y51" t="n">
        <v>615520.237276395</v>
      </c>
      <c r="Z51" t="n">
        <v>2015455.96109398</v>
      </c>
      <c r="AA51" t="n">
        <v>3448561.21226366</v>
      </c>
      <c r="AB51" t="n">
        <v>157348688.934313</v>
      </c>
      <c r="AC51" t="n">
        <v>27764670.543594</v>
      </c>
      <c r="AD51" t="n">
        <v>13643052.1015626</v>
      </c>
      <c r="AE51" t="n">
        <v>7206454.28901229</v>
      </c>
      <c r="AF51" t="n">
        <v>65404141.8370109</v>
      </c>
      <c r="AG51" t="n">
        <v>51370498.9436996</v>
      </c>
      <c r="AH51" t="n">
        <v>1293251.34249195</v>
      </c>
      <c r="AI51" t="n">
        <v>40484.8296361527</v>
      </c>
      <c r="AJ51" t="n">
        <v>16783867.8149303</v>
      </c>
      <c r="AK51" t="n">
        <v>12863462.9548679</v>
      </c>
      <c r="AL51" t="n">
        <v>49561297.9126141</v>
      </c>
      <c r="AM51" t="n">
        <v>13468834.6737021</v>
      </c>
      <c r="AN51" t="n">
        <v>2975104.95118314</v>
      </c>
      <c r="AO51" t="n">
        <v>41891891.7385862</v>
      </c>
      <c r="AP51" t="n">
        <v>5242132.44247959</v>
      </c>
      <c r="AQ51" t="n">
        <v>1446310678.44483</v>
      </c>
      <c r="AR51" t="n">
        <v>213445669.287342</v>
      </c>
      <c r="AS51" t="n">
        <v>95133897.8786077</v>
      </c>
      <c r="AT51" t="n">
        <v>53013782.2913562</v>
      </c>
      <c r="AU51" t="n">
        <v>29871353.9295804</v>
      </c>
      <c r="AV51" t="n">
        <v>11635854.9830876</v>
      </c>
      <c r="AW51" t="n">
        <v>268351.736992266</v>
      </c>
      <c r="AX51" t="n">
        <v>119375225.537659</v>
      </c>
      <c r="AY51" t="n">
        <v>24261924.2163803</v>
      </c>
      <c r="AZ51" t="n">
        <v>37098849.380681</v>
      </c>
      <c r="BA51" t="n">
        <v>54620937.9481452</v>
      </c>
      <c r="BB51" t="n">
        <v>188622298.676743</v>
      </c>
      <c r="BC51" t="n">
        <v>30171747.6374078</v>
      </c>
      <c r="BD51" t="n">
        <v>180752143.683462</v>
      </c>
      <c r="BE51" t="n">
        <v>15869971.1463223</v>
      </c>
      <c r="BF51" t="n">
        <v>21704897.5241973</v>
      </c>
      <c r="BG51" t="n">
        <v>79668506.9670204</v>
      </c>
      <c r="BH51" t="n">
        <v>23975725.8405712</v>
      </c>
      <c r="BI51" t="n">
        <v>13766089.9276203</v>
      </c>
      <c r="BJ51" t="n">
        <v>9708298.68221543</v>
      </c>
      <c r="BK51" t="n">
        <v>11625307.4337076</v>
      </c>
      <c r="BL51" t="n">
        <v>36998530.4965722</v>
      </c>
      <c r="BM51" t="n">
        <v>65517633.8963598</v>
      </c>
      <c r="BN51" t="n">
        <v>90161349.7817783</v>
      </c>
      <c r="BO51" t="n">
        <v>85406094.6012793</v>
      </c>
      <c r="BP51" t="n">
        <v>80017783.0391736</v>
      </c>
      <c r="BQ51" t="n">
        <v>136813094.091504</v>
      </c>
      <c r="BR51" t="n">
        <v>27999738.3435766</v>
      </c>
      <c r="BS51" t="n">
        <v>1068403504.87072</v>
      </c>
      <c r="BT51" t="n">
        <v>15886646.1066116</v>
      </c>
      <c r="BU51" t="n">
        <v>4577203008.60433</v>
      </c>
      <c r="BV51" t="n">
        <v>0</v>
      </c>
      <c r="BW51" t="n">
        <v>112400837.825484</v>
      </c>
      <c r="BX51" t="n">
        <v>500553265.324475</v>
      </c>
      <c r="BY51" t="n">
        <v>0</v>
      </c>
      <c r="BZ51" t="n">
        <v>0</v>
      </c>
      <c r="CA51" t="n">
        <v>220732375.91072</v>
      </c>
      <c r="CB51" t="n">
        <v>-2833925.95449036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</row>
    <row r="52">
      <c r="A52" t="s">
        <v>163</v>
      </c>
      <c r="B52" t="n">
        <v>0</v>
      </c>
      <c r="C52" t="n">
        <v>0</v>
      </c>
      <c r="D52" t="n">
        <v>2325176.70520394</v>
      </c>
      <c r="E52" t="n">
        <v>168681.100804815</v>
      </c>
      <c r="F52" t="n">
        <v>1282905.79272845</v>
      </c>
      <c r="G52" t="n">
        <v>54700874.928549</v>
      </c>
      <c r="H52" t="n">
        <v>40840989.8339292</v>
      </c>
      <c r="I52" t="n">
        <v>4591558.28988682</v>
      </c>
      <c r="J52" t="n">
        <v>20082054.8853636</v>
      </c>
      <c r="K52" t="n">
        <v>3972332.77355209</v>
      </c>
      <c r="L52" t="n">
        <v>16982974.2478004</v>
      </c>
      <c r="M52" t="n">
        <v>13832784.0646315</v>
      </c>
      <c r="N52" t="n">
        <v>3070944.73292457</v>
      </c>
      <c r="O52" t="n">
        <v>1663129.9642224</v>
      </c>
      <c r="P52" t="n">
        <v>574930.177470461</v>
      </c>
      <c r="Q52" t="n">
        <v>14456519.8259576</v>
      </c>
      <c r="R52" t="n">
        <v>6819558.16472001</v>
      </c>
      <c r="S52" t="n">
        <v>13055186.3296874</v>
      </c>
      <c r="T52" t="n">
        <v>21462212.5540011</v>
      </c>
      <c r="U52" t="n">
        <v>456248.04686694</v>
      </c>
      <c r="V52" t="n">
        <v>72716.671938311</v>
      </c>
      <c r="W52" t="n">
        <v>1836806.43767215</v>
      </c>
      <c r="X52" t="n">
        <v>2549930.74410087</v>
      </c>
      <c r="Y52" t="n">
        <v>1386245.88520598</v>
      </c>
      <c r="Z52" t="n">
        <v>2346153.58524356</v>
      </c>
      <c r="AA52" t="n">
        <v>3636399.65489846</v>
      </c>
      <c r="AB52" t="n">
        <v>59470231.8416382</v>
      </c>
      <c r="AC52" t="n">
        <v>74686381.1734828</v>
      </c>
      <c r="AD52" t="n">
        <v>29477258.3701898</v>
      </c>
      <c r="AE52" t="n">
        <v>23245648.0426305</v>
      </c>
      <c r="AF52" t="n">
        <v>116087328.875674</v>
      </c>
      <c r="AG52" t="n">
        <v>23136016.5439362</v>
      </c>
      <c r="AH52" t="n">
        <v>0</v>
      </c>
      <c r="AI52" t="n">
        <v>0</v>
      </c>
      <c r="AJ52" t="n">
        <v>2097671.83911363</v>
      </c>
      <c r="AK52" t="n">
        <v>2402835.95091238</v>
      </c>
      <c r="AL52" t="n">
        <v>3298681.41967308</v>
      </c>
      <c r="AM52" t="n">
        <v>10223707.6417158</v>
      </c>
      <c r="AN52" t="n">
        <v>2018071.58104986</v>
      </c>
      <c r="AO52" t="n">
        <v>77083581.3267771</v>
      </c>
      <c r="AP52" t="n">
        <v>1233231.13806345</v>
      </c>
      <c r="AQ52" t="n">
        <v>63252235.1317777</v>
      </c>
      <c r="AR52" t="n">
        <v>249482120.27458</v>
      </c>
      <c r="AS52" t="n">
        <v>234759266.853702</v>
      </c>
      <c r="AT52" t="n">
        <v>57618004.0718988</v>
      </c>
      <c r="AU52" t="n">
        <v>25685560.2851264</v>
      </c>
      <c r="AV52" t="n">
        <v>34897537.1444389</v>
      </c>
      <c r="AW52" t="n">
        <v>22104.6510435854</v>
      </c>
      <c r="AX52" t="n">
        <v>15467062.4246271</v>
      </c>
      <c r="AY52" t="n">
        <v>15201259.0720446</v>
      </c>
      <c r="AZ52" t="n">
        <v>49298638.9504093</v>
      </c>
      <c r="BA52" t="n">
        <v>107004183.900442</v>
      </c>
      <c r="BB52" t="n">
        <v>355719666.60759</v>
      </c>
      <c r="BC52" t="n">
        <v>26870342.0337836</v>
      </c>
      <c r="BD52" t="n">
        <v>539186908.083546</v>
      </c>
      <c r="BE52" t="n">
        <v>26890858.021321</v>
      </c>
      <c r="BF52" t="n">
        <v>53218418.0774135</v>
      </c>
      <c r="BG52" t="n">
        <v>30016841.8550367</v>
      </c>
      <c r="BH52" t="n">
        <v>34752756.8557555</v>
      </c>
      <c r="BI52" t="n">
        <v>4114109.32844099</v>
      </c>
      <c r="BJ52" t="n">
        <v>11866407.6844548</v>
      </c>
      <c r="BK52" t="n">
        <v>17692417.5835203</v>
      </c>
      <c r="BL52" t="n">
        <v>41339432.165867</v>
      </c>
      <c r="BM52" t="n">
        <v>18563463.2023262</v>
      </c>
      <c r="BN52" t="n">
        <v>193490329.890908</v>
      </c>
      <c r="BO52" t="n">
        <v>124978811.135538</v>
      </c>
      <c r="BP52" t="n">
        <v>23254943.2879625</v>
      </c>
      <c r="BQ52" t="n">
        <v>72143594.9562993</v>
      </c>
      <c r="BR52" t="n">
        <v>8418558.05193441</v>
      </c>
      <c r="BS52" t="n">
        <v>530205970.421671</v>
      </c>
      <c r="BT52" t="n">
        <v>27200760.8707507</v>
      </c>
      <c r="BU52" t="n">
        <v>960759053.338768</v>
      </c>
      <c r="BV52" t="n">
        <v>0</v>
      </c>
      <c r="BW52" t="n">
        <v>0</v>
      </c>
      <c r="BX52" t="n">
        <v>757441699.866063</v>
      </c>
      <c r="BY52" t="n">
        <v>0</v>
      </c>
      <c r="BZ52" t="n">
        <v>0</v>
      </c>
      <c r="CA52" t="n">
        <v>141894189.86103</v>
      </c>
      <c r="CB52" t="n">
        <v>-23634130.0250741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46588879.4201577</v>
      </c>
      <c r="CK52" t="n">
        <v>0</v>
      </c>
      <c r="CL52" t="n">
        <v>0</v>
      </c>
      <c r="CM52" t="n">
        <v>0</v>
      </c>
      <c r="CN52" t="n">
        <v>91444431.083606</v>
      </c>
    </row>
    <row r="53">
      <c r="A53" t="s">
        <v>164</v>
      </c>
      <c r="B53" t="n">
        <v>13064993.2375569</v>
      </c>
      <c r="C53" t="n">
        <v>736083.114592351</v>
      </c>
      <c r="D53" t="n">
        <v>27710085.8983967</v>
      </c>
      <c r="E53" t="n">
        <v>3342202.0287135</v>
      </c>
      <c r="F53" t="n">
        <v>8632473.26715915</v>
      </c>
      <c r="G53" t="n">
        <v>18913452.1437621</v>
      </c>
      <c r="H53" t="n">
        <v>43988141.7769476</v>
      </c>
      <c r="I53" t="n">
        <v>1424096.29772773</v>
      </c>
      <c r="J53" t="n">
        <v>5056154.74184642</v>
      </c>
      <c r="K53" t="n">
        <v>1796651.95081901</v>
      </c>
      <c r="L53" t="n">
        <v>4733287.9201132</v>
      </c>
      <c r="M53" t="n">
        <v>4569409.43069361</v>
      </c>
      <c r="N53" t="n">
        <v>12674304.8968884</v>
      </c>
      <c r="O53" t="n">
        <v>1261011.83754572</v>
      </c>
      <c r="P53" t="n">
        <v>918491.154509573</v>
      </c>
      <c r="Q53" t="n">
        <v>2395251.16285978</v>
      </c>
      <c r="R53" t="n">
        <v>1870708.96925188</v>
      </c>
      <c r="S53" t="n">
        <v>7439212.8307442</v>
      </c>
      <c r="T53" t="n">
        <v>14483786.4935864</v>
      </c>
      <c r="U53" t="n">
        <v>389532.798263927</v>
      </c>
      <c r="V53" t="n">
        <v>408735.372942117</v>
      </c>
      <c r="W53" t="n">
        <v>633000.897094348</v>
      </c>
      <c r="X53" t="n">
        <v>1392366.38896853</v>
      </c>
      <c r="Y53" t="n">
        <v>2059699.20625046</v>
      </c>
      <c r="Z53" t="n">
        <v>4766790.11192491</v>
      </c>
      <c r="AA53" t="n">
        <v>3926926.87721255</v>
      </c>
      <c r="AB53" t="n">
        <v>135195166.873633</v>
      </c>
      <c r="AC53" t="n">
        <v>17636587.6550794</v>
      </c>
      <c r="AD53" t="n">
        <v>12130959.9248758</v>
      </c>
      <c r="AE53" t="n">
        <v>12360194.9190992</v>
      </c>
      <c r="AF53" t="n">
        <v>32775036.0453528</v>
      </c>
      <c r="AG53" t="n">
        <v>12048394.147405</v>
      </c>
      <c r="AH53" t="n">
        <v>21767919.8500053</v>
      </c>
      <c r="AI53" t="n">
        <v>36689.0334631088</v>
      </c>
      <c r="AJ53" t="n">
        <v>5856991.28801975</v>
      </c>
      <c r="AK53" t="n">
        <v>12004130.224077</v>
      </c>
      <c r="AL53" t="n">
        <v>31501219.7793097</v>
      </c>
      <c r="AM53" t="n">
        <v>6169025.81053187</v>
      </c>
      <c r="AN53" t="n">
        <v>828423.197783033</v>
      </c>
      <c r="AO53" t="n">
        <v>25730404.574164</v>
      </c>
      <c r="AP53" t="n">
        <v>1902407.34956401</v>
      </c>
      <c r="AQ53" t="n">
        <v>73668518.7572252</v>
      </c>
      <c r="AR53" t="n">
        <v>14393157.9606335</v>
      </c>
      <c r="AS53" t="n">
        <v>261958919.969124</v>
      </c>
      <c r="AT53" t="n">
        <v>185644954.36002</v>
      </c>
      <c r="AU53" t="n">
        <v>1658505.38677942</v>
      </c>
      <c r="AV53" t="n">
        <v>9232525.79258171</v>
      </c>
      <c r="AW53" t="n">
        <v>696818872.475046</v>
      </c>
      <c r="AX53" t="n">
        <v>152013933.134238</v>
      </c>
      <c r="AY53" t="n">
        <v>40677296.3203856</v>
      </c>
      <c r="AZ53" t="n">
        <v>6197208.29948284</v>
      </c>
      <c r="BA53" t="n">
        <v>21669318.1762995</v>
      </c>
      <c r="BB53" t="n">
        <v>75098214.8475402</v>
      </c>
      <c r="BC53" t="n">
        <v>119646279.639625</v>
      </c>
      <c r="BD53" t="n">
        <v>28736178.3127516</v>
      </c>
      <c r="BE53" t="n">
        <v>4308019.84662763</v>
      </c>
      <c r="BF53" t="n">
        <v>5570823.42911173</v>
      </c>
      <c r="BG53" t="n">
        <v>22077916.6445662</v>
      </c>
      <c r="BH53" t="n">
        <v>16140880.7613808</v>
      </c>
      <c r="BI53" t="n">
        <v>3383422.42125571</v>
      </c>
      <c r="BJ53" t="n">
        <v>3998796.45507548</v>
      </c>
      <c r="BK53" t="n">
        <v>4151598.74345554</v>
      </c>
      <c r="BL53" t="n">
        <v>14494574.8056991</v>
      </c>
      <c r="BM53" t="n">
        <v>27153770.2874686</v>
      </c>
      <c r="BN53" t="n">
        <v>35967816.6801967</v>
      </c>
      <c r="BO53" t="n">
        <v>43934141.5785336</v>
      </c>
      <c r="BP53" t="n">
        <v>0</v>
      </c>
      <c r="BQ53" t="n">
        <v>20978697.8345196</v>
      </c>
      <c r="BR53" t="n">
        <v>5513686.25935047</v>
      </c>
      <c r="BS53" t="n">
        <v>91396193.7197805</v>
      </c>
      <c r="BT53" t="n">
        <v>8346655.90050021</v>
      </c>
      <c r="BU53" t="n">
        <v>1035819461.07702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988475188.105266</v>
      </c>
      <c r="CB53" t="n">
        <v>-132134550.893764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</row>
    <row r="54">
      <c r="A54" t="s">
        <v>165</v>
      </c>
      <c r="B54" t="n">
        <v>3694073.45513112</v>
      </c>
      <c r="C54" t="n">
        <v>47839.1562425091</v>
      </c>
      <c r="D54" t="n">
        <v>93905142.4550851</v>
      </c>
      <c r="E54" t="n">
        <v>27936632.1503915</v>
      </c>
      <c r="F54" t="n">
        <v>347706818.382348</v>
      </c>
      <c r="G54" t="n">
        <v>6648114.30083194</v>
      </c>
      <c r="H54" t="n">
        <v>24677211.2793641</v>
      </c>
      <c r="I54" t="n">
        <v>188455.640295058</v>
      </c>
      <c r="J54" t="n">
        <v>1082416.58801558</v>
      </c>
      <c r="K54" t="n">
        <v>8244190.30026731</v>
      </c>
      <c r="L54" t="n">
        <v>17251806.9236713</v>
      </c>
      <c r="M54" t="n">
        <v>12354732.7601045</v>
      </c>
      <c r="N54" t="n">
        <v>2003551.83379926</v>
      </c>
      <c r="O54" t="n">
        <v>1285789.35700292</v>
      </c>
      <c r="P54" t="n">
        <v>1743340.41661494</v>
      </c>
      <c r="Q54" t="n">
        <v>5058944.14870017</v>
      </c>
      <c r="R54" t="n">
        <v>7275729.84887751</v>
      </c>
      <c r="S54" t="n">
        <v>13778546.7951734</v>
      </c>
      <c r="T54" t="n">
        <v>1319117.44649214</v>
      </c>
      <c r="U54" t="n">
        <v>22332.9831826032</v>
      </c>
      <c r="V54" t="n">
        <v>3618.74765204837</v>
      </c>
      <c r="W54" t="n">
        <v>42764.7966440125</v>
      </c>
      <c r="X54" t="n">
        <v>204398.480861269</v>
      </c>
      <c r="Y54" t="n">
        <v>187435.218898696</v>
      </c>
      <c r="Z54" t="n">
        <v>93057.5674336292</v>
      </c>
      <c r="AA54" t="n">
        <v>569780.675268312</v>
      </c>
      <c r="AB54" t="n">
        <v>39193645.1706633</v>
      </c>
      <c r="AC54" t="n">
        <v>1292763.28646777</v>
      </c>
      <c r="AD54" t="n">
        <v>4452416.96328301</v>
      </c>
      <c r="AE54" t="n">
        <v>10054682.2123725</v>
      </c>
      <c r="AF54" t="n">
        <v>6754499.76112765</v>
      </c>
      <c r="AG54" t="n">
        <v>58127994.9025492</v>
      </c>
      <c r="AH54" t="n">
        <v>5420630.59912338</v>
      </c>
      <c r="AI54" t="n">
        <v>168544.320798361</v>
      </c>
      <c r="AJ54" t="n">
        <v>4386620.19099891</v>
      </c>
      <c r="AK54" t="n">
        <v>21285167.7164513</v>
      </c>
      <c r="AL54" t="n">
        <v>6034797.26778709</v>
      </c>
      <c r="AM54" t="n">
        <v>16829822.5812671</v>
      </c>
      <c r="AN54" t="n">
        <v>206017.337602812</v>
      </c>
      <c r="AO54" t="n">
        <v>5489731.60050375</v>
      </c>
      <c r="AP54" t="n">
        <v>3310939.6652796</v>
      </c>
      <c r="AQ54" t="n">
        <v>2642703.29450142</v>
      </c>
      <c r="AR54" t="n">
        <v>1804073.60340156</v>
      </c>
      <c r="AS54" t="n">
        <v>554986522.531282</v>
      </c>
      <c r="AT54" t="n">
        <v>464156378.552665</v>
      </c>
      <c r="AU54" t="n">
        <v>25357145.5736145</v>
      </c>
      <c r="AV54" t="n">
        <v>1022121396.38092</v>
      </c>
      <c r="AW54" t="n">
        <v>44001.5484378512</v>
      </c>
      <c r="AX54" t="n">
        <v>70047632.8784383</v>
      </c>
      <c r="AY54" t="n">
        <v>29165624.5699894</v>
      </c>
      <c r="AZ54" t="n">
        <v>5217797.38405871</v>
      </c>
      <c r="BA54" t="n">
        <v>11646234.4251656</v>
      </c>
      <c r="BB54" t="n">
        <v>44305593.225007</v>
      </c>
      <c r="BC54" t="n">
        <v>140934376.814389</v>
      </c>
      <c r="BD54" t="n">
        <v>17432709.2563751</v>
      </c>
      <c r="BE54" t="n">
        <v>556085.312431096</v>
      </c>
      <c r="BF54" t="n">
        <v>11103065.978084</v>
      </c>
      <c r="BG54" t="n">
        <v>18924091.712819</v>
      </c>
      <c r="BH54" t="n">
        <v>97933812.6422585</v>
      </c>
      <c r="BI54" t="n">
        <v>3651235.92147809</v>
      </c>
      <c r="BJ54" t="n">
        <v>29232277.8664755</v>
      </c>
      <c r="BK54" t="n">
        <v>13185710.9474058</v>
      </c>
      <c r="BL54" t="n">
        <v>2110506.18272786</v>
      </c>
      <c r="BM54" t="n">
        <v>81221573.9840923</v>
      </c>
      <c r="BN54" t="n">
        <v>87010592.6752905</v>
      </c>
      <c r="BO54" t="n">
        <v>52805188.3575453</v>
      </c>
      <c r="BP54" t="n">
        <v>0</v>
      </c>
      <c r="BQ54" t="n">
        <v>63742.3189630947</v>
      </c>
      <c r="BR54" t="n">
        <v>248158.434563584</v>
      </c>
      <c r="BS54" t="n">
        <v>341806887.946377</v>
      </c>
      <c r="BT54" t="n">
        <v>23390266.2928312</v>
      </c>
      <c r="BU54" t="n">
        <v>3162230617.34082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1102011676.37414</v>
      </c>
      <c r="CB54" t="n">
        <v>-855773.161607902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</row>
    <row r="55">
      <c r="A55" t="s">
        <v>166</v>
      </c>
      <c r="B55" t="n">
        <v>11261062.4328483</v>
      </c>
      <c r="C55" t="n">
        <v>605255.057461352</v>
      </c>
      <c r="D55" t="n">
        <v>36159073.0177465</v>
      </c>
      <c r="E55" t="n">
        <v>3375447.55789238</v>
      </c>
      <c r="F55" t="n">
        <v>50533229.6240279</v>
      </c>
      <c r="G55" t="n">
        <v>5376046.22108831</v>
      </c>
      <c r="H55" t="n">
        <v>2164734.16098343</v>
      </c>
      <c r="I55" t="n">
        <v>436902.164764235</v>
      </c>
      <c r="J55" t="n">
        <v>5181986.41745052</v>
      </c>
      <c r="K55" t="n">
        <v>1069025.71335944</v>
      </c>
      <c r="L55" t="n">
        <v>2327401.68156073</v>
      </c>
      <c r="M55" t="n">
        <v>3026447.23151133</v>
      </c>
      <c r="N55" t="n">
        <v>1144340.35591263</v>
      </c>
      <c r="O55" t="n">
        <v>897874.376088836</v>
      </c>
      <c r="P55" t="n">
        <v>954125.069931159</v>
      </c>
      <c r="Q55" t="n">
        <v>3321786.77275328</v>
      </c>
      <c r="R55" t="n">
        <v>1569353.90296217</v>
      </c>
      <c r="S55" t="n">
        <v>2820009.10424487</v>
      </c>
      <c r="T55" t="n">
        <v>14073159.5329331</v>
      </c>
      <c r="U55" t="n">
        <v>271812.734179802</v>
      </c>
      <c r="V55" t="n">
        <v>56796.3879127654</v>
      </c>
      <c r="W55" t="n">
        <v>225595.999538179</v>
      </c>
      <c r="X55" t="n">
        <v>167456.238061577</v>
      </c>
      <c r="Y55" t="n">
        <v>542507.728629384</v>
      </c>
      <c r="Z55" t="n">
        <v>2466216.37924031</v>
      </c>
      <c r="AA55" t="n">
        <v>1504518.21713439</v>
      </c>
      <c r="AB55" t="n">
        <v>149534786.882452</v>
      </c>
      <c r="AC55" t="n">
        <v>13465018.3759526</v>
      </c>
      <c r="AD55" t="n">
        <v>6519736.7672995</v>
      </c>
      <c r="AE55" t="n">
        <v>6594515.91911365</v>
      </c>
      <c r="AF55" t="n">
        <v>23205425.6067477</v>
      </c>
      <c r="AG55" t="n">
        <v>6495388.8357953</v>
      </c>
      <c r="AH55" t="n">
        <v>135901.339824654</v>
      </c>
      <c r="AI55" t="n">
        <v>38062.0321248894</v>
      </c>
      <c r="AJ55" t="n">
        <v>37635610.227544</v>
      </c>
      <c r="AK55" t="n">
        <v>21516525.2294149</v>
      </c>
      <c r="AL55" t="n">
        <v>4356011.24417443</v>
      </c>
      <c r="AM55" t="n">
        <v>10893065.6077063</v>
      </c>
      <c r="AN55" t="n">
        <v>5604159.68509642</v>
      </c>
      <c r="AO55" t="n">
        <v>2391646.3644531</v>
      </c>
      <c r="AP55" t="n">
        <v>2607719.80851778</v>
      </c>
      <c r="AQ55" t="n">
        <v>7524156.4324105</v>
      </c>
      <c r="AR55" t="n">
        <v>4407814.38250991</v>
      </c>
      <c r="AS55" t="n">
        <v>14148429.4313138</v>
      </c>
      <c r="AT55" t="n">
        <v>35157410.175329</v>
      </c>
      <c r="AU55" t="n">
        <v>1222424560.39576</v>
      </c>
      <c r="AV55" t="n">
        <v>35381013.5976397</v>
      </c>
      <c r="AW55" t="n">
        <v>27394039.8946623</v>
      </c>
      <c r="AX55" t="n">
        <v>125703620.535956</v>
      </c>
      <c r="AY55" t="n">
        <v>29541183.3840913</v>
      </c>
      <c r="AZ55" t="n">
        <v>8359881.11056138</v>
      </c>
      <c r="BA55" t="n">
        <v>14706232.1454111</v>
      </c>
      <c r="BB55" t="n">
        <v>60504438.5227622</v>
      </c>
      <c r="BC55" t="n">
        <v>1344230.90523399</v>
      </c>
      <c r="BD55" t="n">
        <v>30722016.2358375</v>
      </c>
      <c r="BE55" t="n">
        <v>5570134.37474149</v>
      </c>
      <c r="BF55" t="n">
        <v>5867085.5889575</v>
      </c>
      <c r="BG55" t="n">
        <v>42941855.4253611</v>
      </c>
      <c r="BH55" t="n">
        <v>35611787.178826</v>
      </c>
      <c r="BI55" t="n">
        <v>8939388.83311974</v>
      </c>
      <c r="BJ55" t="n">
        <v>34912135.5666386</v>
      </c>
      <c r="BK55" t="n">
        <v>9250206.94080429</v>
      </c>
      <c r="BL55" t="n">
        <v>11227896.1311581</v>
      </c>
      <c r="BM55" t="n">
        <v>6621387.76213151</v>
      </c>
      <c r="BN55" t="n">
        <v>32192434.421748</v>
      </c>
      <c r="BO55" t="n">
        <v>13398592.8586768</v>
      </c>
      <c r="BP55" t="n">
        <v>0</v>
      </c>
      <c r="BQ55" t="n">
        <v>3655467.74462245</v>
      </c>
      <c r="BR55" t="n">
        <v>12591713.5576302</v>
      </c>
      <c r="BS55" t="n">
        <v>13964766.9236322</v>
      </c>
      <c r="BT55" t="n">
        <v>23847721.9017728</v>
      </c>
      <c r="BU55" t="n">
        <v>1224738223.00842</v>
      </c>
      <c r="BV55" t="n">
        <v>0</v>
      </c>
      <c r="BW55" t="n">
        <v>0</v>
      </c>
      <c r="BX55" t="n">
        <v>0</v>
      </c>
      <c r="BY55" t="n">
        <v>15500600.5661171</v>
      </c>
      <c r="BZ55" t="n">
        <v>0</v>
      </c>
      <c r="CA55" t="n">
        <v>235813240.017301</v>
      </c>
      <c r="CB55" t="n">
        <v>-646878726.07895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</row>
    <row r="56">
      <c r="A56" t="s">
        <v>167</v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36253649.476915</v>
      </c>
      <c r="AV56" t="n">
        <v>101036719.014964</v>
      </c>
      <c r="AW56" t="n">
        <v>0</v>
      </c>
      <c r="AX56" t="n">
        <v>0</v>
      </c>
      <c r="AY56" t="n">
        <v>0</v>
      </c>
      <c r="AZ56" t="n">
        <v>0</v>
      </c>
      <c r="BA56" t="n">
        <v>0</v>
      </c>
      <c r="BB56" t="n">
        <v>0</v>
      </c>
      <c r="BC56" t="n">
        <v>1307087.6719855</v>
      </c>
      <c r="BD56" t="n">
        <v>0</v>
      </c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t="n">
        <v>0</v>
      </c>
      <c r="BK56" t="n">
        <v>0</v>
      </c>
      <c r="BL56" t="n">
        <v>0</v>
      </c>
      <c r="BM56" t="n">
        <v>0</v>
      </c>
      <c r="BN56" t="n">
        <v>0</v>
      </c>
      <c r="BO56" t="n">
        <v>0</v>
      </c>
      <c r="BP56" t="n">
        <v>0</v>
      </c>
      <c r="BQ56" t="n">
        <v>987418.538212048</v>
      </c>
      <c r="BR56" t="n">
        <v>0</v>
      </c>
      <c r="BS56" t="n">
        <v>17024143.2325544</v>
      </c>
      <c r="BT56" t="n">
        <v>0</v>
      </c>
      <c r="BU56" t="n">
        <v>2218596204.64784</v>
      </c>
      <c r="BV56" t="n">
        <v>0</v>
      </c>
      <c r="BW56" t="n">
        <v>0</v>
      </c>
      <c r="BX56" t="n">
        <v>0</v>
      </c>
      <c r="BY56" t="n">
        <v>0</v>
      </c>
      <c r="BZ56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</row>
    <row r="57">
      <c r="A57" t="s">
        <v>168</v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t="n">
        <v>0</v>
      </c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t="n">
        <v>0</v>
      </c>
      <c r="BK57" t="n">
        <v>0</v>
      </c>
      <c r="BL57" t="n">
        <v>0</v>
      </c>
      <c r="BM57" t="n">
        <v>0</v>
      </c>
      <c r="BN57" t="n">
        <v>0</v>
      </c>
      <c r="BO57" t="n">
        <v>0</v>
      </c>
      <c r="BP57" t="n">
        <v>0</v>
      </c>
      <c r="BQ57" t="n">
        <v>0</v>
      </c>
      <c r="BR57" t="n">
        <v>0</v>
      </c>
      <c r="BS57" t="n">
        <v>0</v>
      </c>
      <c r="BT57" t="n">
        <v>0</v>
      </c>
      <c r="BU57" t="n">
        <v>47751884418.5369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</row>
    <row r="58">
      <c r="A58" t="s">
        <v>169</v>
      </c>
      <c r="B58" t="n">
        <v>59116658.2386258</v>
      </c>
      <c r="C58" t="n">
        <v>129234.098989826</v>
      </c>
      <c r="D58" t="n">
        <v>105873384.620057</v>
      </c>
      <c r="E58" t="n">
        <v>4374903.92012598</v>
      </c>
      <c r="F58" t="n">
        <v>60936226.1013281</v>
      </c>
      <c r="G58" t="n">
        <v>118526658.343848</v>
      </c>
      <c r="H58" t="n">
        <v>423097145.207716</v>
      </c>
      <c r="I58" t="n">
        <v>6889292.31037531</v>
      </c>
      <c r="J58" t="n">
        <v>25115757.075055</v>
      </c>
      <c r="K58" t="n">
        <v>3307330.74403777</v>
      </c>
      <c r="L58" t="n">
        <v>56664488.3771295</v>
      </c>
      <c r="M58" t="n">
        <v>19626387.5282204</v>
      </c>
      <c r="N58" t="n">
        <v>56981193.7209289</v>
      </c>
      <c r="O58" t="n">
        <v>3517717.07303995</v>
      </c>
      <c r="P58" t="n">
        <v>2260676.9497258</v>
      </c>
      <c r="Q58" t="n">
        <v>16091836.0983094</v>
      </c>
      <c r="R58" t="n">
        <v>21155107.9522533</v>
      </c>
      <c r="S58" t="n">
        <v>38608695.6548872</v>
      </c>
      <c r="T58" t="n">
        <v>80574609.4950139</v>
      </c>
      <c r="U58" t="n">
        <v>2538541.81188399</v>
      </c>
      <c r="V58" t="n">
        <v>681297.433201838</v>
      </c>
      <c r="W58" t="n">
        <v>4341348.30056009</v>
      </c>
      <c r="X58" t="n">
        <v>19389593.3694797</v>
      </c>
      <c r="Y58" t="n">
        <v>1129534.37267948</v>
      </c>
      <c r="Z58" t="n">
        <v>22025494.9001261</v>
      </c>
      <c r="AA58" t="n">
        <v>28176271.50521</v>
      </c>
      <c r="AB58" t="n">
        <v>1593762525.67874</v>
      </c>
      <c r="AC58" t="n">
        <v>388334236.959295</v>
      </c>
      <c r="AD58" t="n">
        <v>617322362.252126</v>
      </c>
      <c r="AE58" t="n">
        <v>395481524.839872</v>
      </c>
      <c r="AF58" t="n">
        <v>1551331009.83899</v>
      </c>
      <c r="AG58" t="n">
        <v>13720169.7454725</v>
      </c>
      <c r="AH58" t="n">
        <v>3569289.39505478</v>
      </c>
      <c r="AI58" t="n">
        <v>220510.342161222</v>
      </c>
      <c r="AJ58" t="n">
        <v>108405736.285157</v>
      </c>
      <c r="AK58" t="n">
        <v>33330675.795053</v>
      </c>
      <c r="AL58" t="n">
        <v>19570891.0534838</v>
      </c>
      <c r="AM58" t="n">
        <v>103657308.715185</v>
      </c>
      <c r="AN58" t="n">
        <v>104510633.774022</v>
      </c>
      <c r="AO58" t="n">
        <v>192857240.592569</v>
      </c>
      <c r="AP58" t="n">
        <v>25154314.7552094</v>
      </c>
      <c r="AQ58" t="n">
        <v>545428146.276983</v>
      </c>
      <c r="AR58" t="n">
        <v>224808374.40049</v>
      </c>
      <c r="AS58" t="n">
        <v>369308113.889005</v>
      </c>
      <c r="AT58" t="n">
        <v>445408002.365337</v>
      </c>
      <c r="AU58" t="n">
        <v>272059216.62599</v>
      </c>
      <c r="AV58" t="n">
        <v>10978974.3589744</v>
      </c>
      <c r="AW58" t="n">
        <v>140638034.333553</v>
      </c>
      <c r="AX58" t="n">
        <v>2520055150.40727</v>
      </c>
      <c r="AY58" t="n">
        <v>167851524.524967</v>
      </c>
      <c r="AZ58" t="n">
        <v>288781953.601869</v>
      </c>
      <c r="BA58" t="n">
        <v>262354219.016535</v>
      </c>
      <c r="BB58" t="n">
        <v>1505470839.09441</v>
      </c>
      <c r="BC58" t="n">
        <v>799738816.071719</v>
      </c>
      <c r="BD58" t="n">
        <v>762576946.257669</v>
      </c>
      <c r="BE58" t="n">
        <v>62014936.2414575</v>
      </c>
      <c r="BF58" t="n">
        <v>461969419.377754</v>
      </c>
      <c r="BG58" t="n">
        <v>931662688.317938</v>
      </c>
      <c r="BH58" t="n">
        <v>897073592.496362</v>
      </c>
      <c r="BI58" t="n">
        <v>395795186.87582</v>
      </c>
      <c r="BJ58" t="n">
        <v>206690997.522191</v>
      </c>
      <c r="BK58" t="n">
        <v>277028705.634515</v>
      </c>
      <c r="BL58" t="n">
        <v>690952253.977455</v>
      </c>
      <c r="BM58" t="n">
        <v>63593363.4744767</v>
      </c>
      <c r="BN58" t="n">
        <v>1207667647.32283</v>
      </c>
      <c r="BO58" t="n">
        <v>1249728223.72056</v>
      </c>
      <c r="BP58" t="n">
        <v>4617354.82220517</v>
      </c>
      <c r="BQ58" t="n">
        <v>251438353.139116</v>
      </c>
      <c r="BR58" t="n">
        <v>11411669.0045941</v>
      </c>
      <c r="BS58" t="n">
        <v>448862966.131099</v>
      </c>
      <c r="BT58" t="n">
        <v>26868040.7054635</v>
      </c>
      <c r="BU58" t="n">
        <v>138705867.254417</v>
      </c>
      <c r="BV58" t="n">
        <v>463263438.060334</v>
      </c>
      <c r="BW58" t="n">
        <v>0</v>
      </c>
      <c r="BX58" t="n">
        <v>0</v>
      </c>
      <c r="BY58" t="n">
        <v>2944093665.11012</v>
      </c>
      <c r="BZ58" t="n">
        <v>0</v>
      </c>
      <c r="CA58" t="n">
        <v>41223672.981185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</row>
    <row r="59">
      <c r="A59" t="s">
        <v>170</v>
      </c>
      <c r="B59" t="n">
        <v>12644415.2425023</v>
      </c>
      <c r="C59" t="n">
        <v>177032.842323858</v>
      </c>
      <c r="D59" t="n">
        <v>80041187.0386387</v>
      </c>
      <c r="E59" t="n">
        <v>18631901.5257937</v>
      </c>
      <c r="F59" t="n">
        <v>107887989.106828</v>
      </c>
      <c r="G59" t="n">
        <v>10643389.3404718</v>
      </c>
      <c r="H59" t="n">
        <v>218313157.887383</v>
      </c>
      <c r="I59" t="n">
        <v>741232.352137243</v>
      </c>
      <c r="J59" t="n">
        <v>5331874.96569485</v>
      </c>
      <c r="K59" t="n">
        <v>1421147.29124956</v>
      </c>
      <c r="L59" t="n">
        <v>6275097.09790287</v>
      </c>
      <c r="M59" t="n">
        <v>4325656.48228724</v>
      </c>
      <c r="N59" t="n">
        <v>3160167.27874692</v>
      </c>
      <c r="O59" t="n">
        <v>613713.296535142</v>
      </c>
      <c r="P59" t="n">
        <v>2177215.22986694</v>
      </c>
      <c r="Q59" t="n">
        <v>3447924.57422474</v>
      </c>
      <c r="R59" t="n">
        <v>1347707.74968919</v>
      </c>
      <c r="S59" t="n">
        <v>5177928.32202622</v>
      </c>
      <c r="T59" t="n">
        <v>16482413.5625076</v>
      </c>
      <c r="U59" t="n">
        <v>112161.196896287</v>
      </c>
      <c r="V59" t="n">
        <v>2516642.01391816</v>
      </c>
      <c r="W59" t="n">
        <v>757659.468167788</v>
      </c>
      <c r="X59" t="n">
        <v>1448629.311597</v>
      </c>
      <c r="Y59" t="n">
        <v>2340967.07672786</v>
      </c>
      <c r="Z59" t="n">
        <v>5502191.56391799</v>
      </c>
      <c r="AA59" t="n">
        <v>2914596.20337202</v>
      </c>
      <c r="AB59" t="n">
        <v>130647287.846346</v>
      </c>
      <c r="AC59" t="n">
        <v>4963170.72312783</v>
      </c>
      <c r="AD59" t="n">
        <v>7627478.52629505</v>
      </c>
      <c r="AE59" t="n">
        <v>19261611.8124367</v>
      </c>
      <c r="AF59" t="n">
        <v>27399020.2680478</v>
      </c>
      <c r="AG59" t="n">
        <v>153604197.090669</v>
      </c>
      <c r="AH59" t="n">
        <v>34829124.5520744</v>
      </c>
      <c r="AI59" t="n">
        <v>566800.09113872</v>
      </c>
      <c r="AJ59" t="n">
        <v>107856478.952583</v>
      </c>
      <c r="AK59" t="n">
        <v>5769918.43340564</v>
      </c>
      <c r="AL59" t="n">
        <v>1029003.90462182</v>
      </c>
      <c r="AM59" t="n">
        <v>11849242.8812187</v>
      </c>
      <c r="AN59" t="n">
        <v>16688408.9543448</v>
      </c>
      <c r="AO59" t="n">
        <v>12864041.534456</v>
      </c>
      <c r="AP59" t="n">
        <v>2731622.44545077</v>
      </c>
      <c r="AQ59" t="n">
        <v>53711580.1942868</v>
      </c>
      <c r="AR59" t="n">
        <v>53641725.8935843</v>
      </c>
      <c r="AS59" t="n">
        <v>17887580.800035</v>
      </c>
      <c r="AT59" t="n">
        <v>30351373.0752238</v>
      </c>
      <c r="AU59" t="n">
        <v>13029772.5394117</v>
      </c>
      <c r="AV59" t="n">
        <v>128832.231152106</v>
      </c>
      <c r="AW59" t="n">
        <v>42542624.065349</v>
      </c>
      <c r="AX59" t="n">
        <v>12070051.7650062</v>
      </c>
      <c r="AY59" t="n">
        <v>49410312.5214033</v>
      </c>
      <c r="AZ59" t="n">
        <v>8373757.8125997</v>
      </c>
      <c r="BA59" t="n">
        <v>28074808.7413956</v>
      </c>
      <c r="BB59" t="n">
        <v>124717530.373573</v>
      </c>
      <c r="BC59" t="n">
        <v>112125000.865726</v>
      </c>
      <c r="BD59" t="n">
        <v>56262879.0427055</v>
      </c>
      <c r="BE59" t="n">
        <v>15427680.8282796</v>
      </c>
      <c r="BF59" t="n">
        <v>6503160.55817053</v>
      </c>
      <c r="BG59" t="n">
        <v>22658286.5063132</v>
      </c>
      <c r="BH59" t="n">
        <v>14525501.1993172</v>
      </c>
      <c r="BI59" t="n">
        <v>2271135.58580161</v>
      </c>
      <c r="BJ59" t="n">
        <v>2384121.7850305</v>
      </c>
      <c r="BK59" t="n">
        <v>12348457.4672635</v>
      </c>
      <c r="BL59" t="n">
        <v>26557298.4538969</v>
      </c>
      <c r="BM59" t="n">
        <v>13846625.3000986</v>
      </c>
      <c r="BN59" t="n">
        <v>66226101.1830334</v>
      </c>
      <c r="BO59" t="n">
        <v>17275499.0518349</v>
      </c>
      <c r="BP59" t="n">
        <v>1981490.80690185</v>
      </c>
      <c r="BQ59" t="n">
        <v>2015543.17312739</v>
      </c>
      <c r="BR59" t="n">
        <v>1169136.02620553</v>
      </c>
      <c r="BS59" t="n">
        <v>53100137.2226015</v>
      </c>
      <c r="BT59" t="n">
        <v>2161079.09331545</v>
      </c>
      <c r="BU59" t="n">
        <v>557723359.879251</v>
      </c>
      <c r="BV59" t="n">
        <v>0</v>
      </c>
      <c r="BW59" t="n">
        <v>0</v>
      </c>
      <c r="BX59" t="n">
        <v>0</v>
      </c>
      <c r="BY59" t="n">
        <v>0</v>
      </c>
      <c r="BZ59" t="n">
        <v>0</v>
      </c>
      <c r="CA59" t="n">
        <v>1289090893.23753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</row>
    <row r="60">
      <c r="A60" t="s">
        <v>171</v>
      </c>
      <c r="B60" t="n">
        <v>4313109.26884456</v>
      </c>
      <c r="C60" t="n">
        <v>306603.854641745</v>
      </c>
      <c r="D60" t="n">
        <v>34906778.5625116</v>
      </c>
      <c r="E60" t="n">
        <v>7517648.56230422</v>
      </c>
      <c r="F60" t="n">
        <v>18714261.6492178</v>
      </c>
      <c r="G60" t="n">
        <v>63804292.6727953</v>
      </c>
      <c r="H60" t="n">
        <v>104036219.9802</v>
      </c>
      <c r="I60" t="n">
        <v>2577535.1566113</v>
      </c>
      <c r="J60" t="n">
        <v>7304779.3492873</v>
      </c>
      <c r="K60" t="n">
        <v>2164075.24574001</v>
      </c>
      <c r="L60" t="n">
        <v>13626474.5220764</v>
      </c>
      <c r="M60" t="n">
        <v>9450769.22765762</v>
      </c>
      <c r="N60" t="n">
        <v>37084257.7547493</v>
      </c>
      <c r="O60" t="n">
        <v>934582.162931107</v>
      </c>
      <c r="P60" t="n">
        <v>2000990.49832838</v>
      </c>
      <c r="Q60" t="n">
        <v>10048262.3725112</v>
      </c>
      <c r="R60" t="n">
        <v>3287004.00136266</v>
      </c>
      <c r="S60" t="n">
        <v>24070928.5950179</v>
      </c>
      <c r="T60" t="n">
        <v>13517870.2539851</v>
      </c>
      <c r="U60" t="n">
        <v>452457.7092437</v>
      </c>
      <c r="V60" t="n">
        <v>231911.748674683</v>
      </c>
      <c r="W60" t="n">
        <v>1412662.03085551</v>
      </c>
      <c r="X60" t="n">
        <v>2253604.80165039</v>
      </c>
      <c r="Y60" t="n">
        <v>3173081.49770016</v>
      </c>
      <c r="Z60" t="n">
        <v>13581992.9519057</v>
      </c>
      <c r="AA60" t="n">
        <v>7190254.6886578</v>
      </c>
      <c r="AB60" t="n">
        <v>211126638.169246</v>
      </c>
      <c r="AC60" t="n">
        <v>8323809.28749152</v>
      </c>
      <c r="AD60" t="n">
        <v>11022037.3684484</v>
      </c>
      <c r="AE60" t="n">
        <v>9815526.56563864</v>
      </c>
      <c r="AF60" t="n">
        <v>45876836.7637971</v>
      </c>
      <c r="AG60" t="n">
        <v>11189833.1438322</v>
      </c>
      <c r="AH60" t="n">
        <v>11912237.6208622</v>
      </c>
      <c r="AI60" t="n">
        <v>37442.9835414088</v>
      </c>
      <c r="AJ60" t="n">
        <v>2275346.43675277</v>
      </c>
      <c r="AK60" t="n">
        <v>2111434.43555872</v>
      </c>
      <c r="AL60" t="n">
        <v>2857045.26429697</v>
      </c>
      <c r="AM60" t="n">
        <v>6544883.48605345</v>
      </c>
      <c r="AN60" t="n">
        <v>2581229.75130796</v>
      </c>
      <c r="AO60" t="n">
        <v>71849326.4811843</v>
      </c>
      <c r="AP60" t="n">
        <v>5056909.55735709</v>
      </c>
      <c r="AQ60" t="n">
        <v>45538480.2083583</v>
      </c>
      <c r="AR60" t="n">
        <v>78840069.4124063</v>
      </c>
      <c r="AS60" t="n">
        <v>53173071.5375665</v>
      </c>
      <c r="AT60" t="n">
        <v>119117134.832363</v>
      </c>
      <c r="AU60" t="n">
        <v>109804556.401008</v>
      </c>
      <c r="AV60" t="n">
        <v>22198600.2181726</v>
      </c>
      <c r="AW60" t="n">
        <v>27607853.1658058</v>
      </c>
      <c r="AX60" t="n">
        <v>110790934.573183</v>
      </c>
      <c r="AY60" t="n">
        <v>9725343.24180166</v>
      </c>
      <c r="AZ60" t="n">
        <v>24916708.7261599</v>
      </c>
      <c r="BA60" t="n">
        <v>84246548.9217581</v>
      </c>
      <c r="BB60" t="n">
        <v>248897434.958886</v>
      </c>
      <c r="BC60" t="n">
        <v>154748457.552241</v>
      </c>
      <c r="BD60" t="n">
        <v>108181662.335944</v>
      </c>
      <c r="BE60" t="n">
        <v>6488758.64157759</v>
      </c>
      <c r="BF60" t="n">
        <v>3876386.46289564</v>
      </c>
      <c r="BG60" t="n">
        <v>58417734.9850145</v>
      </c>
      <c r="BH60" t="n">
        <v>139491732.806875</v>
      </c>
      <c r="BI60" t="n">
        <v>15276250.4822698</v>
      </c>
      <c r="BJ60" t="n">
        <v>9083696.87621108</v>
      </c>
      <c r="BK60" t="n">
        <v>28585114.9247668</v>
      </c>
      <c r="BL60" t="n">
        <v>47270559.1965538</v>
      </c>
      <c r="BM60" t="n">
        <v>18421817.0774007</v>
      </c>
      <c r="BN60" t="n">
        <v>32590720.3752138</v>
      </c>
      <c r="BO60" t="n">
        <v>62345140.3895087</v>
      </c>
      <c r="BP60" t="n">
        <v>0</v>
      </c>
      <c r="BQ60" t="n">
        <v>1634042.77124772</v>
      </c>
      <c r="BR60" t="n">
        <v>1044129.4573967</v>
      </c>
      <c r="BS60" t="n">
        <v>179010073.612204</v>
      </c>
      <c r="BT60" t="n">
        <v>9879561.47919571</v>
      </c>
      <c r="BU60" t="n">
        <v>1240093867.33958</v>
      </c>
      <c r="BV60" t="n">
        <v>0</v>
      </c>
      <c r="BW60" t="n">
        <v>0</v>
      </c>
      <c r="BX60" t="n">
        <v>0</v>
      </c>
      <c r="BY60" t="n">
        <v>261045049.705888</v>
      </c>
      <c r="BZ60" t="n">
        <v>0</v>
      </c>
      <c r="CA60" t="n">
        <v>225803235.377806</v>
      </c>
      <c r="CB60" t="n">
        <v>-80707367.3963245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</row>
    <row r="61">
      <c r="A61" t="s">
        <v>172</v>
      </c>
      <c r="B61" t="n">
        <v>5570835.14601652</v>
      </c>
      <c r="C61" t="n">
        <v>106665.122627243</v>
      </c>
      <c r="D61" t="n">
        <v>144631371.322652</v>
      </c>
      <c r="E61" t="n">
        <v>8421996.97863451</v>
      </c>
      <c r="F61" t="n">
        <v>5699588.49376914</v>
      </c>
      <c r="G61" t="n">
        <v>23645781.9594771</v>
      </c>
      <c r="H61" t="n">
        <v>94044613.1861084</v>
      </c>
      <c r="I61" t="n">
        <v>1981396.34275976</v>
      </c>
      <c r="J61" t="n">
        <v>6231202.32579715</v>
      </c>
      <c r="K61" t="n">
        <v>1682589.4024518</v>
      </c>
      <c r="L61" t="n">
        <v>12567613.3873446</v>
      </c>
      <c r="M61" t="n">
        <v>13582872.096201</v>
      </c>
      <c r="N61" t="n">
        <v>5914496.76370626</v>
      </c>
      <c r="O61" t="n">
        <v>424055.399541617</v>
      </c>
      <c r="P61" t="n">
        <v>603564.69351206</v>
      </c>
      <c r="Q61" t="n">
        <v>19416483.5845192</v>
      </c>
      <c r="R61" t="n">
        <v>2994299.76963774</v>
      </c>
      <c r="S61" t="n">
        <v>7727629.35227715</v>
      </c>
      <c r="T61" t="n">
        <v>14679744.5329198</v>
      </c>
      <c r="U61" t="n">
        <v>314896.431663197</v>
      </c>
      <c r="V61" t="n">
        <v>32733.0681200381</v>
      </c>
      <c r="W61" t="n">
        <v>644029.75629073</v>
      </c>
      <c r="X61" t="n">
        <v>2977065.65259245</v>
      </c>
      <c r="Y61" t="n">
        <v>3108411.81170247</v>
      </c>
      <c r="Z61" t="n">
        <v>1315477.21321747</v>
      </c>
      <c r="AA61" t="n">
        <v>4132230.80430382</v>
      </c>
      <c r="AB61" t="n">
        <v>251979212.721625</v>
      </c>
      <c r="AC61" t="n">
        <v>56850743.704428</v>
      </c>
      <c r="AD61" t="n">
        <v>14596360.1622917</v>
      </c>
      <c r="AE61" t="n">
        <v>25495641.1099837</v>
      </c>
      <c r="AF61" t="n">
        <v>60088639.3271143</v>
      </c>
      <c r="AG61" t="n">
        <v>12265139.674882</v>
      </c>
      <c r="AH61" t="n">
        <v>15943000.4893551</v>
      </c>
      <c r="AI61" t="n">
        <v>13163.3104792381</v>
      </c>
      <c r="AJ61" t="n">
        <v>7359786.16443467</v>
      </c>
      <c r="AK61" t="n">
        <v>3058407.98546316</v>
      </c>
      <c r="AL61" t="n">
        <v>553779.392312505</v>
      </c>
      <c r="AM61" t="n">
        <v>2683829.80295406</v>
      </c>
      <c r="AN61" t="n">
        <v>2680935.55531625</v>
      </c>
      <c r="AO61" t="n">
        <v>126433036.026753</v>
      </c>
      <c r="AP61" t="n">
        <v>3505255.93946325</v>
      </c>
      <c r="AQ61" t="n">
        <v>57622680.0211413</v>
      </c>
      <c r="AR61" t="n">
        <v>163840740.773217</v>
      </c>
      <c r="AS61" t="n">
        <v>79951490.595516</v>
      </c>
      <c r="AT61" t="n">
        <v>92850882.0330458</v>
      </c>
      <c r="AU61" t="n">
        <v>60820321.1248336</v>
      </c>
      <c r="AV61" t="n">
        <v>13759495.5273449</v>
      </c>
      <c r="AW61" t="n">
        <v>12852679.8571004</v>
      </c>
      <c r="AX61" t="n">
        <v>37724860.9472844</v>
      </c>
      <c r="AY61" t="n">
        <v>7126750.79527625</v>
      </c>
      <c r="AZ61" t="n">
        <v>39681131.8754048</v>
      </c>
      <c r="BA61" t="n">
        <v>153021340.093806</v>
      </c>
      <c r="BB61" t="n">
        <v>190469328.812878</v>
      </c>
      <c r="BC61" t="n">
        <v>32737304.4481058</v>
      </c>
      <c r="BD61" t="n">
        <v>225841854.334097</v>
      </c>
      <c r="BE61" t="n">
        <v>7589127.74278398</v>
      </c>
      <c r="BF61" t="n">
        <v>16004761.1110191</v>
      </c>
      <c r="BG61" t="n">
        <v>53788545.8281016</v>
      </c>
      <c r="BH61" t="n">
        <v>41393244.088787</v>
      </c>
      <c r="BI61" t="n">
        <v>10370675.4902137</v>
      </c>
      <c r="BJ61" t="n">
        <v>20236130.8562808</v>
      </c>
      <c r="BK61" t="n">
        <v>6861010.30605352</v>
      </c>
      <c r="BL61" t="n">
        <v>28508334.9785136</v>
      </c>
      <c r="BM61" t="n">
        <v>16449647.7788494</v>
      </c>
      <c r="BN61" t="n">
        <v>77003041.5463038</v>
      </c>
      <c r="BO61" t="n">
        <v>47757396.1378374</v>
      </c>
      <c r="BP61" t="n">
        <v>61518244.1901484</v>
      </c>
      <c r="BQ61" t="n">
        <v>165677651.826848</v>
      </c>
      <c r="BR61" t="n">
        <v>1761576.21871216</v>
      </c>
      <c r="BS61" t="n">
        <v>467731512.886977</v>
      </c>
      <c r="BT61" t="n">
        <v>40722778.6050077</v>
      </c>
      <c r="BU61" t="n">
        <v>0</v>
      </c>
      <c r="BV61" t="n">
        <v>0</v>
      </c>
      <c r="BW61" t="n">
        <v>896313062.706227</v>
      </c>
      <c r="BX61" t="n">
        <v>4963772872.40798</v>
      </c>
      <c r="BY61" t="n">
        <v>0</v>
      </c>
      <c r="BZ61" t="n">
        <v>0</v>
      </c>
      <c r="CA61" t="n">
        <v>1095430782.34566</v>
      </c>
      <c r="CB61" t="n">
        <v>-1273417067.22324</v>
      </c>
      <c r="CC61" t="n">
        <v>0</v>
      </c>
      <c r="CD61" t="n">
        <v>0</v>
      </c>
      <c r="CE61" t="n">
        <v>683571787.961669</v>
      </c>
      <c r="CF61" t="n">
        <v>1751095114.91566</v>
      </c>
      <c r="CG61" t="n">
        <v>0</v>
      </c>
      <c r="CH61" t="n">
        <v>0</v>
      </c>
      <c r="CI61" t="n">
        <v>0</v>
      </c>
      <c r="CJ61" t="n">
        <v>4866174762.52329</v>
      </c>
      <c r="CK61" t="n">
        <v>0</v>
      </c>
      <c r="CL61" t="n">
        <v>0</v>
      </c>
      <c r="CM61" t="n">
        <v>18328820.1810058</v>
      </c>
      <c r="CN61" t="n">
        <v>120859634.822847</v>
      </c>
    </row>
    <row r="62">
      <c r="A62" t="s">
        <v>173</v>
      </c>
      <c r="B62" t="n">
        <v>7303830.18563285</v>
      </c>
      <c r="C62" t="n">
        <v>498022.559564084</v>
      </c>
      <c r="D62" t="n">
        <v>39666957.2111505</v>
      </c>
      <c r="E62" t="n">
        <v>8115838.38115637</v>
      </c>
      <c r="F62" t="n">
        <v>30489344.3648041</v>
      </c>
      <c r="G62" t="n">
        <v>45499483.8071768</v>
      </c>
      <c r="H62" t="n">
        <v>270866592.809851</v>
      </c>
      <c r="I62" t="n">
        <v>3373422.83461455</v>
      </c>
      <c r="J62" t="n">
        <v>12149069.5818437</v>
      </c>
      <c r="K62" t="n">
        <v>3968685.25639599</v>
      </c>
      <c r="L62" t="n">
        <v>12817375.0601105</v>
      </c>
      <c r="M62" t="n">
        <v>10392211.0989355</v>
      </c>
      <c r="N62" t="n">
        <v>26788326.223853</v>
      </c>
      <c r="O62" t="n">
        <v>1876266.55415953</v>
      </c>
      <c r="P62" t="n">
        <v>1758329.15414926</v>
      </c>
      <c r="Q62" t="n">
        <v>11584132.2026279</v>
      </c>
      <c r="R62" t="n">
        <v>7228504.45247528</v>
      </c>
      <c r="S62" t="n">
        <v>21955075.6679486</v>
      </c>
      <c r="T62" t="n">
        <v>42900014.5204203</v>
      </c>
      <c r="U62" t="n">
        <v>731231.295319971</v>
      </c>
      <c r="V62" t="n">
        <v>174753.264303505</v>
      </c>
      <c r="W62" t="n">
        <v>1592042.43486529</v>
      </c>
      <c r="X62" t="n">
        <v>3514552.49738178</v>
      </c>
      <c r="Y62" t="n">
        <v>4503790.47940376</v>
      </c>
      <c r="Z62" t="n">
        <v>13139131.3126064</v>
      </c>
      <c r="AA62" t="n">
        <v>9512125.68048523</v>
      </c>
      <c r="AB62" t="n">
        <v>556719711.767888</v>
      </c>
      <c r="AC62" t="n">
        <v>105129812.860384</v>
      </c>
      <c r="AD62" t="n">
        <v>54045949.6757376</v>
      </c>
      <c r="AE62" t="n">
        <v>25049687.0383989</v>
      </c>
      <c r="AF62" t="n">
        <v>215722825.418694</v>
      </c>
      <c r="AG62" t="n">
        <v>12945731.5930899</v>
      </c>
      <c r="AH62" t="n">
        <v>8309839.94657229</v>
      </c>
      <c r="AI62" t="n">
        <v>122767.422636358</v>
      </c>
      <c r="AJ62" t="n">
        <v>11440169.3635546</v>
      </c>
      <c r="AK62" t="n">
        <v>5936103.3921826</v>
      </c>
      <c r="AL62" t="n">
        <v>15627199.526411</v>
      </c>
      <c r="AM62" t="n">
        <v>8877165.87560277</v>
      </c>
      <c r="AN62" t="n">
        <v>6575493.17754179</v>
      </c>
      <c r="AO62" t="n">
        <v>128154076.735766</v>
      </c>
      <c r="AP62" t="n">
        <v>11394891.1573719</v>
      </c>
      <c r="AQ62" t="n">
        <v>169953249.050113</v>
      </c>
      <c r="AR62" t="n">
        <v>195818155.04249</v>
      </c>
      <c r="AS62" t="n">
        <v>167958394.335121</v>
      </c>
      <c r="AT62" t="n">
        <v>167147608.182234</v>
      </c>
      <c r="AU62" t="n">
        <v>105931466.961223</v>
      </c>
      <c r="AV62" t="n">
        <v>11391951.3632339</v>
      </c>
      <c r="AW62" t="n">
        <v>12449404.9533303</v>
      </c>
      <c r="AX62" t="n">
        <v>153117558.740494</v>
      </c>
      <c r="AY62" t="n">
        <v>35969383.7981332</v>
      </c>
      <c r="AZ62" t="n">
        <v>32689431.4179523</v>
      </c>
      <c r="BA62" t="n">
        <v>194997908.068914</v>
      </c>
      <c r="BB62" t="n">
        <v>822536138.15532</v>
      </c>
      <c r="BC62" t="n">
        <v>241327071.830006</v>
      </c>
      <c r="BD62" t="n">
        <v>232940115.178608</v>
      </c>
      <c r="BE62" t="n">
        <v>13464020.237339</v>
      </c>
      <c r="BF62" t="n">
        <v>23221552.9763524</v>
      </c>
      <c r="BG62" t="n">
        <v>122191797.228284</v>
      </c>
      <c r="BH62" t="n">
        <v>117563986.367687</v>
      </c>
      <c r="BI62" t="n">
        <v>30230277.9923084</v>
      </c>
      <c r="BJ62" t="n">
        <v>25278522.5768874</v>
      </c>
      <c r="BK62" t="n">
        <v>37388009.1756673</v>
      </c>
      <c r="BL62" t="n">
        <v>64614951.1014445</v>
      </c>
      <c r="BM62" t="n">
        <v>42705941.5848633</v>
      </c>
      <c r="BN62" t="n">
        <v>117079681.734346</v>
      </c>
      <c r="BO62" t="n">
        <v>137502136.181743</v>
      </c>
      <c r="BP62" t="n">
        <v>238405191.606177</v>
      </c>
      <c r="BQ62" t="n">
        <v>62958564.1345998</v>
      </c>
      <c r="BR62" t="n">
        <v>7106751.9685312</v>
      </c>
      <c r="BS62" t="n">
        <v>321689442.340763</v>
      </c>
      <c r="BT62" t="n">
        <v>56004178.2377782</v>
      </c>
      <c r="BU62" t="n">
        <v>278486195.422519</v>
      </c>
      <c r="BV62" t="n">
        <v>0</v>
      </c>
      <c r="BW62" t="n">
        <v>263821424.337191</v>
      </c>
      <c r="BX62" t="n">
        <v>2776471478.70387</v>
      </c>
      <c r="BY62" t="n">
        <v>11500162.1738801</v>
      </c>
      <c r="BZ62" t="n">
        <v>0</v>
      </c>
      <c r="CA62" t="n">
        <v>3642338664.20115</v>
      </c>
      <c r="CB62" t="n">
        <v>-1831384835.89028</v>
      </c>
      <c r="CC62" t="n">
        <v>0</v>
      </c>
      <c r="CD62" t="n">
        <v>0</v>
      </c>
      <c r="CE62" t="n">
        <v>0</v>
      </c>
      <c r="CF62" t="n">
        <v>212671373.586177</v>
      </c>
      <c r="CG62" t="n">
        <v>0</v>
      </c>
      <c r="CH62" t="n">
        <v>0</v>
      </c>
      <c r="CI62" t="n">
        <v>0</v>
      </c>
      <c r="CJ62" t="n">
        <v>349312719.943925</v>
      </c>
      <c r="CK62" t="n">
        <v>0</v>
      </c>
      <c r="CL62" t="n">
        <v>0</v>
      </c>
      <c r="CM62" t="n">
        <v>0</v>
      </c>
      <c r="CN62" t="n">
        <v>85624575.8861213</v>
      </c>
    </row>
    <row r="63">
      <c r="A63" t="s">
        <v>174</v>
      </c>
      <c r="B63" t="n">
        <v>0</v>
      </c>
      <c r="C63" t="n">
        <v>0</v>
      </c>
      <c r="D63" t="n">
        <v>1067638988.08844</v>
      </c>
      <c r="E63" t="n">
        <v>107024075.389444</v>
      </c>
      <c r="F63" t="n">
        <v>287623164.698764</v>
      </c>
      <c r="G63" t="n">
        <v>713839.398186393</v>
      </c>
      <c r="H63" t="n">
        <v>220502892.049262</v>
      </c>
      <c r="I63" t="n">
        <v>3452440.740073</v>
      </c>
      <c r="J63" t="n">
        <v>43264608.5790651</v>
      </c>
      <c r="K63" t="n">
        <v>6097284.94217088</v>
      </c>
      <c r="L63" t="n">
        <v>43225415.9642402</v>
      </c>
      <c r="M63" t="n">
        <v>99247329.1970617</v>
      </c>
      <c r="N63" t="n">
        <v>63424187.4731426</v>
      </c>
      <c r="O63" t="n">
        <v>9813024.35418065</v>
      </c>
      <c r="P63" t="n">
        <v>8601569.04028996</v>
      </c>
      <c r="Q63" t="n">
        <v>37183431.1087323</v>
      </c>
      <c r="R63" t="n">
        <v>6672678.57033145</v>
      </c>
      <c r="S63" t="n">
        <v>80677258.7359904</v>
      </c>
      <c r="T63" t="n">
        <v>340902123.369953</v>
      </c>
      <c r="U63" t="n">
        <v>3364575.33408592</v>
      </c>
      <c r="V63" t="n">
        <v>1203035.80163877</v>
      </c>
      <c r="W63" t="n">
        <v>5414153.77750164</v>
      </c>
      <c r="X63" t="n">
        <v>3541269.85015193</v>
      </c>
      <c r="Y63" t="n">
        <v>29022441.1285168</v>
      </c>
      <c r="Z63" t="n">
        <v>82111940.9707316</v>
      </c>
      <c r="AA63" t="n">
        <v>16160544.9909438</v>
      </c>
      <c r="AB63" t="n">
        <v>1373322032.66333</v>
      </c>
      <c r="AC63" t="n">
        <v>28834163.8622478</v>
      </c>
      <c r="AD63" t="n">
        <v>89814549.1623142</v>
      </c>
      <c r="AE63" t="n">
        <v>198552945.870713</v>
      </c>
      <c r="AF63" t="n">
        <v>314962862.62508</v>
      </c>
      <c r="AG63" t="n">
        <v>191310316.404141</v>
      </c>
      <c r="AH63" t="n">
        <v>199668.714642849</v>
      </c>
      <c r="AI63" t="n">
        <v>330767.806475811</v>
      </c>
      <c r="AJ63" t="n">
        <v>47662472.569708</v>
      </c>
      <c r="AK63" t="n">
        <v>2954388.97989835</v>
      </c>
      <c r="AL63" t="n">
        <v>125619.663634712</v>
      </c>
      <c r="AM63" t="n">
        <v>81864192.8465586</v>
      </c>
      <c r="AN63" t="n">
        <v>14484185.2005005</v>
      </c>
      <c r="AO63" t="n">
        <v>79492524.162498</v>
      </c>
      <c r="AP63" t="n">
        <v>3131029.09592461</v>
      </c>
      <c r="AQ63" t="n">
        <v>68021156.6528216</v>
      </c>
      <c r="AR63" t="n">
        <v>54242572.8683241</v>
      </c>
      <c r="AS63" t="n">
        <v>81483848.2829237</v>
      </c>
      <c r="AT63" t="n">
        <v>188060199.706788</v>
      </c>
      <c r="AU63" t="n">
        <v>58285860.1772972</v>
      </c>
      <c r="AV63" t="n">
        <v>13228041.6238685</v>
      </c>
      <c r="AW63" t="n">
        <v>441936.852845542</v>
      </c>
      <c r="AX63" t="n">
        <v>232740097.387737</v>
      </c>
      <c r="AY63" t="n">
        <v>149413448.647247</v>
      </c>
      <c r="AZ63" t="n">
        <v>48140751.904988</v>
      </c>
      <c r="BA63" t="n">
        <v>110139596.282714</v>
      </c>
      <c r="BB63" t="n">
        <v>349586263.376021</v>
      </c>
      <c r="BC63" t="n">
        <v>886663.908538799</v>
      </c>
      <c r="BD63" t="n">
        <v>315276364.831645</v>
      </c>
      <c r="BE63" t="n">
        <v>57821662.609125</v>
      </c>
      <c r="BF63" t="n">
        <v>75521587.7850465</v>
      </c>
      <c r="BG63" t="n">
        <v>682056272.775013</v>
      </c>
      <c r="BH63" t="n">
        <v>102564216.82175</v>
      </c>
      <c r="BI63" t="n">
        <v>70921230.6197085</v>
      </c>
      <c r="BJ63" t="n">
        <v>28980832.5933779</v>
      </c>
      <c r="BK63" t="n">
        <v>56655110.196757</v>
      </c>
      <c r="BL63" t="n">
        <v>82697045.3309807</v>
      </c>
      <c r="BM63" t="n">
        <v>346486474.328473</v>
      </c>
      <c r="BN63" t="n">
        <v>820488179.743364</v>
      </c>
      <c r="BO63" t="n">
        <v>172293856.743645</v>
      </c>
      <c r="BP63" t="n">
        <v>0</v>
      </c>
      <c r="BQ63" t="n">
        <v>0</v>
      </c>
      <c r="BR63" t="n">
        <v>3049549.6831229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90501856.5912688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</row>
    <row r="64">
      <c r="A64" t="s">
        <v>175</v>
      </c>
      <c r="B64" t="n">
        <v>4597659.47706654</v>
      </c>
      <c r="C64" t="n">
        <v>93643.7167414696</v>
      </c>
      <c r="D64" t="n">
        <v>14266661.6474603</v>
      </c>
      <c r="E64" t="n">
        <v>6738982.36968888</v>
      </c>
      <c r="F64" t="n">
        <v>78014213.395649</v>
      </c>
      <c r="G64" t="n">
        <v>91784470.9828732</v>
      </c>
      <c r="H64" t="n">
        <v>113262746.950601</v>
      </c>
      <c r="I64" t="n">
        <v>3342485.11675123</v>
      </c>
      <c r="J64" t="n">
        <v>15278339.3073565</v>
      </c>
      <c r="K64" t="n">
        <v>15230267.6299105</v>
      </c>
      <c r="L64" t="n">
        <v>61224594.6842666</v>
      </c>
      <c r="M64" t="n">
        <v>17597598.9504301</v>
      </c>
      <c r="N64" t="n">
        <v>24079400.3611497</v>
      </c>
      <c r="O64" t="n">
        <v>1600678.7761316</v>
      </c>
      <c r="P64" t="n">
        <v>2522510.7580762</v>
      </c>
      <c r="Q64" t="n">
        <v>41033898.5493841</v>
      </c>
      <c r="R64" t="n">
        <v>3532202.9543256</v>
      </c>
      <c r="S64" t="n">
        <v>23692153.8265256</v>
      </c>
      <c r="T64" t="n">
        <v>34719858.1621227</v>
      </c>
      <c r="U64" t="n">
        <v>660383.038128921</v>
      </c>
      <c r="V64" t="n">
        <v>867043.185283514</v>
      </c>
      <c r="W64" t="n">
        <v>2325671.94727139</v>
      </c>
      <c r="X64" t="n">
        <v>16542164.1528637</v>
      </c>
      <c r="Y64" t="n">
        <v>9100614.30875464</v>
      </c>
      <c r="Z64" t="n">
        <v>15223725.8085712</v>
      </c>
      <c r="AA64" t="n">
        <v>11184068.8202346</v>
      </c>
      <c r="AB64" t="n">
        <v>703880410.374662</v>
      </c>
      <c r="AC64" t="n">
        <v>68674034.257893</v>
      </c>
      <c r="AD64" t="n">
        <v>37870815.4635471</v>
      </c>
      <c r="AE64" t="n">
        <v>58256898.2834774</v>
      </c>
      <c r="AF64" t="n">
        <v>163723311.946026</v>
      </c>
      <c r="AG64" t="n">
        <v>96679606.0090944</v>
      </c>
      <c r="AH64" t="n">
        <v>8790127.97025997</v>
      </c>
      <c r="AI64" t="n">
        <v>855851.946029889</v>
      </c>
      <c r="AJ64" t="n">
        <v>79028042.7314547</v>
      </c>
      <c r="AK64" t="n">
        <v>61922305.1732855</v>
      </c>
      <c r="AL64" t="n">
        <v>72023046.9667491</v>
      </c>
      <c r="AM64" t="n">
        <v>78986022.1379058</v>
      </c>
      <c r="AN64" t="n">
        <v>35113159.9531609</v>
      </c>
      <c r="AO64" t="n">
        <v>256562182.755658</v>
      </c>
      <c r="AP64" t="n">
        <v>7006902.78201694</v>
      </c>
      <c r="AQ64" t="n">
        <v>407385477.176996</v>
      </c>
      <c r="AR64" t="n">
        <v>238878686.385467</v>
      </c>
      <c r="AS64" t="n">
        <v>189710427.091746</v>
      </c>
      <c r="AT64" t="n">
        <v>128156501.179869</v>
      </c>
      <c r="AU64" t="n">
        <v>81547212.0616407</v>
      </c>
      <c r="AV64" t="n">
        <v>1092496.45202431</v>
      </c>
      <c r="AW64" t="n">
        <v>37160332.8715159</v>
      </c>
      <c r="AX64" t="n">
        <v>1023067089.05496</v>
      </c>
      <c r="AY64" t="n">
        <v>203700302.42125</v>
      </c>
      <c r="AZ64" t="n">
        <v>76747698.7953585</v>
      </c>
      <c r="BA64" t="n">
        <v>519430665.158174</v>
      </c>
      <c r="BB64" t="n">
        <v>828541556.686025</v>
      </c>
      <c r="BC64" t="n">
        <v>205900292.472554</v>
      </c>
      <c r="BD64" t="n">
        <v>934811951.81889</v>
      </c>
      <c r="BE64" t="n">
        <v>55267755.0642739</v>
      </c>
      <c r="BF64" t="n">
        <v>36489780.4587886</v>
      </c>
      <c r="BG64" t="n">
        <v>287549145.842576</v>
      </c>
      <c r="BH64" t="n">
        <v>266304361.15009</v>
      </c>
      <c r="BI64" t="n">
        <v>74597178.9934501</v>
      </c>
      <c r="BJ64" t="n">
        <v>33424985.9158409</v>
      </c>
      <c r="BK64" t="n">
        <v>53630258.8556385</v>
      </c>
      <c r="BL64" t="n">
        <v>62000117.6967915</v>
      </c>
      <c r="BM64" t="n">
        <v>66066880.8094702</v>
      </c>
      <c r="BN64" t="n">
        <v>129453319.687905</v>
      </c>
      <c r="BO64" t="n">
        <v>186337035.327928</v>
      </c>
      <c r="BP64" t="n">
        <v>68792033.6753509</v>
      </c>
      <c r="BQ64" t="n">
        <v>120685508.871408</v>
      </c>
      <c r="BR64" t="n">
        <v>7107982.81097953</v>
      </c>
      <c r="BS64" t="n">
        <v>462886100.583019</v>
      </c>
      <c r="BT64" t="n">
        <v>49561676.0529957</v>
      </c>
      <c r="BU64" t="n">
        <v>727467350.307033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57536638.5168181</v>
      </c>
      <c r="CB64" t="n">
        <v>-42980628.2944046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</row>
    <row r="65">
      <c r="A65" t="s">
        <v>176</v>
      </c>
      <c r="B65" t="n">
        <v>203557.650681078</v>
      </c>
      <c r="C65" t="n">
        <v>737.78241705851</v>
      </c>
      <c r="D65" t="n">
        <v>2130828.75067834</v>
      </c>
      <c r="E65" t="n">
        <v>146030.85265244</v>
      </c>
      <c r="F65" t="n">
        <v>619285.194133918</v>
      </c>
      <c r="G65" t="n">
        <v>565539.28066452</v>
      </c>
      <c r="H65" t="n">
        <v>3157250.9161267</v>
      </c>
      <c r="I65" t="n">
        <v>74636.1019065122</v>
      </c>
      <c r="J65" t="n">
        <v>381070.253315692</v>
      </c>
      <c r="K65" t="n">
        <v>130401.087273431</v>
      </c>
      <c r="L65" t="n">
        <v>269159.689590076</v>
      </c>
      <c r="M65" t="n">
        <v>169617.354951705</v>
      </c>
      <c r="N65" t="n">
        <v>110965.99399051</v>
      </c>
      <c r="O65" t="n">
        <v>20082.2370021686</v>
      </c>
      <c r="P65" t="n">
        <v>15887.6334681167</v>
      </c>
      <c r="Q65" t="n">
        <v>160119.008305112</v>
      </c>
      <c r="R65" t="n">
        <v>103975.934509608</v>
      </c>
      <c r="S65" t="n">
        <v>164564.77258599</v>
      </c>
      <c r="T65" t="n">
        <v>1284982.37498383</v>
      </c>
      <c r="U65" t="n">
        <v>17909.9705670235</v>
      </c>
      <c r="V65" t="n">
        <v>334.85311186329</v>
      </c>
      <c r="W65" t="n">
        <v>54249.2441052658</v>
      </c>
      <c r="X65" t="n">
        <v>52800.4063278571</v>
      </c>
      <c r="Y65" t="n">
        <v>222327.01385753</v>
      </c>
      <c r="Z65" t="n">
        <v>508911.432109136</v>
      </c>
      <c r="AA65" t="n">
        <v>195651.701009665</v>
      </c>
      <c r="AB65" t="n">
        <v>2637559.41376459</v>
      </c>
      <c r="AC65" t="n">
        <v>942321.55998256</v>
      </c>
      <c r="AD65" t="n">
        <v>539720.789393352</v>
      </c>
      <c r="AE65" t="n">
        <v>290746.443187986</v>
      </c>
      <c r="AF65" t="n">
        <v>1036798.52320597</v>
      </c>
      <c r="AG65" t="n">
        <v>297204.675207683</v>
      </c>
      <c r="AH65" t="n">
        <v>182729.561792132</v>
      </c>
      <c r="AI65" t="n">
        <v>157.813713972358</v>
      </c>
      <c r="AJ65" t="n">
        <v>761652.384715914</v>
      </c>
      <c r="AK65" t="n">
        <v>43103.3313200353</v>
      </c>
      <c r="AL65" t="n">
        <v>734911.651144275</v>
      </c>
      <c r="AM65" t="n">
        <v>243098.089304229</v>
      </c>
      <c r="AN65" t="n">
        <v>155822.37650579</v>
      </c>
      <c r="AO65" t="n">
        <v>78572.5433876669</v>
      </c>
      <c r="AP65" t="n">
        <v>22115.535814738</v>
      </c>
      <c r="AQ65" t="n">
        <v>104801.53913321</v>
      </c>
      <c r="AR65" t="n">
        <v>93484.2222228432</v>
      </c>
      <c r="AS65" t="n">
        <v>422034.756223456</v>
      </c>
      <c r="AT65" t="n">
        <v>135351.299896459</v>
      </c>
      <c r="AU65" t="n">
        <v>1110189.86209771</v>
      </c>
      <c r="AV65" t="n">
        <v>342761.366128921</v>
      </c>
      <c r="AW65" t="n">
        <v>4071.58963208657</v>
      </c>
      <c r="AX65" t="n">
        <v>44839892.51306</v>
      </c>
      <c r="AY65" t="n">
        <v>786013.402648062</v>
      </c>
      <c r="AZ65" t="n">
        <v>276940.93178153</v>
      </c>
      <c r="BA65" t="n">
        <v>598454.361681893</v>
      </c>
      <c r="BB65" t="n">
        <v>3584652.06249928</v>
      </c>
      <c r="BC65" t="n">
        <v>915139.908670932</v>
      </c>
      <c r="BD65" t="n">
        <v>3003666.52403445</v>
      </c>
      <c r="BE65" t="n">
        <v>17136603.1059599</v>
      </c>
      <c r="BF65" t="n">
        <v>236867.03472201</v>
      </c>
      <c r="BG65" t="n">
        <v>2094911.35673213</v>
      </c>
      <c r="BH65" t="n">
        <v>1653772.18234254</v>
      </c>
      <c r="BI65" t="n">
        <v>740757.701993074</v>
      </c>
      <c r="BJ65" t="n">
        <v>540053.346992536</v>
      </c>
      <c r="BK65" t="n">
        <v>153320.111692529</v>
      </c>
      <c r="BL65" t="n">
        <v>1294956.79728895</v>
      </c>
      <c r="BM65" t="n">
        <v>1354869.52573013</v>
      </c>
      <c r="BN65" t="n">
        <v>2635177.40658457</v>
      </c>
      <c r="BO65" t="n">
        <v>2076558.07673876</v>
      </c>
      <c r="BP65" t="n">
        <v>139294.099685912</v>
      </c>
      <c r="BQ65" t="n">
        <v>1455943.23987568</v>
      </c>
      <c r="BR65" t="n">
        <v>321479.375889567</v>
      </c>
      <c r="BS65" t="n">
        <v>31939931.3549945</v>
      </c>
      <c r="BT65" t="n">
        <v>3408460.47489887</v>
      </c>
      <c r="BU65" t="n">
        <v>38199008.2087312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4358217.40275668</v>
      </c>
      <c r="CB65" t="n">
        <v>-5153682.10637751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</row>
    <row r="66">
      <c r="A66" t="s">
        <v>177</v>
      </c>
      <c r="B66" t="n">
        <v>9423.20495650899</v>
      </c>
      <c r="C66" t="n">
        <v>0</v>
      </c>
      <c r="D66" t="n">
        <v>0</v>
      </c>
      <c r="E66" t="n">
        <v>0</v>
      </c>
      <c r="F66" t="n">
        <v>0</v>
      </c>
      <c r="G66" t="n">
        <v>435667.472422438</v>
      </c>
      <c r="H66" t="n">
        <v>28247.7255665514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55105.4304124211</v>
      </c>
      <c r="Y66" t="n">
        <v>10638.3511970675</v>
      </c>
      <c r="Z66" t="n">
        <v>0</v>
      </c>
      <c r="AA66" t="n">
        <v>2732.90001368616</v>
      </c>
      <c r="AB66" t="n">
        <v>7650743.88697948</v>
      </c>
      <c r="AC66" t="n">
        <v>375817.996987082</v>
      </c>
      <c r="AD66" t="n">
        <v>2731805.23960425</v>
      </c>
      <c r="AE66" t="n">
        <v>0</v>
      </c>
      <c r="AF66" t="n">
        <v>10750043.2310841</v>
      </c>
      <c r="AG66" t="n">
        <v>1426682.68852643</v>
      </c>
      <c r="AH66" t="n">
        <v>45133.694015818</v>
      </c>
      <c r="AI66" t="n">
        <v>0</v>
      </c>
      <c r="AJ66" t="n">
        <v>0</v>
      </c>
      <c r="AK66" t="n">
        <v>0</v>
      </c>
      <c r="AL66" t="n">
        <v>106482.870970808</v>
      </c>
      <c r="AM66" t="n">
        <v>113248.586486245</v>
      </c>
      <c r="AN66" t="n">
        <v>0</v>
      </c>
      <c r="AO66" t="n">
        <v>0</v>
      </c>
      <c r="AP66" t="n">
        <v>0</v>
      </c>
      <c r="AQ66" t="n">
        <v>83847.1229228334</v>
      </c>
      <c r="AR66" t="n">
        <v>545558.835667319</v>
      </c>
      <c r="AS66" t="n">
        <v>142433.591885218</v>
      </c>
      <c r="AT66" t="n">
        <v>33208.5190100688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682683.439230546</v>
      </c>
      <c r="BB66" t="n">
        <v>245793.460989268</v>
      </c>
      <c r="BC66" t="n">
        <v>0</v>
      </c>
      <c r="BD66" t="n">
        <v>1278886.32241126</v>
      </c>
      <c r="BE66" t="n">
        <v>0</v>
      </c>
      <c r="BF66" t="n">
        <v>8125285.66158004</v>
      </c>
      <c r="BG66" t="n">
        <v>0</v>
      </c>
      <c r="BH66" t="n">
        <v>15728.5701142721</v>
      </c>
      <c r="BI66" t="n">
        <v>0</v>
      </c>
      <c r="BJ66" t="n">
        <v>0</v>
      </c>
      <c r="BK66" t="n">
        <v>14401053.887499</v>
      </c>
      <c r="BL66" t="n">
        <v>2449329.2929659</v>
      </c>
      <c r="BM66" t="n">
        <v>0</v>
      </c>
      <c r="BN66" t="n">
        <v>0</v>
      </c>
      <c r="BO66" t="n">
        <v>10535315.6845206</v>
      </c>
      <c r="BP66" t="n">
        <v>0</v>
      </c>
      <c r="BQ66" t="n">
        <v>103108.826655064</v>
      </c>
      <c r="BR66" t="n">
        <v>606476.987081899</v>
      </c>
      <c r="BS66" t="n">
        <v>49518368.5416907</v>
      </c>
      <c r="BT66" t="n">
        <v>24584.6784230533</v>
      </c>
      <c r="BU66" t="n">
        <v>1805655045.2415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35926277.4719306</v>
      </c>
      <c r="CB66" t="n">
        <v>-29076830.1167997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</row>
    <row r="67">
      <c r="A67" t="s">
        <v>178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  <c r="AV67" t="n">
        <v>0</v>
      </c>
      <c r="AW67" t="n">
        <v>0</v>
      </c>
      <c r="AX67" t="n">
        <v>0</v>
      </c>
      <c r="AY67" t="n">
        <v>0</v>
      </c>
      <c r="AZ67" t="n">
        <v>0</v>
      </c>
      <c r="BA67" t="n">
        <v>0</v>
      </c>
      <c r="BB67" t="n">
        <v>2115996.68811939</v>
      </c>
      <c r="BC67" t="n">
        <v>0</v>
      </c>
      <c r="BD67" t="n">
        <v>1730810.63394683</v>
      </c>
      <c r="BE67" t="n">
        <v>0</v>
      </c>
      <c r="BF67" t="n">
        <v>0</v>
      </c>
      <c r="BG67" t="n">
        <v>273919073.35385</v>
      </c>
      <c r="BH67" t="n">
        <v>149089968.60785</v>
      </c>
      <c r="BI67" t="n">
        <v>1280800.46403712</v>
      </c>
      <c r="BJ67" t="n">
        <v>16227.6044219354</v>
      </c>
      <c r="BK67" t="n">
        <v>2504648.1008334</v>
      </c>
      <c r="BL67" t="n">
        <v>103871.355077789</v>
      </c>
      <c r="BM67" t="n">
        <v>0</v>
      </c>
      <c r="BN67" t="n">
        <v>0</v>
      </c>
      <c r="BO67" t="n">
        <v>1046227.16923644</v>
      </c>
      <c r="BP67" t="n">
        <v>0</v>
      </c>
      <c r="BQ67" t="n">
        <v>12020561.3314236</v>
      </c>
      <c r="BR67" t="n">
        <v>0</v>
      </c>
      <c r="BS67" t="n">
        <v>194340374.938259</v>
      </c>
      <c r="BT67" t="n">
        <v>0</v>
      </c>
      <c r="BU67" t="n">
        <v>19665369584.0457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18321591.7555646</v>
      </c>
      <c r="CB67" t="n">
        <v>-6979813.77386931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</row>
    <row r="68">
      <c r="A68" t="s">
        <v>179</v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0</v>
      </c>
      <c r="AO68" t="n">
        <v>0</v>
      </c>
      <c r="AP68" t="n">
        <v>0</v>
      </c>
      <c r="AQ68" t="n">
        <v>0</v>
      </c>
      <c r="AR68" t="n">
        <v>0</v>
      </c>
      <c r="AS68" t="n">
        <v>0</v>
      </c>
      <c r="AT68" t="n">
        <v>0</v>
      </c>
      <c r="AU68" t="n">
        <v>0</v>
      </c>
      <c r="AV68" t="n">
        <v>0</v>
      </c>
      <c r="AW68" t="n">
        <v>0</v>
      </c>
      <c r="AX68" t="n">
        <v>0</v>
      </c>
      <c r="AY68" t="n">
        <v>0</v>
      </c>
      <c r="AZ68" t="n">
        <v>0</v>
      </c>
      <c r="BA68" t="n">
        <v>0</v>
      </c>
      <c r="BB68" t="n">
        <v>0</v>
      </c>
      <c r="BC68" t="n">
        <v>0</v>
      </c>
      <c r="BD68" t="n">
        <v>0</v>
      </c>
      <c r="BE68" t="n">
        <v>0</v>
      </c>
      <c r="BF68" t="n">
        <v>0</v>
      </c>
      <c r="BG68" t="n">
        <v>0</v>
      </c>
      <c r="BH68" t="n">
        <v>10745534.2380165</v>
      </c>
      <c r="BI68" t="n">
        <v>0</v>
      </c>
      <c r="BJ68" t="n">
        <v>0</v>
      </c>
      <c r="BK68" t="n">
        <v>0</v>
      </c>
      <c r="BL68" t="n">
        <v>0</v>
      </c>
      <c r="BM68" t="n">
        <v>0</v>
      </c>
      <c r="BN68" t="n">
        <v>0</v>
      </c>
      <c r="BO68" t="n">
        <v>0</v>
      </c>
      <c r="BP68" t="n">
        <v>0</v>
      </c>
      <c r="BQ68" t="n">
        <v>0</v>
      </c>
      <c r="BR68" t="n">
        <v>0</v>
      </c>
      <c r="BS68" t="n">
        <v>0</v>
      </c>
      <c r="BT68" t="n">
        <v>0</v>
      </c>
      <c r="BU68" t="n">
        <v>19555438278.1408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58059750.5709142</v>
      </c>
      <c r="CB68" t="n">
        <v>-94932131.6105315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</row>
    <row r="69">
      <c r="A69" t="s">
        <v>180</v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n">
        <v>0</v>
      </c>
      <c r="AY69" t="n">
        <v>0</v>
      </c>
      <c r="AZ69" t="n">
        <v>0</v>
      </c>
      <c r="BA69" t="n">
        <v>0</v>
      </c>
      <c r="BB69" t="n">
        <v>0</v>
      </c>
      <c r="BC69" t="n">
        <v>0</v>
      </c>
      <c r="BD69" t="n">
        <v>0</v>
      </c>
      <c r="BE69" t="n">
        <v>0</v>
      </c>
      <c r="BF69" t="n">
        <v>0</v>
      </c>
      <c r="BG69" t="n">
        <v>0</v>
      </c>
      <c r="BH69" t="n">
        <v>0</v>
      </c>
      <c r="BI69" t="n">
        <v>0</v>
      </c>
      <c r="BJ69" t="n">
        <v>0</v>
      </c>
      <c r="BK69" t="n">
        <v>0</v>
      </c>
      <c r="BL69" t="n">
        <v>0</v>
      </c>
      <c r="BM69" t="n">
        <v>0</v>
      </c>
      <c r="BN69" t="n">
        <v>0</v>
      </c>
      <c r="BO69" t="n">
        <v>0</v>
      </c>
      <c r="BP69" t="n">
        <v>0</v>
      </c>
      <c r="BQ69" t="n">
        <v>37829997.975257</v>
      </c>
      <c r="BR69" t="n">
        <v>0</v>
      </c>
      <c r="BS69" t="n">
        <v>23279274.8589145</v>
      </c>
      <c r="BT69" t="n">
        <v>0</v>
      </c>
      <c r="BU69" t="n">
        <v>4409962242.66134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3693703.20193526</v>
      </c>
      <c r="CB69" t="n">
        <v>-2001536.37084812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</row>
    <row r="70">
      <c r="A70" t="s">
        <v>181</v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4279770093.11952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</row>
    <row r="71">
      <c r="A71" t="s">
        <v>182</v>
      </c>
      <c r="B71" t="n">
        <v>1151643.90353728</v>
      </c>
      <c r="C71" t="n">
        <v>0</v>
      </c>
      <c r="D71" t="n">
        <v>0</v>
      </c>
      <c r="E71" t="n">
        <v>0</v>
      </c>
      <c r="F71" t="n">
        <v>1375669.91092253</v>
      </c>
      <c r="G71" t="n">
        <v>1325627.03491228</v>
      </c>
      <c r="H71" t="n">
        <v>3768402.39840464</v>
      </c>
      <c r="I71" t="n">
        <v>188436.402510421</v>
      </c>
      <c r="J71" t="n">
        <v>678734.329880186</v>
      </c>
      <c r="K71" t="n">
        <v>272949.369090787</v>
      </c>
      <c r="L71" t="n">
        <v>667587.900411931</v>
      </c>
      <c r="M71" t="n">
        <v>410663.979263867</v>
      </c>
      <c r="N71" t="n">
        <v>87737.8383395153</v>
      </c>
      <c r="O71" t="n">
        <v>20472.2627712818</v>
      </c>
      <c r="P71" t="n">
        <v>39300.1623968794</v>
      </c>
      <c r="Q71" t="n">
        <v>165308.095602291</v>
      </c>
      <c r="R71" t="n">
        <v>210665.650580614</v>
      </c>
      <c r="S71" t="n">
        <v>523019.138890162</v>
      </c>
      <c r="T71" t="n">
        <v>1371334.58231464</v>
      </c>
      <c r="U71" t="n">
        <v>18608.9195034024</v>
      </c>
      <c r="V71" t="n">
        <v>3618.37824581634</v>
      </c>
      <c r="W71" t="n">
        <v>87771.4113299119</v>
      </c>
      <c r="X71" t="n">
        <v>263987.753498531</v>
      </c>
      <c r="Y71" t="n">
        <v>244682.111337694</v>
      </c>
      <c r="Z71" t="n">
        <v>155080.113336923</v>
      </c>
      <c r="AA71" t="n">
        <v>740213.504051888</v>
      </c>
      <c r="AB71" t="n">
        <v>46137947.7577168</v>
      </c>
      <c r="AC71" t="n">
        <v>6368573.81848758</v>
      </c>
      <c r="AD71" t="n">
        <v>7161590.99843491</v>
      </c>
      <c r="AE71" t="n">
        <v>1256706.97724845</v>
      </c>
      <c r="AF71" t="n">
        <v>7065383.30013766</v>
      </c>
      <c r="AG71" t="n">
        <v>0</v>
      </c>
      <c r="AH71" t="n">
        <v>2027559.46193493</v>
      </c>
      <c r="AI71" t="n">
        <v>0</v>
      </c>
      <c r="AJ71" t="n">
        <v>751915.268466727</v>
      </c>
      <c r="AK71" t="n">
        <v>232884.436257389</v>
      </c>
      <c r="AL71" t="n">
        <v>0</v>
      </c>
      <c r="AM71" t="n">
        <v>3535765.93126357</v>
      </c>
      <c r="AN71" t="n">
        <v>62694.528247343</v>
      </c>
      <c r="AO71" t="n">
        <v>3598505.96826652</v>
      </c>
      <c r="AP71" t="n">
        <v>60474794.3487646</v>
      </c>
      <c r="AQ71" t="n">
        <v>489448359.205866</v>
      </c>
      <c r="AR71" t="n">
        <v>7269365.41677427</v>
      </c>
      <c r="AS71" t="n">
        <v>32331341.491688</v>
      </c>
      <c r="AT71" t="n">
        <v>9628407.14444404</v>
      </c>
      <c r="AU71" t="n">
        <v>2073402.59155874</v>
      </c>
      <c r="AV71" t="n">
        <v>3427604.48368255</v>
      </c>
      <c r="AW71" t="n">
        <v>0</v>
      </c>
      <c r="AX71" t="n">
        <v>55465734.9046407</v>
      </c>
      <c r="AY71" t="n">
        <v>3435547.03113336</v>
      </c>
      <c r="AZ71" t="n">
        <v>6131841.80565938</v>
      </c>
      <c r="BA71" t="n">
        <v>22454017.1787474</v>
      </c>
      <c r="BB71" t="n">
        <v>105604888.627051</v>
      </c>
      <c r="BC71" t="n">
        <v>67352221.1237059</v>
      </c>
      <c r="BD71" t="n">
        <v>33319593.7559541</v>
      </c>
      <c r="BE71" t="n">
        <v>1656454.46182651</v>
      </c>
      <c r="BF71" t="n">
        <v>15059148.7559561</v>
      </c>
      <c r="BG71" t="n">
        <v>14764031.9671847</v>
      </c>
      <c r="BH71" t="n">
        <v>12815383.3980633</v>
      </c>
      <c r="BI71" t="n">
        <v>2302689.19296542</v>
      </c>
      <c r="BJ71" t="n">
        <v>11081284.4322253</v>
      </c>
      <c r="BK71" t="n">
        <v>351428512.853056</v>
      </c>
      <c r="BL71" t="n">
        <v>19409121.4080853</v>
      </c>
      <c r="BM71" t="n">
        <v>4794375.55289702</v>
      </c>
      <c r="BN71" t="n">
        <v>53971095.645738</v>
      </c>
      <c r="BO71" t="n">
        <v>22254074.594627</v>
      </c>
      <c r="BP71" t="n">
        <v>0</v>
      </c>
      <c r="BQ71" t="n">
        <v>270877.201290735</v>
      </c>
      <c r="BR71" t="n">
        <v>470678.439008671</v>
      </c>
      <c r="BS71" t="n">
        <v>23828412.1703647</v>
      </c>
      <c r="BT71" t="n">
        <v>270693.039184543</v>
      </c>
      <c r="BU71" t="n">
        <v>1862939436.68748</v>
      </c>
      <c r="BV71" t="n">
        <v>0</v>
      </c>
      <c r="BW71" t="n">
        <v>0</v>
      </c>
      <c r="BX71" t="n">
        <v>91756575.1143293</v>
      </c>
      <c r="BY71" t="n">
        <v>0</v>
      </c>
      <c r="BZ71" t="n">
        <v>0</v>
      </c>
      <c r="CA71" t="n">
        <v>28087837.0339407</v>
      </c>
      <c r="CB71" t="n">
        <v>-29692726.0458433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</row>
    <row r="72">
      <c r="A72" t="s">
        <v>183</v>
      </c>
      <c r="B72" t="n">
        <v>122997.363803382</v>
      </c>
      <c r="C72" t="n">
        <v>0</v>
      </c>
      <c r="D72" t="n">
        <v>0</v>
      </c>
      <c r="E72" t="n">
        <v>0</v>
      </c>
      <c r="F72" t="n">
        <v>316870.809595365</v>
      </c>
      <c r="G72" t="n">
        <v>226815.756734655</v>
      </c>
      <c r="H72" t="n">
        <v>842757.437723489</v>
      </c>
      <c r="I72" t="n">
        <v>19147.0832119688</v>
      </c>
      <c r="J72" t="n">
        <v>108730.830747984</v>
      </c>
      <c r="K72" t="n">
        <v>20097.4440682792</v>
      </c>
      <c r="L72" t="n">
        <v>76135.3707302875</v>
      </c>
      <c r="M72" t="n">
        <v>41095.4606060164</v>
      </c>
      <c r="N72" t="n">
        <v>12382.0414646857</v>
      </c>
      <c r="O72" t="n">
        <v>1733.49431424812</v>
      </c>
      <c r="P72" t="n">
        <v>4378.62071085721</v>
      </c>
      <c r="Q72" t="n">
        <v>18663.3428216015</v>
      </c>
      <c r="R72" t="n">
        <v>29730.2836500286</v>
      </c>
      <c r="S72" t="n">
        <v>59049.0469072384</v>
      </c>
      <c r="T72" t="n">
        <v>114816.581028528</v>
      </c>
      <c r="U72" t="n">
        <v>0</v>
      </c>
      <c r="V72" t="n">
        <v>0</v>
      </c>
      <c r="W72" t="n">
        <v>6669.80432886378</v>
      </c>
      <c r="X72" t="n">
        <v>28842.8819179004</v>
      </c>
      <c r="Y72" t="n">
        <v>13224.5892023537</v>
      </c>
      <c r="Z72" t="n">
        <v>18055.7437335154</v>
      </c>
      <c r="AA72" t="n">
        <v>57753.7955670396</v>
      </c>
      <c r="AB72" t="n">
        <v>2866798.87587224</v>
      </c>
      <c r="AC72" t="n">
        <v>46718.1288992939</v>
      </c>
      <c r="AD72" t="n">
        <v>246542.286555343</v>
      </c>
      <c r="AE72" t="n">
        <v>14779.4442661443</v>
      </c>
      <c r="AF72" t="n">
        <v>1549454.50772533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23463.3169226552</v>
      </c>
      <c r="AN72" t="n">
        <v>3791.91136617482</v>
      </c>
      <c r="AO72" t="n">
        <v>225710.79115163</v>
      </c>
      <c r="AP72" t="n">
        <v>35192.151605763</v>
      </c>
      <c r="AQ72" t="n">
        <v>243205.178176975</v>
      </c>
      <c r="AR72" t="n">
        <v>940908.090628579</v>
      </c>
      <c r="AS72" t="n">
        <v>2354418.55743417</v>
      </c>
      <c r="AT72" t="n">
        <v>990760.347256309</v>
      </c>
      <c r="AU72" t="n">
        <v>129432.167519825</v>
      </c>
      <c r="AV72" t="n">
        <v>123798.597949514</v>
      </c>
      <c r="AW72" t="n">
        <v>0</v>
      </c>
      <c r="AX72" t="n">
        <v>0</v>
      </c>
      <c r="AY72" t="n">
        <v>375374.416346669</v>
      </c>
      <c r="AZ72" t="n">
        <v>382487.692441051</v>
      </c>
      <c r="BA72" t="n">
        <v>2687383.12239103</v>
      </c>
      <c r="BB72" t="n">
        <v>3501404.81347673</v>
      </c>
      <c r="BC72" t="n">
        <v>5834220.37931095</v>
      </c>
      <c r="BD72" t="n">
        <v>3148650.58733772</v>
      </c>
      <c r="BE72" t="n">
        <v>183096.143940693</v>
      </c>
      <c r="BF72" t="n">
        <v>227433.65393565</v>
      </c>
      <c r="BG72" t="n">
        <v>1915853.11351934</v>
      </c>
      <c r="BH72" t="n">
        <v>54746.3464042445</v>
      </c>
      <c r="BI72" t="n">
        <v>137079.459597396</v>
      </c>
      <c r="BJ72" t="n">
        <v>347116.852161757</v>
      </c>
      <c r="BK72" t="n">
        <v>986970.133569343</v>
      </c>
      <c r="BL72" t="n">
        <v>2950726.79847472</v>
      </c>
      <c r="BM72" t="n">
        <v>2529694.67250558</v>
      </c>
      <c r="BN72" t="n">
        <v>5763711.08739263</v>
      </c>
      <c r="BO72" t="n">
        <v>288203.543860684</v>
      </c>
      <c r="BP72" t="n">
        <v>32548.2313167077</v>
      </c>
      <c r="BQ72" t="n">
        <v>13492.1172452857</v>
      </c>
      <c r="BR72" t="n">
        <v>6179.62842933825</v>
      </c>
      <c r="BS72" t="n">
        <v>4458864.57048046</v>
      </c>
      <c r="BT72" t="n">
        <v>401117.593476086</v>
      </c>
      <c r="BU72" t="n">
        <v>1888919743.19712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554417.777841951</v>
      </c>
      <c r="CB72" t="n">
        <v>-679913.169455528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</row>
    <row r="73">
      <c r="A73" t="s">
        <v>184</v>
      </c>
      <c r="B73" t="n">
        <v>13866.9780562129</v>
      </c>
      <c r="C73" t="n">
        <v>0</v>
      </c>
      <c r="D73" t="n">
        <v>44606.1235815117</v>
      </c>
      <c r="E73" t="n">
        <v>151443.556328162</v>
      </c>
      <c r="F73" t="n">
        <v>11385663.3306712</v>
      </c>
      <c r="G73" t="n">
        <v>12022342.28975</v>
      </c>
      <c r="H73" t="n">
        <v>8251391.38826606</v>
      </c>
      <c r="I73" t="n">
        <v>695095.571147548</v>
      </c>
      <c r="J73" t="n">
        <v>3364969.09595581</v>
      </c>
      <c r="K73" t="n">
        <v>802952.639177134</v>
      </c>
      <c r="L73" t="n">
        <v>2920161.03086159</v>
      </c>
      <c r="M73" t="n">
        <v>1743860.50108854</v>
      </c>
      <c r="N73" t="n">
        <v>586310.361689401</v>
      </c>
      <c r="O73" t="n">
        <v>102604.816951235</v>
      </c>
      <c r="P73" t="n">
        <v>216665.085600426</v>
      </c>
      <c r="Q73" t="n">
        <v>684898.872793979</v>
      </c>
      <c r="R73" t="n">
        <v>1083989.54449171</v>
      </c>
      <c r="S73" t="n">
        <v>2586365.74891251</v>
      </c>
      <c r="T73" t="n">
        <v>4460612.02918552</v>
      </c>
      <c r="U73" t="n">
        <v>63420.8374733253</v>
      </c>
      <c r="V73" t="n">
        <v>7253.97171226462</v>
      </c>
      <c r="W73" t="n">
        <v>266196.524074003</v>
      </c>
      <c r="X73" t="n">
        <v>1485262.55773143</v>
      </c>
      <c r="Y73" t="n">
        <v>506183.511117266</v>
      </c>
      <c r="Z73" t="n">
        <v>792790.037714515</v>
      </c>
      <c r="AA73" t="n">
        <v>2388874.74362945</v>
      </c>
      <c r="AB73" t="n">
        <v>48477329.7660207</v>
      </c>
      <c r="AC73" t="n">
        <v>584647.967686101</v>
      </c>
      <c r="AD73" t="n">
        <v>1092101.58891592</v>
      </c>
      <c r="AE73" t="n">
        <v>857293.455122703</v>
      </c>
      <c r="AF73" t="n">
        <v>2997261.61167863</v>
      </c>
      <c r="AG73" t="n">
        <v>0</v>
      </c>
      <c r="AH73" t="n">
        <v>212536.757046631</v>
      </c>
      <c r="AI73" t="n">
        <v>0</v>
      </c>
      <c r="AJ73" t="n">
        <v>0</v>
      </c>
      <c r="AK73" t="n">
        <v>0</v>
      </c>
      <c r="AL73" t="n">
        <v>407414.321243905</v>
      </c>
      <c r="AM73" t="n">
        <v>4355226.93190081</v>
      </c>
      <c r="AN73" t="n">
        <v>134665.006429084</v>
      </c>
      <c r="AO73" t="n">
        <v>9797134.66287846</v>
      </c>
      <c r="AP73" t="n">
        <v>1827840.40539765</v>
      </c>
      <c r="AQ73" t="n">
        <v>10759394.7386266</v>
      </c>
      <c r="AR73" t="n">
        <v>40908278.7836039</v>
      </c>
      <c r="AS73" t="n">
        <v>101809968.575819</v>
      </c>
      <c r="AT73" t="n">
        <v>43322293.368084</v>
      </c>
      <c r="AU73" t="n">
        <v>5506061.33777719</v>
      </c>
      <c r="AV73" t="n">
        <v>5503832.91448369</v>
      </c>
      <c r="AW73" t="n">
        <v>110254.298708609</v>
      </c>
      <c r="AX73" t="n">
        <v>148605196.302281</v>
      </c>
      <c r="AY73" t="n">
        <v>17882694.9264449</v>
      </c>
      <c r="AZ73" t="n">
        <v>12983632.5421937</v>
      </c>
      <c r="BA73" t="n">
        <v>118664959.528179</v>
      </c>
      <c r="BB73" t="n">
        <v>145698350.092439</v>
      </c>
      <c r="BC73" t="n">
        <v>15648184.0889927</v>
      </c>
      <c r="BD73" t="n">
        <v>89646716.1563596</v>
      </c>
      <c r="BE73" t="n">
        <v>9227259.74659823</v>
      </c>
      <c r="BF73" t="n">
        <v>7950324.37958307</v>
      </c>
      <c r="BG73" t="n">
        <v>54633547.9960786</v>
      </c>
      <c r="BH73" t="n">
        <v>2564556.04331681</v>
      </c>
      <c r="BI73" t="n">
        <v>3435722.51520685</v>
      </c>
      <c r="BJ73" t="n">
        <v>5361450.37872664</v>
      </c>
      <c r="BK73" t="n">
        <v>2086894.769578</v>
      </c>
      <c r="BL73" t="n">
        <v>7125257.50900609</v>
      </c>
      <c r="BM73" t="n">
        <v>9552281.56469104</v>
      </c>
      <c r="BN73" t="n">
        <v>43209764.0753362</v>
      </c>
      <c r="BO73" t="n">
        <v>10489085.8592805</v>
      </c>
      <c r="BP73" t="n">
        <v>38093651.9831333</v>
      </c>
      <c r="BQ73" t="n">
        <v>16562816.3713773</v>
      </c>
      <c r="BR73" t="n">
        <v>760800.914259321</v>
      </c>
      <c r="BS73" t="n">
        <v>53588718.7032606</v>
      </c>
      <c r="BT73" t="n">
        <v>1618977.31195246</v>
      </c>
      <c r="BU73" t="n">
        <v>3045014387.6203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</row>
    <row r="74">
      <c r="A74" t="s">
        <v>185</v>
      </c>
      <c r="B74" t="n">
        <v>6779354.15459</v>
      </c>
      <c r="C74" t="n">
        <v>39764.3381507156</v>
      </c>
      <c r="D74" t="n">
        <v>721359.538815905</v>
      </c>
      <c r="E74" t="n">
        <v>690774.303177786</v>
      </c>
      <c r="F74" t="n">
        <v>27668340.5000625</v>
      </c>
      <c r="G74" t="n">
        <v>29147687.5476359</v>
      </c>
      <c r="H74" t="n">
        <v>12462284.5264067</v>
      </c>
      <c r="I74" t="n">
        <v>1221839.01821117</v>
      </c>
      <c r="J74" t="n">
        <v>5238167.91456066</v>
      </c>
      <c r="K74" t="n">
        <v>1479790.04207506</v>
      </c>
      <c r="L74" t="n">
        <v>4260487.84790447</v>
      </c>
      <c r="M74" t="n">
        <v>2811750.01590254</v>
      </c>
      <c r="N74" t="n">
        <v>765827.243609284</v>
      </c>
      <c r="O74" t="n">
        <v>239960.380889518</v>
      </c>
      <c r="P74" t="n">
        <v>308215.511114927</v>
      </c>
      <c r="Q74" t="n">
        <v>1140582.74650699</v>
      </c>
      <c r="R74" t="n">
        <v>1541100.57930322</v>
      </c>
      <c r="S74" t="n">
        <v>3652173.91330014</v>
      </c>
      <c r="T74" t="n">
        <v>8377177.06501003</v>
      </c>
      <c r="U74" t="n">
        <v>162429.549206471</v>
      </c>
      <c r="V74" t="n">
        <v>27071.421186828</v>
      </c>
      <c r="W74" t="n">
        <v>491102.748932137</v>
      </c>
      <c r="X74" t="n">
        <v>1667122.75958834</v>
      </c>
      <c r="Y74" t="n">
        <v>1356739.56258628</v>
      </c>
      <c r="Z74" t="n">
        <v>1169923.12682847</v>
      </c>
      <c r="AA74" t="n">
        <v>3602080.16401833</v>
      </c>
      <c r="AB74" t="n">
        <v>144843188.421889</v>
      </c>
      <c r="AC74" t="n">
        <v>15685904.0845068</v>
      </c>
      <c r="AD74" t="n">
        <v>18246788.851998</v>
      </c>
      <c r="AE74" t="n">
        <v>21220322.8616408</v>
      </c>
      <c r="AF74" t="n">
        <v>50500818.3080788</v>
      </c>
      <c r="AG74" t="n">
        <v>282586744.884542</v>
      </c>
      <c r="AH74" t="n">
        <v>49573.4638202053</v>
      </c>
      <c r="AI74" t="n">
        <v>4040.20877633868</v>
      </c>
      <c r="AJ74" t="n">
        <v>13708758.4215931</v>
      </c>
      <c r="AK74" t="n">
        <v>2032751.76678445</v>
      </c>
      <c r="AL74" t="n">
        <v>2651037.03513326</v>
      </c>
      <c r="AM74" t="n">
        <v>20703819.7940464</v>
      </c>
      <c r="AN74" t="n">
        <v>3037710.2357912</v>
      </c>
      <c r="AO74" t="n">
        <v>10611703.1399716</v>
      </c>
      <c r="AP74" t="n">
        <v>3057645.26511945</v>
      </c>
      <c r="AQ74" t="n">
        <v>12238416.2498081</v>
      </c>
      <c r="AR74" t="n">
        <v>43997156.4403425</v>
      </c>
      <c r="AS74" t="n">
        <v>180404681.058629</v>
      </c>
      <c r="AT74" t="n">
        <v>53284213.8838118</v>
      </c>
      <c r="AU74" t="n">
        <v>38784793.4025661</v>
      </c>
      <c r="AV74" t="n">
        <v>15921538.4615385</v>
      </c>
      <c r="AW74" t="n">
        <v>109723.451791342</v>
      </c>
      <c r="AX74" t="n">
        <v>514885722.21825</v>
      </c>
      <c r="AY74" t="n">
        <v>51871872.9996159</v>
      </c>
      <c r="AZ74" t="n">
        <v>29021825.9398017</v>
      </c>
      <c r="BA74" t="n">
        <v>191744424.105994</v>
      </c>
      <c r="BB74" t="n">
        <v>442048733.40885</v>
      </c>
      <c r="BC74" t="n">
        <v>94619283.4001509</v>
      </c>
      <c r="BD74" t="n">
        <v>213272308.220859</v>
      </c>
      <c r="BE74" t="n">
        <v>10361501.7695354</v>
      </c>
      <c r="BF74" t="n">
        <v>20620703.0512914</v>
      </c>
      <c r="BG74" t="n">
        <v>435219185.039486</v>
      </c>
      <c r="BH74" t="n">
        <v>226393318.881769</v>
      </c>
      <c r="BI74" t="n">
        <v>105331916.422879</v>
      </c>
      <c r="BJ74" t="n">
        <v>59782494.6904101</v>
      </c>
      <c r="BK74" t="n">
        <v>9890617.68285306</v>
      </c>
      <c r="BL74" t="n">
        <v>47988566.0459387</v>
      </c>
      <c r="BM74" t="n">
        <v>183435088.601619</v>
      </c>
      <c r="BN74" t="n">
        <v>134349207.845249</v>
      </c>
      <c r="BO74" t="n">
        <v>34722897.9374885</v>
      </c>
      <c r="BP74" t="n">
        <v>16935626.6835207</v>
      </c>
      <c r="BQ74" t="n">
        <v>6536801.12072455</v>
      </c>
      <c r="BR74" t="n">
        <v>5514729.99743541</v>
      </c>
      <c r="BS74" t="n">
        <v>227898810.124487</v>
      </c>
      <c r="BT74" t="n">
        <v>6728261.44969311</v>
      </c>
      <c r="BU74" t="n">
        <v>17723606331.5469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58448734.7535117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</row>
    <row r="75">
      <c r="A75" t="s">
        <v>186</v>
      </c>
      <c r="B75" t="n">
        <v>7092518.02911645</v>
      </c>
      <c r="C75" t="n">
        <v>260277.334971571</v>
      </c>
      <c r="D75" t="n">
        <v>5068043.49850493</v>
      </c>
      <c r="E75" t="n">
        <v>2988298.95660925</v>
      </c>
      <c r="F75" t="n">
        <v>35849956.4047988</v>
      </c>
      <c r="G75" t="n">
        <v>15666659.2602906</v>
      </c>
      <c r="H75" t="n">
        <v>172291803.399751</v>
      </c>
      <c r="I75" t="n">
        <v>3609147.60114773</v>
      </c>
      <c r="J75" t="n">
        <v>24354829.5199762</v>
      </c>
      <c r="K75" t="n">
        <v>9011530.65385389</v>
      </c>
      <c r="L75" t="n">
        <v>19776400.7229094</v>
      </c>
      <c r="M75" t="n">
        <v>9931189.49323771</v>
      </c>
      <c r="N75" t="n">
        <v>10927198.105296</v>
      </c>
      <c r="O75" t="n">
        <v>901056.227937389</v>
      </c>
      <c r="P75" t="n">
        <v>1209266.11683767</v>
      </c>
      <c r="Q75" t="n">
        <v>6862695.89511072</v>
      </c>
      <c r="R75" t="n">
        <v>2819000.93354106</v>
      </c>
      <c r="S75" t="n">
        <v>10266205.4131972</v>
      </c>
      <c r="T75" t="n">
        <v>34863439.8119261</v>
      </c>
      <c r="U75" t="n">
        <v>612032.836213696</v>
      </c>
      <c r="V75" t="n">
        <v>39376.8648441521</v>
      </c>
      <c r="W75" t="n">
        <v>3488680.21030665</v>
      </c>
      <c r="X75" t="n">
        <v>3943714.99921413</v>
      </c>
      <c r="Y75" t="n">
        <v>8365925.71911612</v>
      </c>
      <c r="Z75" t="n">
        <v>11246335.3185586</v>
      </c>
      <c r="AA75" t="n">
        <v>9916092.94724669</v>
      </c>
      <c r="AB75" t="n">
        <v>349478602.982655</v>
      </c>
      <c r="AC75" t="n">
        <v>43341117.0770945</v>
      </c>
      <c r="AD75" t="n">
        <v>54928808.6640838</v>
      </c>
      <c r="AE75" t="n">
        <v>49266413.5956544</v>
      </c>
      <c r="AF75" t="n">
        <v>96605824.893942</v>
      </c>
      <c r="AG75" t="n">
        <v>17694299.3258167</v>
      </c>
      <c r="AH75" t="n">
        <v>1971434.00664886</v>
      </c>
      <c r="AI75" t="n">
        <v>92996.2783525517</v>
      </c>
      <c r="AJ75" t="n">
        <v>101305975.588851</v>
      </c>
      <c r="AK75" t="n">
        <v>27627610.2988476</v>
      </c>
      <c r="AL75" t="n">
        <v>30019287.613097</v>
      </c>
      <c r="AM75" t="n">
        <v>34799756.9759059</v>
      </c>
      <c r="AN75" t="n">
        <v>10022882.3861809</v>
      </c>
      <c r="AO75" t="n">
        <v>30266262.9147387</v>
      </c>
      <c r="AP75" t="n">
        <v>2067692.64432025</v>
      </c>
      <c r="AQ75" t="n">
        <v>77117888.5104729</v>
      </c>
      <c r="AR75" t="n">
        <v>40610582.2048043</v>
      </c>
      <c r="AS75" t="n">
        <v>83265151.0757069</v>
      </c>
      <c r="AT75" t="n">
        <v>64470355.3828707</v>
      </c>
      <c r="AU75" t="n">
        <v>77583865.5451815</v>
      </c>
      <c r="AV75" t="n">
        <v>2959500.95508161</v>
      </c>
      <c r="AW75" t="n">
        <v>523138169.215707</v>
      </c>
      <c r="AX75" t="n">
        <v>83905651.942163</v>
      </c>
      <c r="AY75" t="n">
        <v>122718391.314877</v>
      </c>
      <c r="AZ75" t="n">
        <v>14134002.0732211</v>
      </c>
      <c r="BA75" t="n">
        <v>73764335.020531</v>
      </c>
      <c r="BB75" t="n">
        <v>227404380.172445</v>
      </c>
      <c r="BC75" t="n">
        <v>148472278.829531</v>
      </c>
      <c r="BD75" t="n">
        <v>287547644.551163</v>
      </c>
      <c r="BE75" t="n">
        <v>89561538.9514692</v>
      </c>
      <c r="BF75" t="n">
        <v>34546757.8445684</v>
      </c>
      <c r="BG75" t="n">
        <v>100631872.128589</v>
      </c>
      <c r="BH75" t="n">
        <v>137615184.221202</v>
      </c>
      <c r="BI75" t="n">
        <v>21064998.4001089</v>
      </c>
      <c r="BJ75" t="n">
        <v>13536366.7886833</v>
      </c>
      <c r="BK75" t="n">
        <v>15250694.6027272</v>
      </c>
      <c r="BL75" t="n">
        <v>53339851.4036945</v>
      </c>
      <c r="BM75" t="n">
        <v>43936615.8307525</v>
      </c>
      <c r="BN75" t="n">
        <v>202642054.160304</v>
      </c>
      <c r="BO75" t="n">
        <v>129317849.411891</v>
      </c>
      <c r="BP75" t="n">
        <v>71050686.2705163</v>
      </c>
      <c r="BQ75" t="n">
        <v>192050845.474945</v>
      </c>
      <c r="BR75" t="n">
        <v>12626764.7670602</v>
      </c>
      <c r="BS75" t="n">
        <v>485158005.627626</v>
      </c>
      <c r="BT75" t="n">
        <v>37791537.1822413</v>
      </c>
      <c r="BU75" t="n">
        <v>11101372285.8972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1542676.93434714</v>
      </c>
      <c r="CB75" t="n">
        <v>-87361581.3728359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</row>
    <row r="76">
      <c r="A76" t="s">
        <v>187</v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15417338366.5715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</row>
    <row r="77">
      <c r="A77" t="s">
        <v>188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0</v>
      </c>
      <c r="BN77" t="n">
        <v>0</v>
      </c>
      <c r="BO77" t="n">
        <v>0</v>
      </c>
      <c r="BP77" t="n">
        <v>0</v>
      </c>
      <c r="BQ77" t="n">
        <v>0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4744747140.40822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</row>
    <row r="78">
      <c r="A78" t="s">
        <v>189</v>
      </c>
      <c r="B78" t="n">
        <v>45402.4468906704</v>
      </c>
      <c r="C78" t="n">
        <v>2180.39917125504</v>
      </c>
      <c r="D78" t="n">
        <v>0</v>
      </c>
      <c r="E78" t="n">
        <v>13773.5449145818</v>
      </c>
      <c r="F78" t="n">
        <v>0</v>
      </c>
      <c r="G78" t="n">
        <v>841915.521029183</v>
      </c>
      <c r="H78" t="n">
        <v>45367.2915509034</v>
      </c>
      <c r="I78" t="n">
        <v>0</v>
      </c>
      <c r="J78" t="n">
        <v>0</v>
      </c>
      <c r="K78" t="n">
        <v>55176.1334243011</v>
      </c>
      <c r="L78" t="n">
        <v>300011.433618429</v>
      </c>
      <c r="M78" t="n">
        <v>554544.852329023</v>
      </c>
      <c r="N78" t="n">
        <v>259954.368115764</v>
      </c>
      <c r="O78" t="n">
        <v>164118.407891771</v>
      </c>
      <c r="P78" t="n">
        <v>0</v>
      </c>
      <c r="Q78" t="n">
        <v>0</v>
      </c>
      <c r="R78" t="n">
        <v>0</v>
      </c>
      <c r="S78" t="n">
        <v>85825.6131445859</v>
      </c>
      <c r="T78" t="n">
        <v>0</v>
      </c>
      <c r="U78" t="n">
        <v>2035.77244448686</v>
      </c>
      <c r="V78" t="n">
        <v>0</v>
      </c>
      <c r="W78" t="n">
        <v>0</v>
      </c>
      <c r="X78" t="n">
        <v>111792.175267427</v>
      </c>
      <c r="Y78" t="n">
        <v>76885.811800505</v>
      </c>
      <c r="Z78" t="n">
        <v>64680.5994803006</v>
      </c>
      <c r="AA78" t="n">
        <v>0</v>
      </c>
      <c r="AB78" t="n">
        <v>75429385.2631586</v>
      </c>
      <c r="AC78" t="n">
        <v>3456279.13425829</v>
      </c>
      <c r="AD78" t="n">
        <v>3098517.44851255</v>
      </c>
      <c r="AE78" t="n">
        <v>1544555.4146194</v>
      </c>
      <c r="AF78" t="n">
        <v>13725418.3330394</v>
      </c>
      <c r="AG78" t="n">
        <v>22913.2534329231</v>
      </c>
      <c r="AH78" t="n">
        <v>0</v>
      </c>
      <c r="AI78" t="n">
        <v>130550.629252368</v>
      </c>
      <c r="AJ78" t="n">
        <v>10362704.5430347</v>
      </c>
      <c r="AK78" t="n">
        <v>988693.570950207</v>
      </c>
      <c r="AL78" t="n">
        <v>1236104.3850894</v>
      </c>
      <c r="AM78" t="n">
        <v>2801717.50354884</v>
      </c>
      <c r="AN78" t="n">
        <v>1526336.85518413</v>
      </c>
      <c r="AO78" t="n">
        <v>2193122.72210249</v>
      </c>
      <c r="AP78" t="n">
        <v>517983.013841245</v>
      </c>
      <c r="AQ78" t="n">
        <v>671335.616962932</v>
      </c>
      <c r="AR78" t="n">
        <v>5819025.78365815</v>
      </c>
      <c r="AS78" t="n">
        <v>5859098.73388614</v>
      </c>
      <c r="AT78" t="n">
        <v>10197017.1178215</v>
      </c>
      <c r="AU78" t="n">
        <v>234650.393754985</v>
      </c>
      <c r="AV78" t="n">
        <v>0</v>
      </c>
      <c r="AW78" t="n">
        <v>0</v>
      </c>
      <c r="AX78" t="n">
        <v>1696041.96553039</v>
      </c>
      <c r="AY78" t="n">
        <v>5001614.65203704</v>
      </c>
      <c r="AZ78" t="n">
        <v>881952.680909651</v>
      </c>
      <c r="BA78" t="n">
        <v>3022467.70232269</v>
      </c>
      <c r="BB78" t="n">
        <v>12696413.8945653</v>
      </c>
      <c r="BC78" t="n">
        <v>1039705.79176615</v>
      </c>
      <c r="BD78" t="n">
        <v>4748225.42476405</v>
      </c>
      <c r="BE78" t="n">
        <v>581075.567006938</v>
      </c>
      <c r="BF78" t="n">
        <v>1541544.6091247</v>
      </c>
      <c r="BG78" t="n">
        <v>4332568.87928549</v>
      </c>
      <c r="BH78" t="n">
        <v>8350520.85089926</v>
      </c>
      <c r="BI78" t="n">
        <v>823095.454189447</v>
      </c>
      <c r="BJ78" t="n">
        <v>1886816.60236637</v>
      </c>
      <c r="BK78" t="n">
        <v>623769.821039772</v>
      </c>
      <c r="BL78" t="n">
        <v>622716.877116295</v>
      </c>
      <c r="BM78" t="n">
        <v>3623247.2319672</v>
      </c>
      <c r="BN78" t="n">
        <v>28728203.7603576</v>
      </c>
      <c r="BO78" t="n">
        <v>2286566.42320266</v>
      </c>
      <c r="BP78" t="n">
        <v>3504.2707035611</v>
      </c>
      <c r="BQ78" t="n">
        <v>435784.335544491</v>
      </c>
      <c r="BR78" t="n">
        <v>327338.975851877</v>
      </c>
      <c r="BS78" t="n">
        <v>9113169.27285383</v>
      </c>
      <c r="BT78" t="n">
        <v>254179.862907992</v>
      </c>
      <c r="BU78" t="n">
        <v>25461500.8466703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15440574.6146868</v>
      </c>
      <c r="CB78" t="n">
        <v>-4328999.51123291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</row>
    <row r="79">
      <c r="A79" t="s">
        <v>190</v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31544149210.3587</v>
      </c>
      <c r="CL79" t="n">
        <v>0</v>
      </c>
      <c r="CM79" t="n">
        <v>0</v>
      </c>
      <c r="CN79" t="n">
        <v>0</v>
      </c>
    </row>
    <row r="80">
      <c r="A80" t="s">
        <v>191</v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8411657.25766668</v>
      </c>
      <c r="H80" t="n">
        <v>0</v>
      </c>
      <c r="I80" t="n">
        <v>629717.032462682</v>
      </c>
      <c r="J80" t="n">
        <v>3980092.65123823</v>
      </c>
      <c r="K80" t="n">
        <v>1405800.53997131</v>
      </c>
      <c r="L80" t="n">
        <v>2982341.49353313</v>
      </c>
      <c r="M80" t="n">
        <v>2141399.01873372</v>
      </c>
      <c r="N80" t="n">
        <v>1148740.86541393</v>
      </c>
      <c r="O80" t="n">
        <v>224643.76083274</v>
      </c>
      <c r="P80" t="n">
        <v>198599.11594853</v>
      </c>
      <c r="Q80" t="n">
        <v>2171229.80660366</v>
      </c>
      <c r="R80" t="n">
        <v>823087.809400583</v>
      </c>
      <c r="S80" t="n">
        <v>2021739.13057687</v>
      </c>
      <c r="T80" t="n">
        <v>15647644.4994132</v>
      </c>
      <c r="U80" t="n">
        <v>250605.59020427</v>
      </c>
      <c r="V80" t="n">
        <v>9023.807062276</v>
      </c>
      <c r="W80" t="n">
        <v>631417.820055604</v>
      </c>
      <c r="X80" t="n">
        <v>552168.047761744</v>
      </c>
      <c r="Y80" t="n">
        <v>2629088.62606431</v>
      </c>
      <c r="Z80" t="n">
        <v>6458749.16298694</v>
      </c>
      <c r="AA80" t="n">
        <v>1951126.75550993</v>
      </c>
      <c r="AB80" t="n">
        <v>25852420.0488588</v>
      </c>
      <c r="AC80" t="n">
        <v>9140282.45525774</v>
      </c>
      <c r="AD80" t="n">
        <v>6933311.29677971</v>
      </c>
      <c r="AE80" t="n">
        <v>3395251.65786253</v>
      </c>
      <c r="AF80" t="n">
        <v>11617491.5549087</v>
      </c>
      <c r="AG80" t="n">
        <v>278582.126811625</v>
      </c>
      <c r="AH80" t="n">
        <v>0</v>
      </c>
      <c r="AI80" t="n">
        <v>0</v>
      </c>
      <c r="AJ80" t="n">
        <v>5923888.35420136</v>
      </c>
      <c r="AK80" t="n">
        <v>86042.4028268551</v>
      </c>
      <c r="AL80" t="n">
        <v>4756272.32773908</v>
      </c>
      <c r="AM80" t="n">
        <v>1368276.47504045</v>
      </c>
      <c r="AN80" t="n">
        <v>1853896.68801963</v>
      </c>
      <c r="AO80" t="n">
        <v>1354161.65359266</v>
      </c>
      <c r="AP80" t="n">
        <v>459942.402168392</v>
      </c>
      <c r="AQ80" t="n">
        <v>1555384.00499233</v>
      </c>
      <c r="AR80" t="n">
        <v>1817469.44804687</v>
      </c>
      <c r="AS80" t="n">
        <v>7681293.06069946</v>
      </c>
      <c r="AT80" t="n">
        <v>3358759.63158083</v>
      </c>
      <c r="AU80" t="n">
        <v>909979.299869971</v>
      </c>
      <c r="AV80" t="n">
        <v>0</v>
      </c>
      <c r="AW80" t="n">
        <v>0</v>
      </c>
      <c r="AX80" t="n">
        <v>40426648.9133141</v>
      </c>
      <c r="AY80" t="n">
        <v>20004734.4315915</v>
      </c>
      <c r="AZ80" t="n">
        <v>6561946.08828122</v>
      </c>
      <c r="BA80" t="n">
        <v>6784253.36687875</v>
      </c>
      <c r="BB80" t="n">
        <v>29429379.2255685</v>
      </c>
      <c r="BC80" t="n">
        <v>10517783.3335799</v>
      </c>
      <c r="BD80" t="n">
        <v>25360930.5521472</v>
      </c>
      <c r="BE80" t="n">
        <v>18296332.1209269</v>
      </c>
      <c r="BF80" t="n">
        <v>1654909.92640938</v>
      </c>
      <c r="BG80" t="n">
        <v>13369795.3536223</v>
      </c>
      <c r="BH80" t="n">
        <v>10641879.5669102</v>
      </c>
      <c r="BI80" t="n">
        <v>7573428.83082821</v>
      </c>
      <c r="BJ80" t="n">
        <v>3878397.45684256</v>
      </c>
      <c r="BK80" t="n">
        <v>2120723.93939178</v>
      </c>
      <c r="BL80" t="n">
        <v>9071431.67679361</v>
      </c>
      <c r="BM80" t="n">
        <v>16927274.313485</v>
      </c>
      <c r="BN80" t="n">
        <v>32101689.7805305</v>
      </c>
      <c r="BO80" t="n">
        <v>26747883.2889692</v>
      </c>
      <c r="BP80" t="n">
        <v>22208038.7642394</v>
      </c>
      <c r="BQ80" t="n">
        <v>17027472.8281487</v>
      </c>
      <c r="BR80" t="n">
        <v>4404503.82633455</v>
      </c>
      <c r="BS80" t="n">
        <v>127601414.871956</v>
      </c>
      <c r="BT80" t="n">
        <v>22277521.1879471</v>
      </c>
      <c r="BU80" t="n">
        <v>1052491694.70372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</row>
    <row r="81">
      <c r="A81" t="s">
        <v>192</v>
      </c>
      <c r="B81" t="n">
        <v>-310504.770439237</v>
      </c>
      <c r="C81" t="n">
        <v>1232694.48267218</v>
      </c>
      <c r="D81" t="n">
        <v>0</v>
      </c>
      <c r="E81" t="n">
        <v>0</v>
      </c>
      <c r="F81" t="n">
        <v>62363561.1271249</v>
      </c>
      <c r="G81" t="n">
        <v>66311670.8286722</v>
      </c>
      <c r="H81" t="n">
        <v>73170674.7089854</v>
      </c>
      <c r="I81" t="n">
        <v>0</v>
      </c>
      <c r="J81" t="n">
        <v>1761305.3686514</v>
      </c>
      <c r="K81" t="n">
        <v>188532650.310573</v>
      </c>
      <c r="L81" t="n">
        <v>6413155.39210884</v>
      </c>
      <c r="M81" t="n">
        <v>65173.0136136349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2043478.26101318</v>
      </c>
      <c r="T81" t="n">
        <v>15370.9670917615</v>
      </c>
      <c r="U81" t="n">
        <v>92816.8852608407</v>
      </c>
      <c r="V81" t="n">
        <v>0</v>
      </c>
      <c r="W81" t="n">
        <v>4902608.58505396</v>
      </c>
      <c r="X81" t="n">
        <v>0</v>
      </c>
      <c r="Y81" t="n">
        <v>0</v>
      </c>
      <c r="Z81" t="n">
        <v>174038.15109845</v>
      </c>
      <c r="AA81" t="n">
        <v>480277.355202444</v>
      </c>
      <c r="AB81" t="n">
        <v>0</v>
      </c>
      <c r="AC81" t="n">
        <v>786260.856366258</v>
      </c>
      <c r="AD81" t="n">
        <v>0</v>
      </c>
      <c r="AE81" t="n">
        <v>0</v>
      </c>
      <c r="AF81" t="n">
        <v>3239077.57107119</v>
      </c>
      <c r="AG81" t="n">
        <v>-8705691.46286328</v>
      </c>
      <c r="AH81" t="n">
        <v>0</v>
      </c>
      <c r="AI81" t="n">
        <v>-38913.5897931568</v>
      </c>
      <c r="AJ81" t="n">
        <v>4588527.43023271</v>
      </c>
      <c r="AK81" t="n">
        <v>43021.2014134276</v>
      </c>
      <c r="AL81" t="n">
        <v>9122686.26795857</v>
      </c>
      <c r="AM81" t="n">
        <v>22348515.758994</v>
      </c>
      <c r="AN81" t="n">
        <v>0</v>
      </c>
      <c r="AO81" t="n">
        <v>0</v>
      </c>
      <c r="AP81" t="n">
        <v>816235.812298836</v>
      </c>
      <c r="AQ81" t="n">
        <v>20465.579013057</v>
      </c>
      <c r="AR81" t="n">
        <v>0</v>
      </c>
      <c r="AS81" t="n">
        <v>0</v>
      </c>
      <c r="AT81" t="n">
        <v>0</v>
      </c>
      <c r="AU81" t="n">
        <v>0</v>
      </c>
      <c r="AV81" t="n">
        <v>0</v>
      </c>
      <c r="AW81" t="n">
        <v>0</v>
      </c>
      <c r="AX81" t="n">
        <v>0</v>
      </c>
      <c r="AY81" t="n">
        <v>164340.611461917</v>
      </c>
      <c r="AZ81" t="n">
        <v>0</v>
      </c>
      <c r="BA81" t="n">
        <v>0</v>
      </c>
      <c r="BB81" t="n">
        <v>0</v>
      </c>
      <c r="BC81" t="n">
        <v>4810459.04404042</v>
      </c>
      <c r="BD81" t="n">
        <v>0</v>
      </c>
      <c r="BE81" t="n">
        <v>0</v>
      </c>
      <c r="BF81" t="n">
        <v>3611906.58541729</v>
      </c>
      <c r="BG81" t="n">
        <v>0</v>
      </c>
      <c r="BH81" t="n">
        <v>0</v>
      </c>
      <c r="BI81" t="n">
        <v>0</v>
      </c>
      <c r="BJ81" t="n">
        <v>0</v>
      </c>
      <c r="BK81" t="n">
        <v>-2522930.20375919</v>
      </c>
      <c r="BL81" t="n">
        <v>18315982.2787169</v>
      </c>
      <c r="BM81" t="n">
        <v>0</v>
      </c>
      <c r="BN81" t="n">
        <v>0</v>
      </c>
      <c r="BO81" t="n">
        <v>537188301.064738</v>
      </c>
      <c r="BP81" t="n">
        <v>-1198275.47289061</v>
      </c>
      <c r="BQ81" t="n">
        <v>0</v>
      </c>
      <c r="BR81" t="n">
        <v>0</v>
      </c>
      <c r="BS81" t="n">
        <v>0</v>
      </c>
      <c r="BT81" t="n">
        <v>0</v>
      </c>
      <c r="BU81" t="n">
        <v>1580923086.96099</v>
      </c>
      <c r="BV81" t="n">
        <v>-38214532.1393101</v>
      </c>
      <c r="BW81" t="n">
        <v>-1636444680.32643</v>
      </c>
      <c r="BX81" t="n">
        <v>0</v>
      </c>
      <c r="BY81" t="n">
        <v>-18313719.0681838</v>
      </c>
      <c r="BZ81" t="n">
        <v>32648694.9525188</v>
      </c>
      <c r="CA81" t="n">
        <v>318960419.69305</v>
      </c>
      <c r="CB81" t="n">
        <v>-233505677.971122</v>
      </c>
      <c r="CC81" t="n">
        <v>0</v>
      </c>
      <c r="CD81" t="n">
        <v>-50598.5198799207</v>
      </c>
      <c r="CE81" t="n">
        <v>0</v>
      </c>
      <c r="CF81" t="n">
        <v>0</v>
      </c>
      <c r="CG81" t="n">
        <v>0</v>
      </c>
      <c r="CH81" t="n">
        <v>-6995245.37339904</v>
      </c>
      <c r="CI81" t="n">
        <v>417437.789009346</v>
      </c>
      <c r="CJ81" t="n">
        <v>0</v>
      </c>
      <c r="CK81" t="n">
        <v>0</v>
      </c>
      <c r="CL81" t="n">
        <v>86185395.5107298</v>
      </c>
      <c r="CM81" t="n">
        <v>-357953875.727772</v>
      </c>
      <c r="CN81" t="n">
        <v>0</v>
      </c>
    </row>
    <row r="82">
      <c r="A82" t="s">
        <v>193</v>
      </c>
      <c r="B82" t="n">
        <v>16094497.2677671</v>
      </c>
      <c r="C82" t="n">
        <v>178939.52167822</v>
      </c>
      <c r="D82" t="n">
        <v>43891953.4771831</v>
      </c>
      <c r="E82" t="n">
        <v>418651.092835022</v>
      </c>
      <c r="F82" t="n">
        <v>24484285.4425156</v>
      </c>
      <c r="G82" t="n">
        <v>21213190.7502907</v>
      </c>
      <c r="H82" t="n">
        <v>39222584.2874667</v>
      </c>
      <c r="I82" t="n">
        <v>1898549.85906659</v>
      </c>
      <c r="J82" t="n">
        <v>6770732.32624435</v>
      </c>
      <c r="K82" t="n">
        <v>4631742.83169495</v>
      </c>
      <c r="L82" t="n">
        <v>8117350.53127063</v>
      </c>
      <c r="M82" t="n">
        <v>12671495.9325939</v>
      </c>
      <c r="N82" t="n">
        <v>46259612.3103989</v>
      </c>
      <c r="O82" t="n">
        <v>1725672.52639696</v>
      </c>
      <c r="P82" t="n">
        <v>2895162.43704189</v>
      </c>
      <c r="Q82" t="n">
        <v>6444979.61580455</v>
      </c>
      <c r="R82" t="n">
        <v>2048963.27020996</v>
      </c>
      <c r="S82" t="n">
        <v>9586956.52241288</v>
      </c>
      <c r="T82" t="n">
        <v>34000579.2069765</v>
      </c>
      <c r="U82" t="n">
        <v>450161.893515077</v>
      </c>
      <c r="V82" t="n">
        <v>67678.55296707</v>
      </c>
      <c r="W82" t="n">
        <v>1613623.31791988</v>
      </c>
      <c r="X82" t="n">
        <v>2601560.99426206</v>
      </c>
      <c r="Y82" t="n">
        <v>43000205.0840741</v>
      </c>
      <c r="Z82" t="n">
        <v>11501021.1517559</v>
      </c>
      <c r="AA82" t="n">
        <v>6643836.74696714</v>
      </c>
      <c r="AB82" t="n">
        <v>125606202.459607</v>
      </c>
      <c r="AC82" t="n">
        <v>2221186.91923468</v>
      </c>
      <c r="AD82" t="n">
        <v>10118886.7574623</v>
      </c>
      <c r="AE82" t="n">
        <v>18064479.974525</v>
      </c>
      <c r="AF82" t="n">
        <v>49090020.0771234</v>
      </c>
      <c r="AG82" t="n">
        <v>587843110.33838</v>
      </c>
      <c r="AH82" t="n">
        <v>2148183.4322089</v>
      </c>
      <c r="AI82" t="n">
        <v>397428.958051421</v>
      </c>
      <c r="AJ82" t="n">
        <v>14106525.5053284</v>
      </c>
      <c r="AK82" t="n">
        <v>225861.307420495</v>
      </c>
      <c r="AL82" t="n">
        <v>8303983.65416742</v>
      </c>
      <c r="AM82" t="n">
        <v>6689351.6557533</v>
      </c>
      <c r="AN82" t="n">
        <v>982788.605697151</v>
      </c>
      <c r="AO82" t="n">
        <v>17136300.1981908</v>
      </c>
      <c r="AP82" t="n">
        <v>3342679.9932238</v>
      </c>
      <c r="AQ82" t="n">
        <v>125556327.245105</v>
      </c>
      <c r="AR82" t="n">
        <v>14845666.2835511</v>
      </c>
      <c r="AS82" t="n">
        <v>56249615.7894524</v>
      </c>
      <c r="AT82" t="n">
        <v>588573231.910547</v>
      </c>
      <c r="AU82" t="n">
        <v>17830675.4704251</v>
      </c>
      <c r="AV82" t="n">
        <v>2687350.42735043</v>
      </c>
      <c r="AW82" t="n">
        <v>630909.847800217</v>
      </c>
      <c r="AX82" t="n">
        <v>13055234.7624912</v>
      </c>
      <c r="AY82" t="n">
        <v>23022625.6602558</v>
      </c>
      <c r="AZ82" t="n">
        <v>2985263.02728673</v>
      </c>
      <c r="BA82" t="n">
        <v>59808549.4185363</v>
      </c>
      <c r="BB82" t="n">
        <v>80991597.3728456</v>
      </c>
      <c r="BC82" t="n">
        <v>38504055.6533574</v>
      </c>
      <c r="BD82" t="n">
        <v>25962159.5092025</v>
      </c>
      <c r="BE82" t="n">
        <v>2157041.26057244</v>
      </c>
      <c r="BF82" t="n">
        <v>5687111.09631159</v>
      </c>
      <c r="BG82" t="n">
        <v>0</v>
      </c>
      <c r="BH82" t="n">
        <v>0</v>
      </c>
      <c r="BI82" t="n">
        <v>4343584.18238677</v>
      </c>
      <c r="BJ82" t="n">
        <v>0</v>
      </c>
      <c r="BK82" t="n">
        <v>6343889.71524956</v>
      </c>
      <c r="BL82" t="n">
        <v>8067341.91104164</v>
      </c>
      <c r="BM82" t="n">
        <v>14478940.3728812</v>
      </c>
      <c r="BN82" t="n">
        <v>41971141.331179</v>
      </c>
      <c r="BO82" t="n">
        <v>81151696.0892639</v>
      </c>
      <c r="BP82" t="n">
        <v>140869264.593021</v>
      </c>
      <c r="BQ82" t="n">
        <v>37432624.0469454</v>
      </c>
      <c r="BR82" t="n">
        <v>72801.7161377612</v>
      </c>
      <c r="BS82" t="n">
        <v>0</v>
      </c>
      <c r="BT82" t="n">
        <v>0</v>
      </c>
      <c r="BU82" t="n">
        <v>-1428586241.98473</v>
      </c>
      <c r="BV82" t="n">
        <v>0</v>
      </c>
      <c r="BW82" t="n">
        <v>0</v>
      </c>
      <c r="BX82" t="n">
        <v>191279035.247156</v>
      </c>
      <c r="BY82" t="n">
        <v>0</v>
      </c>
      <c r="BZ82" t="n">
        <v>0</v>
      </c>
      <c r="CA82" t="n">
        <v>4117607187.16325</v>
      </c>
      <c r="CB82" t="n">
        <v>-5277058656.87322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9" topLeftCell="A10" activePane="bottomLeft" state="frozen"/>
      <selection pane="bottomLeft"/>
    </sheetView>
  </sheetViews>
  <sheetFormatPr defaultRowHeight="15.0" baseColWidth="10"/>
  <cols>
    <col min="1" max="1" width="8.71" hidden="0" customWidth="1"/>
    <col min="2" max="2" width="14.71" hidden="0" customWidth="1"/>
    <col min="3" max="3" width="18.71" hidden="0" customWidth="1"/>
    <col min="4" max="4" width="18.71" hidden="0" customWidth="1"/>
    <col min="5" max="5" width="70.71" hidden="0" customWidth="1"/>
  </cols>
  <sheetData>
    <row r="1">
      <c r="A1" t="s">
        <v>226</v>
      </c>
    </row>
    <row r="2">
      <c r="A2" t="s">
        <v>227</v>
      </c>
    </row>
    <row r="3">
      <c r="A3" t="s">
        <v>228</v>
      </c>
    </row>
    <row r="4">
      <c r="A4" t="s">
        <v>64</v>
      </c>
    </row>
    <row r="5">
      <c r="A5" t="s">
        <v>1</v>
      </c>
    </row>
    <row r="6">
      <c r="A6" t="s">
        <v>229</v>
      </c>
    </row>
    <row r="7">
      <c r="A7" t="s">
        <v>1</v>
      </c>
    </row>
    <row r="9">
      <c r="A9" t="s">
        <v>230</v>
      </c>
      <c r="B9" t="s">
        <v>231</v>
      </c>
      <c r="C9" t="s">
        <v>232</v>
      </c>
      <c r="D9" t="s">
        <v>233</v>
      </c>
      <c r="E9" t="s">
        <v>234</v>
      </c>
    </row>
    <row r="10">
      <c r="A10" t="s">
        <v>235</v>
      </c>
      <c r="B10" t="n">
        <v>12031000</v>
      </c>
      <c r="C10" t="s">
        <v>236</v>
      </c>
      <c r="D10" t="n">
        <v>600000000</v>
      </c>
      <c r="E10" t="s">
        <v>237</v>
      </c>
    </row>
    <row r="11">
      <c r="A11" t="s">
        <v>238</v>
      </c>
      <c r="B11" t="n">
        <v>1000000</v>
      </c>
      <c r="C11" t="s">
        <v>236</v>
      </c>
      <c r="D11" t="n">
        <v>40000000</v>
      </c>
      <c r="E11" t="s">
        <v>239</v>
      </c>
    </row>
    <row r="12">
      <c r="A12" t="s">
        <v>240</v>
      </c>
      <c r="B12" t="n">
        <v>4220000</v>
      </c>
      <c r="C12" t="s">
        <v>236</v>
      </c>
      <c r="D12" t="n">
        <v>125000000</v>
      </c>
      <c r="E12" t="s">
        <v>241</v>
      </c>
    </row>
    <row r="13">
      <c r="A13" t="s">
        <v>242</v>
      </c>
      <c r="B13" t="n">
        <v>0</v>
      </c>
      <c r="C13" t="s">
        <v>236</v>
      </c>
      <c r="D13" t="n">
        <v>0</v>
      </c>
      <c r="E13"/>
    </row>
    <row r="14">
      <c r="A14" t="s">
        <v>243</v>
      </c>
      <c r="B14" t="n">
        <v>0</v>
      </c>
      <c r="C14" t="s">
        <v>236</v>
      </c>
      <c r="D14" t="n">
        <v>0</v>
      </c>
      <c r="E14"/>
    </row>
    <row r="15">
      <c r="A15" t="s">
        <v>244</v>
      </c>
      <c r="B15" t="n">
        <v>10710000</v>
      </c>
      <c r="C15" t="s">
        <v>236</v>
      </c>
      <c r="D15" t="n">
        <v>330000000</v>
      </c>
      <c r="E15" t="s">
        <v>245</v>
      </c>
    </row>
    <row r="16">
      <c r="A16" t="s">
        <v>246</v>
      </c>
      <c r="B16" t="n">
        <v>0</v>
      </c>
      <c r="C16" t="s">
        <v>236</v>
      </c>
      <c r="D16" t="n">
        <v>0</v>
      </c>
      <c r="E16"/>
    </row>
    <row r="17">
      <c r="A17" t="s">
        <v>247</v>
      </c>
      <c r="B17" t="n">
        <v>0</v>
      </c>
      <c r="C17" t="s">
        <v>236</v>
      </c>
      <c r="D17" t="n">
        <v>0</v>
      </c>
      <c r="E17"/>
    </row>
    <row r="18">
      <c r="A18" t="s">
        <v>248</v>
      </c>
      <c r="B18" t="n">
        <v>0</v>
      </c>
      <c r="C18" t="s">
        <v>236</v>
      </c>
      <c r="D18" t="n">
        <v>0</v>
      </c>
      <c r="E18"/>
    </row>
    <row r="19">
      <c r="A19" t="s">
        <v>249</v>
      </c>
      <c r="B19" t="n">
        <v>0</v>
      </c>
      <c r="C19" t="s">
        <v>236</v>
      </c>
      <c r="D19" t="n">
        <v>0</v>
      </c>
      <c r="E19"/>
    </row>
    <row r="20">
      <c r="A20" t="s">
        <v>250</v>
      </c>
      <c r="B20" t="n">
        <v>0</v>
      </c>
      <c r="C20" t="s">
        <v>236</v>
      </c>
      <c r="D20" t="n">
        <v>0</v>
      </c>
      <c r="E20"/>
    </row>
    <row r="21">
      <c r="A21" t="s">
        <v>251</v>
      </c>
      <c r="B21" t="n">
        <v>0</v>
      </c>
      <c r="C21" t="s">
        <v>236</v>
      </c>
      <c r="D21" t="n">
        <v>0</v>
      </c>
      <c r="E21"/>
    </row>
    <row r="22">
      <c r="A22" t="s">
        <v>252</v>
      </c>
      <c r="B22" t="n">
        <v>0</v>
      </c>
      <c r="C22" t="s">
        <v>236</v>
      </c>
      <c r="D22" t="n">
        <v>0</v>
      </c>
      <c r="E22"/>
    </row>
    <row r="23">
      <c r="A23" t="s">
        <v>253</v>
      </c>
      <c r="B23" t="n">
        <v>45919000</v>
      </c>
      <c r="C23" t="s">
        <v>236</v>
      </c>
      <c r="D23" t="n">
        <v>1950000000</v>
      </c>
      <c r="E23" t="s">
        <v>254</v>
      </c>
    </row>
    <row r="24">
      <c r="A24" t="s">
        <v>255</v>
      </c>
      <c r="B24" t="n">
        <v>28820000</v>
      </c>
      <c r="C24" t="s">
        <v>236</v>
      </c>
      <c r="D24" t="n">
        <v>1210000000</v>
      </c>
      <c r="E24" t="s">
        <v>254</v>
      </c>
    </row>
    <row r="25">
      <c r="A25" t="s">
        <v>256</v>
      </c>
      <c r="B25" t="n">
        <v>0</v>
      </c>
      <c r="C25" t="s">
        <v>236</v>
      </c>
      <c r="D25" t="n">
        <v>0</v>
      </c>
      <c r="E25"/>
    </row>
    <row r="26">
      <c r="A26" t="s">
        <v>257</v>
      </c>
      <c r="B26" t="n">
        <v>0</v>
      </c>
      <c r="C26" t="s">
        <v>236</v>
      </c>
      <c r="D26" t="n">
        <v>0</v>
      </c>
      <c r="E26"/>
    </row>
    <row r="27">
      <c r="A27" t="s">
        <v>258</v>
      </c>
      <c r="B27" t="n">
        <v>36140000</v>
      </c>
      <c r="C27" t="s">
        <v>236</v>
      </c>
      <c r="D27" t="n">
        <v>1730000000</v>
      </c>
      <c r="E27" t="s">
        <v>259</v>
      </c>
    </row>
    <row r="28">
      <c r="A28" t="s">
        <v>260</v>
      </c>
      <c r="B28" t="n">
        <v>2720000</v>
      </c>
      <c r="C28" t="s">
        <v>236</v>
      </c>
      <c r="D28" t="n">
        <v>60000000</v>
      </c>
      <c r="E28" t="s">
        <v>261</v>
      </c>
    </row>
    <row r="29">
      <c r="A29" t="s">
        <v>262</v>
      </c>
      <c r="B29" t="n">
        <v>0</v>
      </c>
      <c r="C29" t="s">
        <v>236</v>
      </c>
      <c r="D29" t="n">
        <v>0</v>
      </c>
      <c r="E29"/>
    </row>
    <row r="30">
      <c r="A30" t="s">
        <v>263</v>
      </c>
      <c r="B30" t="n">
        <v>1320000</v>
      </c>
      <c r="C30" t="s">
        <v>236</v>
      </c>
      <c r="D30" t="n">
        <v>70000000</v>
      </c>
      <c r="E30" t="s">
        <v>264</v>
      </c>
    </row>
    <row r="31">
      <c r="A31" t="s">
        <v>265</v>
      </c>
      <c r="B31" t="n">
        <v>0</v>
      </c>
      <c r="C31" t="s">
        <v>236</v>
      </c>
      <c r="D31" t="n">
        <v>0</v>
      </c>
      <c r="E31"/>
    </row>
    <row r="32">
      <c r="A32" t="s">
        <v>266</v>
      </c>
      <c r="B32" t="n">
        <v>0</v>
      </c>
      <c r="C32" t="s">
        <v>236</v>
      </c>
      <c r="D32" t="n">
        <v>0</v>
      </c>
      <c r="E32"/>
    </row>
    <row r="33">
      <c r="A33" t="s">
        <v>267</v>
      </c>
      <c r="B33" t="n">
        <v>0</v>
      </c>
      <c r="C33" t="s">
        <v>236</v>
      </c>
      <c r="D33" t="n">
        <v>0</v>
      </c>
      <c r="E33"/>
    </row>
    <row r="34">
      <c r="A34" t="s">
        <v>268</v>
      </c>
      <c r="B34" t="n">
        <v>2800000</v>
      </c>
      <c r="C34" t="s">
        <v>236</v>
      </c>
      <c r="D34" t="n">
        <v>65000000</v>
      </c>
      <c r="E34" t="s">
        <v>269</v>
      </c>
    </row>
    <row r="35">
      <c r="A35" t="s">
        <v>270</v>
      </c>
      <c r="B35" t="n">
        <v>264000</v>
      </c>
      <c r="C35" t="s">
        <v>236</v>
      </c>
      <c r="D35" t="n">
        <v>12000000</v>
      </c>
      <c r="E35"/>
    </row>
    <row r="36">
      <c r="A36" t="s">
        <v>271</v>
      </c>
      <c r="B36" t="n">
        <v>38660000</v>
      </c>
      <c r="C36" t="s">
        <v>236</v>
      </c>
      <c r="D36" t="n">
        <v>590000000</v>
      </c>
      <c r="E36" t="s">
        <v>272</v>
      </c>
    </row>
    <row r="37">
      <c r="A37" t="s">
        <v>273</v>
      </c>
      <c r="B37" t="n">
        <v>0</v>
      </c>
      <c r="C37" t="s">
        <v>236</v>
      </c>
      <c r="D37" t="n">
        <v>0</v>
      </c>
      <c r="E37"/>
    </row>
    <row r="38">
      <c r="A38" t="s">
        <v>274</v>
      </c>
      <c r="B38" t="n">
        <v>0</v>
      </c>
      <c r="C38" t="s">
        <v>236</v>
      </c>
      <c r="D38" t="n">
        <v>0</v>
      </c>
      <c r="E38"/>
    </row>
    <row r="39">
      <c r="A39" t="s">
        <v>275</v>
      </c>
      <c r="B39" t="n">
        <v>0</v>
      </c>
      <c r="C39" t="s">
        <v>236</v>
      </c>
      <c r="D39" t="n">
        <v>0</v>
      </c>
      <c r="E39"/>
    </row>
    <row r="40">
      <c r="A40" t="s">
        <v>276</v>
      </c>
      <c r="B40" t="n">
        <v>0</v>
      </c>
      <c r="C40" t="s">
        <v>236</v>
      </c>
      <c r="D40" t="n">
        <v>0</v>
      </c>
      <c r="E40"/>
    </row>
    <row r="41">
      <c r="A41" t="s">
        <v>277</v>
      </c>
      <c r="B41" t="n">
        <v>10720000</v>
      </c>
      <c r="C41" t="s">
        <v>236</v>
      </c>
      <c r="D41" t="n">
        <v>260000000</v>
      </c>
      <c r="E41" t="s">
        <v>278</v>
      </c>
    </row>
    <row r="42">
      <c r="A42" t="s">
        <v>279</v>
      </c>
      <c r="B42" t="n">
        <v>0</v>
      </c>
      <c r="C42" t="s">
        <v>236</v>
      </c>
      <c r="D42" t="n">
        <v>0</v>
      </c>
      <c r="E42"/>
    </row>
    <row r="43">
      <c r="A43" t="s">
        <v>280</v>
      </c>
      <c r="B43" t="n">
        <v>0</v>
      </c>
      <c r="C43" t="s">
        <v>236</v>
      </c>
      <c r="D43" t="n">
        <v>0</v>
      </c>
      <c r="E43"/>
    </row>
    <row r="44">
      <c r="A44" t="s">
        <v>281</v>
      </c>
      <c r="B44" t="n">
        <v>27870000</v>
      </c>
      <c r="C44" t="s">
        <v>236</v>
      </c>
      <c r="D44" t="n">
        <v>560000000</v>
      </c>
      <c r="E44" t="s">
        <v>282</v>
      </c>
    </row>
    <row r="45">
      <c r="A45" t="s">
        <v>283</v>
      </c>
      <c r="B45" t="n">
        <v>8220000</v>
      </c>
      <c r="C45" t="s">
        <v>236</v>
      </c>
      <c r="D45" t="n">
        <v>430000000</v>
      </c>
      <c r="E45" t="s">
        <v>284</v>
      </c>
    </row>
    <row r="46">
      <c r="A46" t="s">
        <v>285</v>
      </c>
      <c r="B46" t="n">
        <v>930000</v>
      </c>
      <c r="C46" t="s">
        <v>236</v>
      </c>
      <c r="D46" t="n">
        <v>40000000</v>
      </c>
      <c r="E46"/>
    </row>
    <row r="47">
      <c r="A47" t="s">
        <v>286</v>
      </c>
      <c r="B47" t="n">
        <v>0</v>
      </c>
      <c r="C47" t="s">
        <v>236</v>
      </c>
      <c r="D47" t="n">
        <v>0</v>
      </c>
      <c r="E47"/>
    </row>
    <row r="48">
      <c r="A48" t="s">
        <v>287</v>
      </c>
      <c r="B48" t="n">
        <v>50110000</v>
      </c>
      <c r="C48" t="s">
        <v>236</v>
      </c>
      <c r="D48" t="n">
        <v>3000000000</v>
      </c>
      <c r="E48" t="s">
        <v>288</v>
      </c>
    </row>
    <row r="49">
      <c r="A49" t="s">
        <v>289</v>
      </c>
      <c r="B49" t="n">
        <v>0</v>
      </c>
      <c r="C49" t="s">
        <v>236</v>
      </c>
      <c r="D49" t="n">
        <v>0</v>
      </c>
      <c r="E49"/>
    </row>
    <row r="50">
      <c r="A50" t="s">
        <v>290</v>
      </c>
      <c r="B50" t="n">
        <v>0</v>
      </c>
      <c r="C50" t="s">
        <v>236</v>
      </c>
      <c r="D50" t="n">
        <v>0</v>
      </c>
      <c r="E50"/>
    </row>
    <row r="51">
      <c r="A51" t="s">
        <v>291</v>
      </c>
      <c r="B51" t="n">
        <v>0</v>
      </c>
      <c r="C51" t="s">
        <v>236</v>
      </c>
      <c r="D51" t="n">
        <v>0</v>
      </c>
      <c r="E51"/>
    </row>
    <row r="52">
      <c r="A52" t="s">
        <v>292</v>
      </c>
      <c r="B52" t="n">
        <v>400000</v>
      </c>
      <c r="C52" t="s">
        <v>236</v>
      </c>
      <c r="D52" t="n">
        <v>22000000</v>
      </c>
      <c r="E52" t="s">
        <v>293</v>
      </c>
    </row>
    <row r="53">
      <c r="A53" t="s">
        <v>294</v>
      </c>
      <c r="B53" t="n">
        <v>22820000</v>
      </c>
      <c r="C53" t="s">
        <v>236</v>
      </c>
      <c r="D53" t="n">
        <v>500000000</v>
      </c>
      <c r="E53" t="s">
        <v>261</v>
      </c>
    </row>
    <row r="54">
      <c r="A54" t="s">
        <v>295</v>
      </c>
      <c r="B54" t="n">
        <v>12810000</v>
      </c>
      <c r="C54" t="s">
        <v>236</v>
      </c>
      <c r="D54" t="n">
        <v>380000000</v>
      </c>
      <c r="E54" t="s">
        <v>296</v>
      </c>
    </row>
    <row r="55">
      <c r="A55" t="s">
        <v>297</v>
      </c>
      <c r="B55" t="n">
        <v>0</v>
      </c>
      <c r="C55" t="s">
        <v>236</v>
      </c>
      <c r="D55" t="n">
        <v>0</v>
      </c>
      <c r="E55"/>
    </row>
    <row r="56">
      <c r="A56" t="s">
        <v>298</v>
      </c>
      <c r="B56" t="n">
        <v>11480000</v>
      </c>
      <c r="C56" t="s">
        <v>236</v>
      </c>
      <c r="D56" t="n">
        <v>620000000</v>
      </c>
      <c r="E56" t="s">
        <v>299</v>
      </c>
    </row>
    <row r="57">
      <c r="A57" t="s">
        <v>300</v>
      </c>
      <c r="B57" t="n">
        <v>3050000</v>
      </c>
      <c r="C57" t="s">
        <v>236</v>
      </c>
      <c r="D57" t="n">
        <v>90000000</v>
      </c>
      <c r="E57" t="s">
        <v>301</v>
      </c>
    </row>
    <row r="58">
      <c r="A58" t="s">
        <v>302</v>
      </c>
      <c r="B58" t="n">
        <v>93320000</v>
      </c>
      <c r="C58" t="s">
        <v>236</v>
      </c>
      <c r="D58" t="n">
        <v>5050000000</v>
      </c>
      <c r="E58" t="s">
        <v>303</v>
      </c>
    </row>
    <row r="59">
      <c r="A59" t="s">
        <v>304</v>
      </c>
      <c r="B59" t="n">
        <v>0</v>
      </c>
      <c r="C59" t="s">
        <v>236</v>
      </c>
      <c r="D59" t="n">
        <v>0</v>
      </c>
      <c r="E59"/>
    </row>
    <row r="60">
      <c r="A60" t="s">
        <v>305</v>
      </c>
      <c r="B60" t="n">
        <v>276040000</v>
      </c>
      <c r="C60" t="s">
        <v>236</v>
      </c>
      <c r="D60" t="n">
        <v>3690000000</v>
      </c>
      <c r="E60" t="s">
        <v>306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5" topLeftCell="A26" activePane="bottomLeft" state="frozen"/>
      <selection pane="bottomLeft"/>
    </sheetView>
  </sheetViews>
  <sheetFormatPr defaultRowHeight="15.0" baseColWidth="10"/>
  <cols>
    <col min="1" max="1" width="8.71" hidden="0" customWidth="1"/>
    <col min="2" max="2" width="28.71" hidden="0" customWidth="1"/>
    <col min="3" max="3" width="28.71" hidden="0" customWidth="1"/>
    <col min="4" max="4" width="28.71" hidden="0" customWidth="1"/>
    <col min="5" max="5" width="28.71" hidden="0" customWidth="1"/>
  </cols>
  <sheetData>
    <row r="1">
      <c r="A1" t="s">
        <v>307</v>
      </c>
    </row>
    <row r="2">
      <c r="A2" t="s">
        <v>308</v>
      </c>
    </row>
    <row r="3">
      <c r="A3" t="s">
        <v>309</v>
      </c>
    </row>
    <row r="4">
      <c r="A4" t="s">
        <v>1</v>
      </c>
    </row>
    <row r="5">
      <c r="A5" t="s">
        <v>310</v>
      </c>
    </row>
    <row r="6">
      <c r="A6" t="s">
        <v>311</v>
      </c>
    </row>
    <row r="7">
      <c r="A7" t="s">
        <v>312</v>
      </c>
    </row>
    <row r="8">
      <c r="A8" t="s">
        <v>313</v>
      </c>
    </row>
    <row r="9">
      <c r="A9" t="s">
        <v>314</v>
      </c>
    </row>
    <row r="10">
      <c r="A10" t="s">
        <v>315</v>
      </c>
    </row>
    <row r="11">
      <c r="A11" t="s">
        <v>316</v>
      </c>
    </row>
    <row r="12">
      <c r="A12" t="s">
        <v>317</v>
      </c>
    </row>
    <row r="13">
      <c r="A13" t="s">
        <v>1</v>
      </c>
    </row>
    <row r="14">
      <c r="A14" t="s">
        <v>318</v>
      </c>
    </row>
    <row r="15">
      <c r="A15" t="s">
        <v>1</v>
      </c>
    </row>
    <row r="17">
      <c r="A17" t="s">
        <v>319</v>
      </c>
    </row>
    <row r="18">
      <c r="A18" t="s">
        <v>320</v>
      </c>
    </row>
    <row r="20">
      <c r="A20" t="s">
        <v>321</v>
      </c>
    </row>
    <row r="21">
      <c r="A21" t="s">
        <v>322</v>
      </c>
    </row>
    <row r="23">
      <c r="A23" t="s">
        <v>323</v>
      </c>
    </row>
    <row r="25">
      <c r="A25" t="s">
        <v>230</v>
      </c>
      <c r="B25" t="s">
        <v>324</v>
      </c>
      <c r="C25" t="s">
        <v>325</v>
      </c>
      <c r="D25" t="s">
        <v>326</v>
      </c>
      <c r="E25" t="s">
        <v>327</v>
      </c>
    </row>
    <row r="26">
      <c r="A26" t="s">
        <v>238</v>
      </c>
      <c r="B26" t="n">
        <v>0.4</v>
      </c>
      <c r="C26" t="n">
        <v>0.6</v>
      </c>
      <c r="D26" t="n">
        <v>0.3</v>
      </c>
      <c r="E26" t="n">
        <v>0.7</v>
      </c>
    </row>
    <row r="27">
      <c r="A27" t="s">
        <v>235</v>
      </c>
      <c r="B27" t="n">
        <v>0.7</v>
      </c>
      <c r="C27" t="n">
        <v>0.3</v>
      </c>
      <c r="D27" t="n">
        <v>0.15</v>
      </c>
      <c r="E27" t="n">
        <v>0.85</v>
      </c>
    </row>
    <row r="28">
      <c r="A28" t="s">
        <v>242</v>
      </c>
      <c r="B28" t="n">
        <v>0.5</v>
      </c>
      <c r="C28" t="n">
        <v>0.5</v>
      </c>
      <c r="D28" t="n">
        <v>0.1</v>
      </c>
      <c r="E28" t="n">
        <v>0.9</v>
      </c>
    </row>
    <row r="29">
      <c r="A29" t="s">
        <v>240</v>
      </c>
      <c r="B29" t="n">
        <v>0.3</v>
      </c>
      <c r="C29" t="n">
        <v>0.7</v>
      </c>
      <c r="D29" t="n">
        <v>0.2</v>
      </c>
      <c r="E29" t="n">
        <v>0.8</v>
      </c>
    </row>
    <row r="30">
      <c r="A30" t="s">
        <v>243</v>
      </c>
      <c r="B30" t="n">
        <v>0.35</v>
      </c>
      <c r="C30" t="n">
        <v>0.65</v>
      </c>
      <c r="D30" t="n">
        <v>0.55</v>
      </c>
      <c r="E30" t="n">
        <v>0.45</v>
      </c>
    </row>
    <row r="31">
      <c r="A31" t="s">
        <v>244</v>
      </c>
      <c r="B31" t="n">
        <v>0.5</v>
      </c>
      <c r="C31" t="n">
        <v>0.5</v>
      </c>
      <c r="D31" t="n">
        <v>0.3</v>
      </c>
      <c r="E31" t="n">
        <v>0.7</v>
      </c>
    </row>
    <row r="32">
      <c r="A32" t="s">
        <v>246</v>
      </c>
      <c r="B32" t="n">
        <v>0.4</v>
      </c>
      <c r="C32" t="n">
        <v>0.6</v>
      </c>
      <c r="D32" t="n">
        <v>0.5</v>
      </c>
      <c r="E32" t="n">
        <v>0.5</v>
      </c>
    </row>
    <row r="33">
      <c r="A33" t="s">
        <v>248</v>
      </c>
      <c r="B33" t="n">
        <v>0.4</v>
      </c>
      <c r="C33" t="n">
        <v>0.6</v>
      </c>
      <c r="D33" t="n">
        <v>0.3</v>
      </c>
      <c r="E33" t="n">
        <v>0.7</v>
      </c>
    </row>
    <row r="34">
      <c r="A34" t="s">
        <v>247</v>
      </c>
      <c r="B34" t="n">
        <v>0.5</v>
      </c>
      <c r="C34" t="n">
        <v>0.5</v>
      </c>
      <c r="D34" t="n">
        <v>0.4</v>
      </c>
      <c r="E34" t="n">
        <v>0.6</v>
      </c>
    </row>
    <row r="35">
      <c r="A35" t="s">
        <v>249</v>
      </c>
      <c r="B35" t="n">
        <v>0.35</v>
      </c>
      <c r="C35" t="n">
        <v>0.65</v>
      </c>
      <c r="D35" t="n">
        <v>0.4</v>
      </c>
      <c r="E35" t="n">
        <v>0.6</v>
      </c>
    </row>
    <row r="36">
      <c r="A36" t="s">
        <v>250</v>
      </c>
      <c r="B36" t="n">
        <v>0.5</v>
      </c>
      <c r="C36" t="n">
        <v>0.5</v>
      </c>
      <c r="D36" t="n">
        <v>0.3</v>
      </c>
      <c r="E36" t="n">
        <v>0.7</v>
      </c>
    </row>
    <row r="37">
      <c r="A37" t="s">
        <v>251</v>
      </c>
      <c r="B37" t="n">
        <v>0.4</v>
      </c>
      <c r="C37" t="n">
        <v>0.6</v>
      </c>
      <c r="D37" t="n">
        <v>0.3</v>
      </c>
      <c r="E37" t="n">
        <v>0.7</v>
      </c>
    </row>
    <row r="38">
      <c r="A38" t="s">
        <v>256</v>
      </c>
      <c r="B38" t="n">
        <v>0.55</v>
      </c>
      <c r="C38" t="n">
        <v>0.45</v>
      </c>
      <c r="D38" t="n">
        <v>0.15</v>
      </c>
      <c r="E38" t="n">
        <v>0.85</v>
      </c>
    </row>
    <row r="39">
      <c r="A39" t="s">
        <v>252</v>
      </c>
      <c r="B39" t="n">
        <v>0.25</v>
      </c>
      <c r="C39" t="n">
        <v>0.75</v>
      </c>
      <c r="D39" t="n">
        <v>0.2</v>
      </c>
      <c r="E39" t="n">
        <v>0.8</v>
      </c>
    </row>
    <row r="40">
      <c r="A40" t="s">
        <v>253</v>
      </c>
      <c r="B40" t="n">
        <v>0.55</v>
      </c>
      <c r="C40" t="n">
        <v>0.45</v>
      </c>
      <c r="D40" t="n">
        <v>0.45</v>
      </c>
      <c r="E40" t="n">
        <v>0.55</v>
      </c>
    </row>
    <row r="41">
      <c r="A41" t="s">
        <v>255</v>
      </c>
      <c r="B41" t="n">
        <v>0.85</v>
      </c>
      <c r="C41" t="n">
        <v>0.15</v>
      </c>
      <c r="D41" t="n">
        <v>0.65</v>
      </c>
      <c r="E41" t="n">
        <v>0.35</v>
      </c>
    </row>
    <row r="42">
      <c r="A42" t="s">
        <v>257</v>
      </c>
      <c r="B42" t="n">
        <v>0.55</v>
      </c>
      <c r="C42" t="n">
        <v>0.45</v>
      </c>
      <c r="D42" t="n">
        <v>0.2</v>
      </c>
      <c r="E42" t="n">
        <v>0.8</v>
      </c>
    </row>
    <row r="43">
      <c r="A43" t="s">
        <v>258</v>
      </c>
      <c r="B43" t="n">
        <v>0.15</v>
      </c>
      <c r="C43" t="n">
        <v>0.85</v>
      </c>
      <c r="D43" t="n">
        <v>0.25</v>
      </c>
      <c r="E43" t="n">
        <v>0.75</v>
      </c>
    </row>
    <row r="44">
      <c r="A44" t="s">
        <v>260</v>
      </c>
      <c r="B44" t="n">
        <v>0.3</v>
      </c>
      <c r="C44" t="n">
        <v>0.7</v>
      </c>
      <c r="D44" t="n">
        <v>0.05</v>
      </c>
      <c r="E44" t="n">
        <v>0.95</v>
      </c>
    </row>
    <row r="45">
      <c r="A45" t="s">
        <v>265</v>
      </c>
      <c r="B45" t="n">
        <v>0.35</v>
      </c>
      <c r="C45" t="n">
        <v>0.65</v>
      </c>
      <c r="D45" t="n">
        <v>0.75</v>
      </c>
      <c r="E45" t="n">
        <v>0.25</v>
      </c>
    </row>
    <row r="46">
      <c r="A46" t="s">
        <v>263</v>
      </c>
      <c r="B46" t="n">
        <v>0.55</v>
      </c>
      <c r="C46" t="n">
        <v>0.45</v>
      </c>
      <c r="D46" t="n">
        <v>0.6</v>
      </c>
      <c r="E46" t="n">
        <v>0.4</v>
      </c>
    </row>
    <row r="47">
      <c r="A47" t="s">
        <v>262</v>
      </c>
      <c r="B47" t="n">
        <v>0.4</v>
      </c>
      <c r="C47" t="n">
        <v>0.6</v>
      </c>
      <c r="D47" t="n">
        <v>0.25</v>
      </c>
      <c r="E47" t="n">
        <v>0.75</v>
      </c>
    </row>
    <row r="48">
      <c r="A48" t="s">
        <v>266</v>
      </c>
      <c r="B48" t="n">
        <v>0.55</v>
      </c>
      <c r="C48" t="n">
        <v>0.45</v>
      </c>
      <c r="D48" t="n">
        <v>0.5</v>
      </c>
      <c r="E48" t="n">
        <v>0.5</v>
      </c>
    </row>
    <row r="49">
      <c r="A49" t="s">
        <v>267</v>
      </c>
      <c r="B49" t="n">
        <v>0.6</v>
      </c>
      <c r="C49" t="n">
        <v>0.4</v>
      </c>
      <c r="D49" t="n">
        <v>0.4</v>
      </c>
      <c r="E49" t="n">
        <v>0.6</v>
      </c>
    </row>
    <row r="50">
      <c r="A50" t="s">
        <v>270</v>
      </c>
      <c r="B50" t="n">
        <v>0.55</v>
      </c>
      <c r="C50" t="n">
        <v>0.45</v>
      </c>
      <c r="D50" t="n">
        <v>0.4</v>
      </c>
      <c r="E50" t="n">
        <v>0.6</v>
      </c>
    </row>
    <row r="51">
      <c r="A51" t="s">
        <v>268</v>
      </c>
      <c r="B51" t="n">
        <v>0.75</v>
      </c>
      <c r="C51" t="n">
        <v>0.25</v>
      </c>
      <c r="D51" t="n">
        <v>0.1</v>
      </c>
      <c r="E51" t="n">
        <v>0.9</v>
      </c>
    </row>
    <row r="52">
      <c r="A52" t="s">
        <v>271</v>
      </c>
      <c r="B52" t="n">
        <v>0.15</v>
      </c>
      <c r="C52" t="n">
        <v>0.85</v>
      </c>
      <c r="D52" t="n">
        <v>0.15</v>
      </c>
      <c r="E52" t="n">
        <v>0.85</v>
      </c>
    </row>
    <row r="53">
      <c r="A53" t="s">
        <v>280</v>
      </c>
      <c r="B53" t="n">
        <v>0.55</v>
      </c>
      <c r="C53" t="n">
        <v>0.45</v>
      </c>
      <c r="D53" t="n">
        <v>0.7</v>
      </c>
      <c r="E53" t="n">
        <v>0.3</v>
      </c>
    </row>
    <row r="54">
      <c r="A54" t="s">
        <v>281</v>
      </c>
      <c r="B54" t="n">
        <v>0.3</v>
      </c>
      <c r="C54" t="n">
        <v>0.7</v>
      </c>
      <c r="D54" t="n">
        <v>0.15</v>
      </c>
      <c r="E54" t="n">
        <v>0.85</v>
      </c>
    </row>
    <row r="55">
      <c r="A55" t="s">
        <v>273</v>
      </c>
      <c r="B55" t="n">
        <v>0.55</v>
      </c>
      <c r="C55" t="n">
        <v>0.45</v>
      </c>
      <c r="D55" t="n">
        <v>0.25</v>
      </c>
      <c r="E55" t="n">
        <v>0.75</v>
      </c>
    </row>
    <row r="56">
      <c r="A56" t="s">
        <v>275</v>
      </c>
      <c r="B56" t="n">
        <v>0.3</v>
      </c>
      <c r="C56" t="n">
        <v>0.7</v>
      </c>
      <c r="D56" t="n">
        <v>0.55</v>
      </c>
      <c r="E56" t="n">
        <v>0.45</v>
      </c>
    </row>
    <row r="57">
      <c r="A57" t="s">
        <v>276</v>
      </c>
      <c r="B57" t="n">
        <v>0.35</v>
      </c>
      <c r="C57" t="n">
        <v>0.65</v>
      </c>
      <c r="D57" t="n">
        <v>0.75</v>
      </c>
      <c r="E57" t="n">
        <v>0.25</v>
      </c>
    </row>
    <row r="58">
      <c r="A58" t="s">
        <v>277</v>
      </c>
      <c r="B58" t="n">
        <v>0.2</v>
      </c>
      <c r="C58" t="n">
        <v>0.8</v>
      </c>
      <c r="D58" t="n">
        <v>0.2</v>
      </c>
      <c r="E58" t="n">
        <v>0.8</v>
      </c>
    </row>
    <row r="59">
      <c r="A59" t="s">
        <v>274</v>
      </c>
      <c r="B59" t="n">
        <v>0.25</v>
      </c>
      <c r="C59" t="n">
        <v>0.75</v>
      </c>
      <c r="D59" t="n">
        <v>0.3</v>
      </c>
      <c r="E59" t="n">
        <v>0.7</v>
      </c>
    </row>
    <row r="60">
      <c r="A60" t="s">
        <v>279</v>
      </c>
      <c r="B60" t="n">
        <v>0.35</v>
      </c>
      <c r="C60" t="n">
        <v>0.65</v>
      </c>
      <c r="D60" t="n">
        <v>0.65</v>
      </c>
      <c r="E60" t="n">
        <v>0.35</v>
      </c>
    </row>
    <row r="61">
      <c r="A61" t="s">
        <v>283</v>
      </c>
      <c r="B61" t="n">
        <v>0.65</v>
      </c>
      <c r="C61" t="n">
        <v>0.35</v>
      </c>
      <c r="D61" t="n">
        <v>0.35</v>
      </c>
      <c r="E61" t="n">
        <v>0.65</v>
      </c>
    </row>
    <row r="62">
      <c r="A62" t="s">
        <v>285</v>
      </c>
      <c r="B62" t="n">
        <v>0.45</v>
      </c>
      <c r="C62" t="n">
        <v>0.55</v>
      </c>
      <c r="D62" t="n">
        <v>0.15</v>
      </c>
      <c r="E62" t="n">
        <v>0.85</v>
      </c>
    </row>
    <row r="63">
      <c r="A63" t="s">
        <v>286</v>
      </c>
      <c r="B63" t="n">
        <v>0.2</v>
      </c>
      <c r="C63" t="n">
        <v>0.8</v>
      </c>
      <c r="D63" t="n">
        <v>0.35</v>
      </c>
      <c r="E63" t="n">
        <v>0.65</v>
      </c>
    </row>
    <row r="64">
      <c r="A64" t="s">
        <v>287</v>
      </c>
      <c r="B64" t="n">
        <v>0.75</v>
      </c>
      <c r="C64" t="n">
        <v>0.25</v>
      </c>
      <c r="D64" t="n">
        <v>0.55</v>
      </c>
      <c r="E64" t="n">
        <v>0.45</v>
      </c>
    </row>
    <row r="65">
      <c r="A65" t="s">
        <v>289</v>
      </c>
      <c r="B65" t="n">
        <v>0.4</v>
      </c>
      <c r="C65" t="n">
        <v>0.6</v>
      </c>
      <c r="D65" t="n">
        <v>0.55</v>
      </c>
      <c r="E65" t="n">
        <v>0.45</v>
      </c>
    </row>
    <row r="66">
      <c r="A66" t="s">
        <v>290</v>
      </c>
      <c r="B66" t="n">
        <v>0.55</v>
      </c>
      <c r="C66" t="n">
        <v>0.45</v>
      </c>
      <c r="D66" t="n">
        <v>0.25</v>
      </c>
      <c r="E66" t="n">
        <v>0.75</v>
      </c>
    </row>
    <row r="67">
      <c r="A67" t="s">
        <v>291</v>
      </c>
      <c r="B67" t="n">
        <v>0.4</v>
      </c>
      <c r="C67" t="n">
        <v>0.6</v>
      </c>
      <c r="D67" t="n">
        <v>0.25</v>
      </c>
      <c r="E67" t="n">
        <v>0.75</v>
      </c>
    </row>
    <row r="68">
      <c r="A68" t="s">
        <v>292</v>
      </c>
      <c r="B68" t="n">
        <v>0.25</v>
      </c>
      <c r="C68" t="n">
        <v>0.75</v>
      </c>
      <c r="D68" t="n">
        <v>0.45</v>
      </c>
      <c r="E68" t="n">
        <v>0.55</v>
      </c>
    </row>
    <row r="69">
      <c r="A69" t="s">
        <v>294</v>
      </c>
      <c r="B69" t="n">
        <v>0.5</v>
      </c>
      <c r="C69" t="n">
        <v>0.5</v>
      </c>
      <c r="D69" t="n">
        <v>0.15</v>
      </c>
      <c r="E69" t="n">
        <v>0.85</v>
      </c>
    </row>
    <row r="70">
      <c r="A70" t="s">
        <v>295</v>
      </c>
      <c r="B70" t="n">
        <v>0.55</v>
      </c>
      <c r="C70" t="n">
        <v>0.45</v>
      </c>
      <c r="D70" t="n">
        <v>0.55</v>
      </c>
      <c r="E70" t="n">
        <v>0.45</v>
      </c>
    </row>
    <row r="71">
      <c r="A71" t="s">
        <v>298</v>
      </c>
      <c r="B71" t="n">
        <v>0.55</v>
      </c>
      <c r="C71" t="n">
        <v>0.45</v>
      </c>
      <c r="D71" t="n">
        <v>0.35</v>
      </c>
      <c r="E71" t="n">
        <v>0.65</v>
      </c>
    </row>
    <row r="72">
      <c r="A72" t="s">
        <v>297</v>
      </c>
      <c r="B72" t="n">
        <v>0.3</v>
      </c>
      <c r="C72" t="n">
        <v>0.7</v>
      </c>
      <c r="D72" t="n">
        <v>0.4</v>
      </c>
      <c r="E72" t="n">
        <v>0.6</v>
      </c>
    </row>
    <row r="73">
      <c r="A73" t="s">
        <v>300</v>
      </c>
      <c r="B73" t="n">
        <v>0.2</v>
      </c>
      <c r="C73" t="n">
        <v>0.8</v>
      </c>
      <c r="D73" t="n">
        <v>0.45</v>
      </c>
      <c r="E73" t="n">
        <v>0.55</v>
      </c>
    </row>
    <row r="74">
      <c r="A74" t="s">
        <v>304</v>
      </c>
      <c r="B74" t="n">
        <v>0.55</v>
      </c>
      <c r="C74" t="n">
        <v>0.45</v>
      </c>
      <c r="D74" t="n">
        <v>0.4</v>
      </c>
      <c r="E74" t="n">
        <v>0.6</v>
      </c>
    </row>
    <row r="75">
      <c r="A75" t="s">
        <v>302</v>
      </c>
      <c r="B75" t="n">
        <v>0.75</v>
      </c>
      <c r="C75" t="n">
        <v>0.25</v>
      </c>
      <c r="D75" t="n">
        <v>0.15</v>
      </c>
      <c r="E75" t="n">
        <v>0.85</v>
      </c>
    </row>
    <row r="76">
      <c r="A76" t="s">
        <v>305</v>
      </c>
      <c r="B76" t="n">
        <v>0.3</v>
      </c>
      <c r="C76" t="n">
        <v>0.7</v>
      </c>
      <c r="D76" t="n">
        <v>0.1</v>
      </c>
      <c r="E76" t="n">
        <v>0.9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8" topLeftCell="A9" activePane="bottomLeft" state="frozen"/>
      <selection pane="bottomLeft"/>
    </sheetView>
  </sheetViews>
  <sheetFormatPr defaultRowHeight="15.0" baseColWidth="10"/>
  <cols>
    <col min="1" max="1" width="90.71" hidden="0" customWidth="1"/>
    <col min="2" max="2" width="49.71" hidden="0" customWidth="1"/>
    <col min="3" max="3" width="9.71" hidden="0" customWidth="1"/>
    <col min="4" max="4" width="63.71" hidden="0" customWidth="1"/>
    <col min="5" max="5" width="17.71" hidden="0" customWidth="1"/>
    <col min="6" max="6" width="250.71" hidden="0" customWidth="1"/>
    <col min="7" max="7" width="153.71" hidden="0" customWidth="1"/>
  </cols>
  <sheetData>
    <row r="1">
      <c r="A1" t="s">
        <v>328</v>
      </c>
    </row>
    <row r="2">
      <c r="A2" t="s">
        <v>1</v>
      </c>
    </row>
    <row r="3">
      <c r="A3" t="s">
        <v>329</v>
      </c>
    </row>
    <row r="4">
      <c r="A4" t="s">
        <v>330</v>
      </c>
    </row>
    <row r="5">
      <c r="A5" t="s">
        <v>331</v>
      </c>
    </row>
    <row r="6">
      <c r="A6" t="s">
        <v>1</v>
      </c>
    </row>
    <row r="8">
      <c r="A8" t="s">
        <v>332</v>
      </c>
      <c r="B8" t="s">
        <v>333</v>
      </c>
      <c r="C8" t="s">
        <v>334</v>
      </c>
      <c r="D8" t="s">
        <v>335</v>
      </c>
      <c r="E8" t="s">
        <v>336</v>
      </c>
      <c r="F8" t="s">
        <v>337</v>
      </c>
      <c r="G8" t="s">
        <v>338</v>
      </c>
    </row>
    <row r="9">
      <c r="A9" t="s">
        <v>121</v>
      </c>
      <c r="B9" t="s">
        <v>339</v>
      </c>
      <c r="C9" t="s">
        <v>340</v>
      </c>
      <c r="D9" t="s">
        <v>341</v>
      </c>
      <c r="E9" t="n">
        <v>1</v>
      </c>
      <c r="F9"/>
      <c r="G9"/>
    </row>
    <row r="10">
      <c r="A10" t="s">
        <v>122</v>
      </c>
      <c r="B10" t="s">
        <v>342</v>
      </c>
      <c r="C10" t="s">
        <v>340</v>
      </c>
      <c r="D10" t="s">
        <v>341</v>
      </c>
      <c r="E10" t="n">
        <v>1</v>
      </c>
      <c r="F10"/>
      <c r="G10"/>
    </row>
    <row r="11">
      <c r="A11" t="s">
        <v>123</v>
      </c>
      <c r="B11" t="s">
        <v>343</v>
      </c>
      <c r="C11" t="s">
        <v>344</v>
      </c>
      <c r="D11" t="s">
        <v>345</v>
      </c>
      <c r="E11" t="n">
        <v>1</v>
      </c>
      <c r="F11"/>
      <c r="G11"/>
    </row>
    <row r="12">
      <c r="A12" t="s">
        <v>125</v>
      </c>
      <c r="B12" t="s">
        <v>346</v>
      </c>
      <c r="C12" t="s">
        <v>347</v>
      </c>
      <c r="D12" t="s">
        <v>348</v>
      </c>
      <c r="E12" t="n">
        <v>1</v>
      </c>
      <c r="F12"/>
      <c r="G12"/>
    </row>
    <row r="13">
      <c r="A13" t="s">
        <v>126</v>
      </c>
      <c r="B13" t="s">
        <v>349</v>
      </c>
      <c r="C13" t="s">
        <v>350</v>
      </c>
      <c r="D13" t="s">
        <v>351</v>
      </c>
      <c r="E13" t="n">
        <v>0.72</v>
      </c>
      <c r="F13" t="s">
        <v>352</v>
      </c>
      <c r="G13"/>
    </row>
    <row r="14">
      <c r="A14" t="s">
        <v>126</v>
      </c>
      <c r="B14" t="s">
        <v>349</v>
      </c>
      <c r="C14" t="s">
        <v>353</v>
      </c>
      <c r="D14" t="s">
        <v>354</v>
      </c>
      <c r="E14" t="n">
        <v>0.2</v>
      </c>
      <c r="F14" t="s">
        <v>355</v>
      </c>
      <c r="G14"/>
    </row>
    <row r="15">
      <c r="A15" t="s">
        <v>126</v>
      </c>
      <c r="B15" t="s">
        <v>349</v>
      </c>
      <c r="C15" t="s">
        <v>356</v>
      </c>
      <c r="D15" t="s">
        <v>357</v>
      </c>
      <c r="E15" t="n">
        <v>0.08</v>
      </c>
      <c r="F15" t="s">
        <v>358</v>
      </c>
      <c r="G15"/>
    </row>
    <row r="16">
      <c r="A16" t="s">
        <v>127</v>
      </c>
      <c r="B16" t="s">
        <v>359</v>
      </c>
      <c r="C16" t="s">
        <v>360</v>
      </c>
      <c r="D16" t="s">
        <v>359</v>
      </c>
      <c r="E16" t="n">
        <v>1</v>
      </c>
      <c r="F16"/>
      <c r="G16"/>
    </row>
    <row r="17">
      <c r="A17" t="s">
        <v>139</v>
      </c>
      <c r="B17" t="s">
        <v>361</v>
      </c>
      <c r="C17" t="s">
        <v>362</v>
      </c>
      <c r="D17" t="s">
        <v>363</v>
      </c>
      <c r="E17" t="n">
        <v>1</v>
      </c>
      <c r="F17"/>
      <c r="G17"/>
    </row>
    <row r="18">
      <c r="A18" t="s">
        <v>140</v>
      </c>
      <c r="B18" t="s">
        <v>364</v>
      </c>
      <c r="C18" t="s">
        <v>365</v>
      </c>
      <c r="D18" t="s">
        <v>366</v>
      </c>
      <c r="E18" t="n">
        <v>1</v>
      </c>
      <c r="F18"/>
      <c r="G18"/>
    </row>
    <row r="19">
      <c r="A19" t="s">
        <v>141</v>
      </c>
      <c r="B19" t="s">
        <v>367</v>
      </c>
      <c r="C19" t="s">
        <v>365</v>
      </c>
      <c r="D19" t="s">
        <v>366</v>
      </c>
      <c r="E19" t="n">
        <v>1</v>
      </c>
      <c r="F19"/>
      <c r="G19"/>
    </row>
    <row r="20">
      <c r="A20" t="s">
        <v>128</v>
      </c>
      <c r="B20" t="s">
        <v>368</v>
      </c>
      <c r="C20" t="s">
        <v>369</v>
      </c>
      <c r="D20" t="s">
        <v>370</v>
      </c>
      <c r="E20" t="n">
        <v>1</v>
      </c>
      <c r="F20"/>
      <c r="G20"/>
    </row>
    <row r="21">
      <c r="A21" t="s">
        <v>142</v>
      </c>
      <c r="B21" t="s">
        <v>371</v>
      </c>
      <c r="C21" t="s">
        <v>372</v>
      </c>
      <c r="D21" t="s">
        <v>373</v>
      </c>
      <c r="E21" t="n">
        <v>1</v>
      </c>
      <c r="F21"/>
      <c r="G21"/>
    </row>
    <row r="22">
      <c r="A22" t="s">
        <v>143</v>
      </c>
      <c r="B22" t="s">
        <v>374</v>
      </c>
      <c r="C22" t="s">
        <v>372</v>
      </c>
      <c r="D22" t="s">
        <v>373</v>
      </c>
      <c r="E22" t="n">
        <v>1</v>
      </c>
      <c r="F22"/>
      <c r="G22"/>
    </row>
    <row r="23">
      <c r="A23" t="s">
        <v>144</v>
      </c>
      <c r="B23" t="s">
        <v>375</v>
      </c>
      <c r="C23" t="s">
        <v>376</v>
      </c>
      <c r="D23" t="s">
        <v>377</v>
      </c>
      <c r="E23" t="n">
        <v>0.961</v>
      </c>
      <c r="F23" t="s">
        <v>378</v>
      </c>
      <c r="G23"/>
    </row>
    <row r="24">
      <c r="A24" t="s">
        <v>144</v>
      </c>
      <c r="B24" t="s">
        <v>375</v>
      </c>
      <c r="C24" t="s">
        <v>379</v>
      </c>
      <c r="D24" t="s">
        <v>380</v>
      </c>
      <c r="E24" t="n">
        <v>0.039</v>
      </c>
      <c r="F24" t="s">
        <v>381</v>
      </c>
      <c r="G24"/>
    </row>
    <row r="25">
      <c r="A25" t="s">
        <v>146</v>
      </c>
      <c r="B25" t="s">
        <v>382</v>
      </c>
      <c r="C25" t="s">
        <v>126</v>
      </c>
      <c r="D25" t="s">
        <v>383</v>
      </c>
      <c r="E25" t="n">
        <v>1</v>
      </c>
      <c r="F25"/>
      <c r="G25"/>
    </row>
    <row r="26">
      <c r="A26" t="s">
        <v>131</v>
      </c>
      <c r="B26" t="s">
        <v>384</v>
      </c>
      <c r="C26" t="s">
        <v>385</v>
      </c>
      <c r="D26" t="s">
        <v>384</v>
      </c>
      <c r="E26" t="n">
        <v>1</v>
      </c>
      <c r="F26"/>
      <c r="G26"/>
    </row>
    <row r="27">
      <c r="A27" t="s">
        <v>132</v>
      </c>
      <c r="B27" t="s">
        <v>386</v>
      </c>
      <c r="C27" t="s">
        <v>387</v>
      </c>
      <c r="D27" t="s">
        <v>388</v>
      </c>
      <c r="E27" t="n">
        <v>1</v>
      </c>
      <c r="F27"/>
      <c r="G27"/>
    </row>
    <row r="28">
      <c r="A28" t="s">
        <v>133</v>
      </c>
      <c r="B28" t="s">
        <v>389</v>
      </c>
      <c r="C28" t="s">
        <v>390</v>
      </c>
      <c r="D28" t="s">
        <v>391</v>
      </c>
      <c r="E28" t="n">
        <v>1</v>
      </c>
      <c r="F28"/>
      <c r="G28"/>
    </row>
    <row r="29">
      <c r="A29" t="s">
        <v>134</v>
      </c>
      <c r="B29" t="s">
        <v>392</v>
      </c>
      <c r="C29" t="s">
        <v>393</v>
      </c>
      <c r="D29" t="s">
        <v>394</v>
      </c>
      <c r="E29" t="n">
        <v>1</v>
      </c>
      <c r="F29"/>
      <c r="G29"/>
    </row>
    <row r="30">
      <c r="A30" t="s">
        <v>135</v>
      </c>
      <c r="B30" t="s">
        <v>395</v>
      </c>
      <c r="C30" t="s">
        <v>396</v>
      </c>
      <c r="D30" t="s">
        <v>397</v>
      </c>
      <c r="E30" t="n">
        <v>1</v>
      </c>
      <c r="F30"/>
      <c r="G30"/>
    </row>
    <row r="31">
      <c r="A31" t="s">
        <v>136</v>
      </c>
      <c r="B31" t="s">
        <v>398</v>
      </c>
      <c r="C31" t="s">
        <v>399</v>
      </c>
      <c r="D31" t="s">
        <v>400</v>
      </c>
      <c r="E31" t="n">
        <v>1</v>
      </c>
      <c r="F31"/>
      <c r="G31"/>
    </row>
    <row r="32">
      <c r="A32" t="s">
        <v>137</v>
      </c>
      <c r="B32" t="s">
        <v>401</v>
      </c>
      <c r="C32" t="s">
        <v>402</v>
      </c>
      <c r="D32" t="s">
        <v>403</v>
      </c>
      <c r="E32" t="n">
        <v>1</v>
      </c>
      <c r="F32"/>
      <c r="G32"/>
    </row>
    <row r="33">
      <c r="A33" t="s">
        <v>138</v>
      </c>
      <c r="B33" t="s">
        <v>404</v>
      </c>
      <c r="C33" t="s">
        <v>402</v>
      </c>
      <c r="D33" t="s">
        <v>403</v>
      </c>
      <c r="E33" t="n">
        <v>1</v>
      </c>
      <c r="F33"/>
      <c r="G33"/>
    </row>
    <row r="34">
      <c r="A34" t="s">
        <v>147</v>
      </c>
      <c r="B34" t="s">
        <v>405</v>
      </c>
      <c r="C34" t="s">
        <v>406</v>
      </c>
      <c r="D34" t="s">
        <v>407</v>
      </c>
      <c r="E34" t="n">
        <v>1</v>
      </c>
      <c r="F34"/>
      <c r="G34"/>
    </row>
    <row r="35">
      <c r="A35" t="s">
        <v>148</v>
      </c>
      <c r="B35" t="s">
        <v>408</v>
      </c>
      <c r="C35" t="s">
        <v>406</v>
      </c>
      <c r="D35" t="s">
        <v>407</v>
      </c>
      <c r="E35" t="n">
        <v>1</v>
      </c>
      <c r="F35"/>
      <c r="G35"/>
    </row>
    <row r="36">
      <c r="A36" t="s">
        <v>149</v>
      </c>
      <c r="B36" t="s">
        <v>409</v>
      </c>
      <c r="C36" t="s">
        <v>406</v>
      </c>
      <c r="D36" t="s">
        <v>407</v>
      </c>
      <c r="E36" t="n">
        <v>1</v>
      </c>
      <c r="F36"/>
      <c r="G36"/>
    </row>
    <row r="37">
      <c r="A37" t="s">
        <v>150</v>
      </c>
      <c r="B37" t="s">
        <v>410</v>
      </c>
      <c r="C37" t="s">
        <v>406</v>
      </c>
      <c r="D37" t="s">
        <v>407</v>
      </c>
      <c r="E37" t="n">
        <v>1</v>
      </c>
      <c r="F37"/>
      <c r="G37"/>
    </row>
    <row r="38">
      <c r="A38" t="s">
        <v>151</v>
      </c>
      <c r="B38" t="s">
        <v>411</v>
      </c>
      <c r="C38" t="s">
        <v>406</v>
      </c>
      <c r="D38" t="s">
        <v>407</v>
      </c>
      <c r="E38" t="n">
        <v>1</v>
      </c>
      <c r="F38"/>
      <c r="G38"/>
    </row>
    <row r="39">
      <c r="A39" t="s">
        <v>152</v>
      </c>
      <c r="B39" t="s">
        <v>412</v>
      </c>
      <c r="C39" t="s">
        <v>413</v>
      </c>
      <c r="D39" t="s">
        <v>414</v>
      </c>
      <c r="E39" t="n">
        <v>1</v>
      </c>
      <c r="F39"/>
      <c r="G39"/>
    </row>
    <row r="40">
      <c r="A40" t="s">
        <v>153</v>
      </c>
      <c r="B40" t="s">
        <v>415</v>
      </c>
      <c r="C40" t="s">
        <v>413</v>
      </c>
      <c r="D40" t="s">
        <v>414</v>
      </c>
      <c r="E40" t="n">
        <v>1</v>
      </c>
      <c r="F40"/>
      <c r="G40"/>
    </row>
    <row r="41">
      <c r="A41" t="s">
        <v>154</v>
      </c>
      <c r="B41" t="s">
        <v>416</v>
      </c>
      <c r="C41" t="s">
        <v>413</v>
      </c>
      <c r="D41" t="s">
        <v>414</v>
      </c>
      <c r="E41" t="n">
        <v>1</v>
      </c>
      <c r="F41"/>
      <c r="G41"/>
    </row>
    <row r="42">
      <c r="A42" t="s">
        <v>155</v>
      </c>
      <c r="B42" t="s">
        <v>417</v>
      </c>
      <c r="C42" t="s">
        <v>413</v>
      </c>
      <c r="D42" t="s">
        <v>414</v>
      </c>
      <c r="E42" t="n">
        <v>1</v>
      </c>
      <c r="F42"/>
      <c r="G42"/>
    </row>
    <row r="43">
      <c r="A43" t="s">
        <v>156</v>
      </c>
      <c r="B43" t="s">
        <v>418</v>
      </c>
      <c r="C43" t="s">
        <v>413</v>
      </c>
      <c r="D43" t="s">
        <v>414</v>
      </c>
      <c r="E43" t="n">
        <v>1</v>
      </c>
      <c r="F43"/>
      <c r="G43"/>
    </row>
    <row r="44">
      <c r="A44" t="s">
        <v>157</v>
      </c>
      <c r="B44" t="s">
        <v>419</v>
      </c>
      <c r="C44" t="s">
        <v>353</v>
      </c>
      <c r="D44" t="s">
        <v>420</v>
      </c>
      <c r="E44" t="n">
        <v>1</v>
      </c>
      <c r="F44" t="s">
        <v>421</v>
      </c>
      <c r="G44"/>
    </row>
    <row r="45">
      <c r="A45" t="s">
        <v>158</v>
      </c>
      <c r="B45" t="s">
        <v>422</v>
      </c>
      <c r="C45" t="s">
        <v>413</v>
      </c>
      <c r="D45" t="s">
        <v>414</v>
      </c>
      <c r="E45" t="n">
        <v>1</v>
      </c>
      <c r="F45"/>
      <c r="G45"/>
    </row>
    <row r="46">
      <c r="A46" t="s">
        <v>159</v>
      </c>
      <c r="B46" t="s">
        <v>423</v>
      </c>
      <c r="C46" t="s">
        <v>413</v>
      </c>
      <c r="D46" t="s">
        <v>414</v>
      </c>
      <c r="E46" t="n">
        <v>1</v>
      </c>
      <c r="F46"/>
      <c r="G46"/>
    </row>
    <row r="47">
      <c r="A47" t="s">
        <v>160</v>
      </c>
      <c r="B47" t="s">
        <v>424</v>
      </c>
      <c r="C47" t="s">
        <v>425</v>
      </c>
      <c r="D47" t="s">
        <v>426</v>
      </c>
      <c r="E47" t="n">
        <v>1</v>
      </c>
      <c r="F47"/>
      <c r="G47"/>
    </row>
    <row r="48">
      <c r="A48" t="s">
        <v>161</v>
      </c>
      <c r="B48" t="s">
        <v>427</v>
      </c>
      <c r="C48" t="s">
        <v>425</v>
      </c>
      <c r="D48" t="s">
        <v>426</v>
      </c>
      <c r="E48" t="n">
        <v>1</v>
      </c>
      <c r="F48"/>
      <c r="G48"/>
    </row>
    <row r="49">
      <c r="A49" t="s">
        <v>162</v>
      </c>
      <c r="B49" t="s">
        <v>428</v>
      </c>
      <c r="C49" t="s">
        <v>425</v>
      </c>
      <c r="D49" t="s">
        <v>426</v>
      </c>
      <c r="E49" t="n">
        <v>0.25</v>
      </c>
      <c r="F49" t="s">
        <v>429</v>
      </c>
      <c r="G49"/>
    </row>
    <row r="50">
      <c r="A50" t="s">
        <v>162</v>
      </c>
      <c r="B50" t="s">
        <v>428</v>
      </c>
      <c r="C50" t="s">
        <v>177</v>
      </c>
      <c r="D50" t="s">
        <v>430</v>
      </c>
      <c r="E50" t="n">
        <v>0.75</v>
      </c>
      <c r="F50"/>
      <c r="G50"/>
    </row>
    <row r="51">
      <c r="A51" t="s">
        <v>163</v>
      </c>
      <c r="B51" t="s">
        <v>431</v>
      </c>
      <c r="C51" t="s">
        <v>432</v>
      </c>
      <c r="D51" t="s">
        <v>433</v>
      </c>
      <c r="E51" t="n">
        <v>1</v>
      </c>
      <c r="F51"/>
      <c r="G51"/>
    </row>
    <row r="52">
      <c r="A52" t="s">
        <v>164</v>
      </c>
      <c r="B52" t="s">
        <v>434</v>
      </c>
      <c r="C52" t="s">
        <v>435</v>
      </c>
      <c r="D52" t="s">
        <v>436</v>
      </c>
      <c r="E52" t="n">
        <v>1</v>
      </c>
      <c r="F52"/>
      <c r="G52"/>
    </row>
    <row r="53">
      <c r="A53" t="s">
        <v>165</v>
      </c>
      <c r="B53" t="s">
        <v>437</v>
      </c>
      <c r="C53" t="s">
        <v>435</v>
      </c>
      <c r="D53" t="s">
        <v>436</v>
      </c>
      <c r="E53" t="n">
        <v>1</v>
      </c>
      <c r="F53"/>
      <c r="G53"/>
    </row>
    <row r="54">
      <c r="A54" t="s">
        <v>166</v>
      </c>
      <c r="B54" t="s">
        <v>438</v>
      </c>
      <c r="C54" t="s">
        <v>435</v>
      </c>
      <c r="D54" t="s">
        <v>436</v>
      </c>
      <c r="E54" t="n">
        <v>1</v>
      </c>
      <c r="F54"/>
      <c r="G54"/>
    </row>
    <row r="55">
      <c r="A55" t="s">
        <v>167</v>
      </c>
      <c r="B55" t="s">
        <v>439</v>
      </c>
      <c r="C55" t="s">
        <v>435</v>
      </c>
      <c r="D55" t="s">
        <v>436</v>
      </c>
      <c r="E55" t="n">
        <v>1</v>
      </c>
      <c r="F55"/>
      <c r="G55"/>
    </row>
    <row r="56">
      <c r="A56" t="s">
        <v>168</v>
      </c>
      <c r="B56" t="s">
        <v>440</v>
      </c>
      <c r="C56" t="s">
        <v>441</v>
      </c>
      <c r="D56" t="s">
        <v>442</v>
      </c>
      <c r="E56" t="n">
        <v>1</v>
      </c>
      <c r="F56"/>
      <c r="G56"/>
    </row>
    <row r="57">
      <c r="A57" t="s">
        <v>169</v>
      </c>
      <c r="B57" t="s">
        <v>443</v>
      </c>
      <c r="C57" t="s">
        <v>441</v>
      </c>
      <c r="D57" t="s">
        <v>442</v>
      </c>
      <c r="E57" t="n">
        <v>1</v>
      </c>
      <c r="F57"/>
      <c r="G57"/>
    </row>
    <row r="58">
      <c r="A58" t="s">
        <v>170</v>
      </c>
      <c r="B58" t="s">
        <v>444</v>
      </c>
      <c r="C58" t="s">
        <v>445</v>
      </c>
      <c r="D58" t="s">
        <v>446</v>
      </c>
      <c r="E58" t="n">
        <v>1</v>
      </c>
      <c r="F58" t="s">
        <v>447</v>
      </c>
      <c r="G58"/>
    </row>
    <row r="59">
      <c r="A59" t="s">
        <v>171</v>
      </c>
      <c r="B59" t="s">
        <v>448</v>
      </c>
      <c r="C59" t="s">
        <v>445</v>
      </c>
      <c r="D59" t="s">
        <v>446</v>
      </c>
      <c r="E59" t="n">
        <v>1</v>
      </c>
      <c r="F59"/>
      <c r="G59"/>
    </row>
    <row r="60">
      <c r="A60" t="s">
        <v>173</v>
      </c>
      <c r="B60" t="s">
        <v>449</v>
      </c>
      <c r="C60" t="s">
        <v>445</v>
      </c>
      <c r="D60" t="s">
        <v>446</v>
      </c>
      <c r="E60" t="n">
        <v>1</v>
      </c>
      <c r="F60"/>
      <c r="G60"/>
    </row>
    <row r="61">
      <c r="A61" t="s">
        <v>172</v>
      </c>
      <c r="B61" t="s">
        <v>450</v>
      </c>
      <c r="C61" t="s">
        <v>432</v>
      </c>
      <c r="D61" t="s">
        <v>433</v>
      </c>
      <c r="E61" t="n">
        <v>1</v>
      </c>
      <c r="F61" t="s">
        <v>451</v>
      </c>
      <c r="G61"/>
    </row>
    <row r="62">
      <c r="A62" t="s">
        <v>174</v>
      </c>
      <c r="B62" t="s">
        <v>452</v>
      </c>
      <c r="C62" t="s">
        <v>445</v>
      </c>
      <c r="D62" t="s">
        <v>446</v>
      </c>
      <c r="E62" t="n">
        <v>1</v>
      </c>
      <c r="F62"/>
      <c r="G62"/>
    </row>
    <row r="63">
      <c r="A63" t="s">
        <v>175</v>
      </c>
      <c r="B63" t="s">
        <v>453</v>
      </c>
      <c r="C63" t="s">
        <v>445</v>
      </c>
      <c r="D63" t="s">
        <v>446</v>
      </c>
      <c r="E63" t="n">
        <v>1</v>
      </c>
      <c r="F63"/>
      <c r="G63"/>
    </row>
    <row r="64">
      <c r="A64" t="s">
        <v>176</v>
      </c>
      <c r="B64" t="s">
        <v>454</v>
      </c>
      <c r="C64" t="s">
        <v>356</v>
      </c>
      <c r="D64" t="s">
        <v>455</v>
      </c>
      <c r="E64" t="n">
        <v>1</v>
      </c>
      <c r="F64"/>
      <c r="G64"/>
    </row>
    <row r="65">
      <c r="A65" t="s">
        <v>177</v>
      </c>
      <c r="B65" t="s">
        <v>456</v>
      </c>
      <c r="C65" t="s">
        <v>457</v>
      </c>
      <c r="D65" t="s">
        <v>458</v>
      </c>
      <c r="E65" t="n">
        <v>1</v>
      </c>
      <c r="F65"/>
      <c r="G65"/>
    </row>
    <row r="66">
      <c r="A66" t="s">
        <v>178</v>
      </c>
      <c r="B66" t="s">
        <v>459</v>
      </c>
      <c r="C66" t="s">
        <v>460</v>
      </c>
      <c r="D66" t="s">
        <v>461</v>
      </c>
      <c r="E66" t="n">
        <v>1</v>
      </c>
      <c r="F66"/>
      <c r="G66"/>
    </row>
    <row r="67">
      <c r="A67" t="s">
        <v>179</v>
      </c>
      <c r="B67" t="s">
        <v>462</v>
      </c>
      <c r="C67" t="s">
        <v>460</v>
      </c>
      <c r="D67" t="s">
        <v>461</v>
      </c>
      <c r="E67" t="n">
        <v>1</v>
      </c>
      <c r="F67"/>
      <c r="G67"/>
    </row>
    <row r="68">
      <c r="A68" t="s">
        <v>180</v>
      </c>
      <c r="B68" t="s">
        <v>463</v>
      </c>
      <c r="C68" t="s">
        <v>460</v>
      </c>
      <c r="D68" t="s">
        <v>461</v>
      </c>
      <c r="E68" t="n">
        <v>1</v>
      </c>
      <c r="F68"/>
      <c r="G68"/>
    </row>
    <row r="69">
      <c r="A69" t="s">
        <v>181</v>
      </c>
      <c r="B69" t="s">
        <v>464</v>
      </c>
      <c r="C69" t="s">
        <v>460</v>
      </c>
      <c r="D69" t="s">
        <v>461</v>
      </c>
      <c r="E69" t="n">
        <v>1</v>
      </c>
      <c r="F69"/>
      <c r="G69"/>
    </row>
    <row r="70">
      <c r="A70" t="s">
        <v>182</v>
      </c>
      <c r="B70" t="s">
        <v>465</v>
      </c>
      <c r="C70" t="s">
        <v>466</v>
      </c>
      <c r="D70" t="s">
        <v>467</v>
      </c>
      <c r="E70" t="n">
        <v>1</v>
      </c>
      <c r="F70"/>
      <c r="G70"/>
    </row>
    <row r="71">
      <c r="A71" t="s">
        <v>183</v>
      </c>
      <c r="B71" t="s">
        <v>468</v>
      </c>
      <c r="C71" t="s">
        <v>466</v>
      </c>
      <c r="D71" t="s">
        <v>467</v>
      </c>
      <c r="E71" t="n">
        <v>1</v>
      </c>
      <c r="F71"/>
      <c r="G71"/>
    </row>
    <row r="72">
      <c r="A72" t="s">
        <v>184</v>
      </c>
      <c r="B72" t="s">
        <v>469</v>
      </c>
      <c r="C72" t="s">
        <v>470</v>
      </c>
      <c r="D72" t="s">
        <v>471</v>
      </c>
      <c r="E72" t="n">
        <v>1</v>
      </c>
      <c r="F72"/>
      <c r="G72"/>
    </row>
    <row r="73">
      <c r="A73" t="s">
        <v>185</v>
      </c>
      <c r="B73" t="s">
        <v>472</v>
      </c>
      <c r="C73" t="s">
        <v>470</v>
      </c>
      <c r="D73" t="s">
        <v>471</v>
      </c>
      <c r="E73" t="n">
        <v>1</v>
      </c>
      <c r="F73"/>
      <c r="G73"/>
    </row>
    <row r="74">
      <c r="A74" t="s">
        <v>186</v>
      </c>
      <c r="B74" t="s">
        <v>473</v>
      </c>
      <c r="C74" t="s">
        <v>466</v>
      </c>
      <c r="D74" t="s">
        <v>467</v>
      </c>
      <c r="E74" t="n">
        <v>1</v>
      </c>
      <c r="F74"/>
      <c r="G74"/>
    </row>
    <row r="75">
      <c r="A75" t="s">
        <v>187</v>
      </c>
      <c r="B75" t="s">
        <v>474</v>
      </c>
      <c r="C75" t="s">
        <v>475</v>
      </c>
      <c r="D75" t="s">
        <v>476</v>
      </c>
      <c r="E75" t="n">
        <v>1</v>
      </c>
      <c r="F75"/>
      <c r="G75"/>
    </row>
    <row r="76">
      <c r="A76" t="s">
        <v>188</v>
      </c>
      <c r="B76" t="s">
        <v>477</v>
      </c>
      <c r="C76" t="s">
        <v>475</v>
      </c>
      <c r="D76" t="s">
        <v>476</v>
      </c>
      <c r="E76" t="n">
        <v>1</v>
      </c>
      <c r="F76"/>
      <c r="G76"/>
    </row>
    <row r="77">
      <c r="A77" t="s">
        <v>189</v>
      </c>
      <c r="B77" t="s">
        <v>478</v>
      </c>
      <c r="C77" t="s">
        <v>475</v>
      </c>
      <c r="D77" t="s">
        <v>476</v>
      </c>
      <c r="E77" t="n">
        <v>1</v>
      </c>
      <c r="F77"/>
      <c r="G77"/>
    </row>
    <row r="78">
      <c r="A78" t="s">
        <v>190</v>
      </c>
      <c r="B78" t="s">
        <v>479</v>
      </c>
      <c r="C78" t="s">
        <v>475</v>
      </c>
      <c r="D78" t="s">
        <v>476</v>
      </c>
      <c r="E78" t="n">
        <v>1</v>
      </c>
      <c r="F78"/>
      <c r="G78"/>
    </row>
    <row r="79">
      <c r="A79" t="s">
        <v>191</v>
      </c>
      <c r="B79" t="s">
        <v>480</v>
      </c>
      <c r="C79" t="s">
        <v>475</v>
      </c>
      <c r="D79" t="s">
        <v>476</v>
      </c>
      <c r="E79" t="n">
        <v>1</v>
      </c>
      <c r="F79"/>
      <c r="G79"/>
    </row>
    <row r="80">
      <c r="A80" t="s">
        <v>124</v>
      </c>
      <c r="B80" t="s">
        <v>481</v>
      </c>
      <c r="C80" t="s">
        <v>482</v>
      </c>
      <c r="D80" t="s">
        <v>483</v>
      </c>
      <c r="E80" t="n">
        <v>0.160599002746649</v>
      </c>
      <c r="F80"/>
      <c r="G80" t="s">
        <v>484</v>
      </c>
    </row>
    <row r="81">
      <c r="A81" t="s">
        <v>124</v>
      </c>
      <c r="B81" t="s">
        <v>481</v>
      </c>
      <c r="C81" t="s">
        <v>485</v>
      </c>
      <c r="D81" t="s">
        <v>486</v>
      </c>
      <c r="E81" t="n">
        <v>0.839400997253351</v>
      </c>
      <c r="F81"/>
      <c r="G81" t="s">
        <v>484</v>
      </c>
    </row>
    <row r="82">
      <c r="A82" t="s">
        <v>129</v>
      </c>
      <c r="B82" t="s">
        <v>487</v>
      </c>
      <c r="C82" t="s">
        <v>488</v>
      </c>
      <c r="D82" t="s">
        <v>489</v>
      </c>
      <c r="E82" t="n">
        <v>0.1</v>
      </c>
      <c r="F82"/>
      <c r="G82" t="s">
        <v>490</v>
      </c>
    </row>
    <row r="83">
      <c r="A83" t="s">
        <v>129</v>
      </c>
      <c r="B83" t="s">
        <v>487</v>
      </c>
      <c r="C83" t="s">
        <v>491</v>
      </c>
      <c r="D83" t="s">
        <v>492</v>
      </c>
      <c r="E83" t="n">
        <v>0.9</v>
      </c>
      <c r="F83"/>
      <c r="G83" t="s">
        <v>490</v>
      </c>
    </row>
    <row r="84">
      <c r="A84" t="s">
        <v>130</v>
      </c>
      <c r="B84" t="s">
        <v>493</v>
      </c>
      <c r="C84" t="s">
        <v>379</v>
      </c>
      <c r="D84" t="s">
        <v>380</v>
      </c>
      <c r="E84" t="n">
        <v>0.5</v>
      </c>
      <c r="F84"/>
      <c r="G84" t="s">
        <v>494</v>
      </c>
    </row>
    <row r="85">
      <c r="A85" t="s">
        <v>130</v>
      </c>
      <c r="B85" t="s">
        <v>493</v>
      </c>
      <c r="C85" t="s">
        <v>495</v>
      </c>
      <c r="D85" t="s">
        <v>496</v>
      </c>
      <c r="E85" t="n">
        <v>0.5</v>
      </c>
      <c r="F85"/>
      <c r="G85" t="s">
        <v>494</v>
      </c>
    </row>
    <row r="86">
      <c r="A86" t="s">
        <v>145</v>
      </c>
      <c r="B86" t="s">
        <v>497</v>
      </c>
      <c r="C86" t="s">
        <v>498</v>
      </c>
      <c r="D86" t="s">
        <v>499</v>
      </c>
      <c r="E86" t="n">
        <v>0.7</v>
      </c>
      <c r="F86"/>
      <c r="G86" t="s">
        <v>500</v>
      </c>
    </row>
    <row r="87">
      <c r="A87" t="s">
        <v>145</v>
      </c>
      <c r="B87" t="s">
        <v>497</v>
      </c>
      <c r="C87" t="s">
        <v>501</v>
      </c>
      <c r="D87" t="s">
        <v>502</v>
      </c>
      <c r="E87" t="n">
        <v>0.3</v>
      </c>
      <c r="F87"/>
      <c r="G87" t="s">
        <v>500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1" topLeftCell="A1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12.71" hidden="0" customWidth="1"/>
    <col min="3" max="3" width="18.71" hidden="0" customWidth="1"/>
    <col min="4" max="4" width="70.71" hidden="0" customWidth="1"/>
    <col min="5" max="5" width="10.71" hidden="0" customWidth="1"/>
    <col min="6" max="6" width="10.71" hidden="0" customWidth="1"/>
  </cols>
  <sheetData>
    <row r="1">
      <c r="A1" t="s">
        <v>503</v>
      </c>
    </row>
    <row r="2">
      <c r="A2" t="s">
        <v>1</v>
      </c>
    </row>
    <row r="3">
      <c r="A3" t="s">
        <v>504</v>
      </c>
    </row>
    <row r="4">
      <c r="A4" t="s">
        <v>505</v>
      </c>
    </row>
    <row r="5">
      <c r="A5" t="s">
        <v>506</v>
      </c>
    </row>
    <row r="6">
      <c r="A6" t="s">
        <v>507</v>
      </c>
    </row>
    <row r="7">
      <c r="A7" t="s">
        <v>508</v>
      </c>
    </row>
    <row r="8">
      <c r="A8" t="s">
        <v>509</v>
      </c>
    </row>
    <row r="9">
      <c r="A9" t="s">
        <v>1</v>
      </c>
    </row>
    <row r="11">
      <c r="A11" t="s">
        <v>332</v>
      </c>
      <c r="B11" t="s">
        <v>334</v>
      </c>
      <c r="C11" t="s">
        <v>336</v>
      </c>
      <c r="D11" t="s">
        <v>338</v>
      </c>
    </row>
    <row r="12">
      <c r="A12" t="n">
        <v>212</v>
      </c>
      <c r="B12" t="s">
        <v>482</v>
      </c>
      <c r="C12" t="n">
        <v>0.160599002746649</v>
      </c>
      <c r="D12" t="s">
        <v>484</v>
      </c>
    </row>
    <row r="13">
      <c r="A13" t="n">
        <v>212</v>
      </c>
      <c r="B13" t="s">
        <v>485</v>
      </c>
      <c r="C13" t="n">
        <v>0.839400997253351</v>
      </c>
      <c r="D13" t="s">
        <v>484</v>
      </c>
    </row>
    <row r="14">
      <c r="A14" t="n">
        <v>327</v>
      </c>
      <c r="B14" t="s">
        <v>488</v>
      </c>
      <c r="C14" t="n">
        <v>0.1</v>
      </c>
      <c r="D14" t="s">
        <v>490</v>
      </c>
    </row>
    <row r="15">
      <c r="A15" t="n">
        <v>327</v>
      </c>
      <c r="B15" t="s">
        <v>491</v>
      </c>
      <c r="C15" t="n">
        <v>0.9</v>
      </c>
      <c r="D15" t="s">
        <v>490</v>
      </c>
    </row>
    <row r="16">
      <c r="A16" t="n">
        <v>331</v>
      </c>
      <c r="B16" t="s">
        <v>379</v>
      </c>
      <c r="C16" t="n">
        <v>0.5</v>
      </c>
      <c r="D16" t="s">
        <v>494</v>
      </c>
    </row>
    <row r="17">
      <c r="A17" t="n">
        <v>331</v>
      </c>
      <c r="B17" t="s">
        <v>495</v>
      </c>
      <c r="C17" t="n">
        <v>0.5</v>
      </c>
      <c r="D17" t="s">
        <v>494</v>
      </c>
    </row>
    <row r="18">
      <c r="A18" t="n">
        <v>325</v>
      </c>
      <c r="B18" t="s">
        <v>498</v>
      </c>
      <c r="C18" t="n">
        <v>0.7</v>
      </c>
      <c r="D18" t="s">
        <v>500</v>
      </c>
    </row>
    <row r="19">
      <c r="A19" t="n">
        <v>325</v>
      </c>
      <c r="B19" t="s">
        <v>501</v>
      </c>
      <c r="C19" t="n">
        <v>0.3</v>
      </c>
      <c r="D19" t="s">
        <v>500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7" topLeftCell="A8" activePane="bottomLeft" state="frozen"/>
      <selection pane="bottomLeft"/>
    </sheetView>
  </sheetViews>
  <sheetFormatPr defaultRowHeight="15.0" baseColWidth="10"/>
  <cols>
    <col min="1" max="1" width="15.71" hidden="0" customWidth="1"/>
    <col min="2" max="2" width="65.71" hidden="0" customWidth="1"/>
    <col min="3" max="3" width="85.71" hidden="0" customWidth="1"/>
  </cols>
  <sheetData>
    <row r="1">
      <c r="A1" t="s">
        <v>510</v>
      </c>
    </row>
    <row r="2">
      <c r="A2" t="s">
        <v>511</v>
      </c>
    </row>
    <row r="3">
      <c r="A3" t="s">
        <v>512</v>
      </c>
    </row>
    <row r="4">
      <c r="A4" t="s">
        <v>513</v>
      </c>
    </row>
    <row r="5">
      <c r="A5" t="s">
        <v>1</v>
      </c>
    </row>
    <row r="7">
      <c r="A7" t="s">
        <v>514</v>
      </c>
      <c r="B7" t="s">
        <v>515</v>
      </c>
      <c r="C7" t="s">
        <v>516</v>
      </c>
    </row>
    <row r="8">
      <c r="A8" t="s">
        <v>340</v>
      </c>
      <c r="B8" t="s">
        <v>517</v>
      </c>
      <c r="C8" t="s">
        <v>518</v>
      </c>
    </row>
    <row r="9">
      <c r="A9" t="s">
        <v>482</v>
      </c>
      <c r="B9" t="s">
        <v>483</v>
      </c>
      <c r="C9" t="s">
        <v>519</v>
      </c>
    </row>
    <row r="10">
      <c r="A10" t="s">
        <v>344</v>
      </c>
      <c r="B10" t="s">
        <v>345</v>
      </c>
      <c r="C10" t="s">
        <v>520</v>
      </c>
    </row>
    <row r="11">
      <c r="A11" t="s">
        <v>485</v>
      </c>
      <c r="B11" t="s">
        <v>521</v>
      </c>
      <c r="C11" t="s">
        <v>522</v>
      </c>
    </row>
    <row r="12">
      <c r="A12" t="s">
        <v>347</v>
      </c>
      <c r="B12" t="s">
        <v>348</v>
      </c>
      <c r="C12" t="s">
        <v>523</v>
      </c>
    </row>
    <row r="13">
      <c r="A13" t="s">
        <v>362</v>
      </c>
      <c r="B13" t="s">
        <v>524</v>
      </c>
      <c r="C13" t="s">
        <v>525</v>
      </c>
    </row>
    <row r="14">
      <c r="A14" t="s">
        <v>365</v>
      </c>
      <c r="B14" t="s">
        <v>526</v>
      </c>
      <c r="C14" t="s">
        <v>527</v>
      </c>
    </row>
    <row r="15">
      <c r="A15" t="s">
        <v>369</v>
      </c>
      <c r="B15" t="s">
        <v>528</v>
      </c>
      <c r="C15" t="s">
        <v>529</v>
      </c>
    </row>
    <row r="16">
      <c r="A16" t="s">
        <v>372</v>
      </c>
      <c r="B16" t="s">
        <v>373</v>
      </c>
      <c r="C16" t="s">
        <v>530</v>
      </c>
    </row>
    <row r="17">
      <c r="A17" t="s">
        <v>376</v>
      </c>
      <c r="B17" t="s">
        <v>377</v>
      </c>
      <c r="C17" t="s">
        <v>531</v>
      </c>
    </row>
    <row r="18">
      <c r="A18" t="s">
        <v>498</v>
      </c>
      <c r="B18" t="s">
        <v>532</v>
      </c>
      <c r="C18" t="s">
        <v>533</v>
      </c>
    </row>
    <row r="19">
      <c r="A19" t="s">
        <v>501</v>
      </c>
      <c r="B19" t="s">
        <v>534</v>
      </c>
      <c r="C19" t="s">
        <v>535</v>
      </c>
    </row>
    <row r="20">
      <c r="A20" t="s">
        <v>126</v>
      </c>
      <c r="B20" t="s">
        <v>383</v>
      </c>
      <c r="C20" t="s">
        <v>536</v>
      </c>
    </row>
    <row r="21">
      <c r="A21" t="s">
        <v>488</v>
      </c>
      <c r="B21" t="s">
        <v>537</v>
      </c>
      <c r="C21" t="s">
        <v>538</v>
      </c>
    </row>
    <row r="22">
      <c r="A22" t="s">
        <v>491</v>
      </c>
      <c r="B22" t="s">
        <v>539</v>
      </c>
      <c r="C22" t="s">
        <v>540</v>
      </c>
    </row>
    <row r="23">
      <c r="A23" t="s">
        <v>379</v>
      </c>
      <c r="B23" t="s">
        <v>541</v>
      </c>
      <c r="C23" t="s">
        <v>542</v>
      </c>
    </row>
    <row r="24">
      <c r="A24" t="s">
        <v>495</v>
      </c>
      <c r="B24" t="s">
        <v>543</v>
      </c>
      <c r="C24" t="s">
        <v>544</v>
      </c>
    </row>
    <row r="25">
      <c r="A25" t="s">
        <v>385</v>
      </c>
      <c r="B25" t="s">
        <v>545</v>
      </c>
      <c r="C25" t="s">
        <v>546</v>
      </c>
    </row>
    <row r="26">
      <c r="A26" t="s">
        <v>390</v>
      </c>
      <c r="B26" t="s">
        <v>391</v>
      </c>
      <c r="C26" t="s">
        <v>547</v>
      </c>
    </row>
    <row r="27">
      <c r="A27" t="s">
        <v>393</v>
      </c>
      <c r="B27" t="s">
        <v>394</v>
      </c>
      <c r="C27" t="s">
        <v>548</v>
      </c>
    </row>
    <row r="28">
      <c r="A28" t="s">
        <v>387</v>
      </c>
      <c r="B28" t="s">
        <v>388</v>
      </c>
      <c r="C28" t="s">
        <v>549</v>
      </c>
    </row>
    <row r="29">
      <c r="A29" t="s">
        <v>396</v>
      </c>
      <c r="B29" t="s">
        <v>550</v>
      </c>
      <c r="C29" t="s">
        <v>551</v>
      </c>
    </row>
    <row r="30">
      <c r="A30" t="s">
        <v>399</v>
      </c>
      <c r="B30" t="s">
        <v>400</v>
      </c>
      <c r="C30" t="s">
        <v>552</v>
      </c>
    </row>
    <row r="31">
      <c r="A31" t="s">
        <v>402</v>
      </c>
      <c r="B31" t="s">
        <v>553</v>
      </c>
      <c r="C31" t="s">
        <v>554</v>
      </c>
    </row>
    <row r="32">
      <c r="A32" t="s">
        <v>350</v>
      </c>
      <c r="B32" t="s">
        <v>555</v>
      </c>
      <c r="C32" t="s">
        <v>556</v>
      </c>
    </row>
    <row r="33">
      <c r="A33" t="s">
        <v>353</v>
      </c>
      <c r="B33" t="s">
        <v>557</v>
      </c>
      <c r="C33" t="s">
        <v>558</v>
      </c>
    </row>
    <row r="34">
      <c r="A34" t="s">
        <v>356</v>
      </c>
      <c r="B34" t="s">
        <v>559</v>
      </c>
      <c r="C34" t="s">
        <v>560</v>
      </c>
    </row>
    <row r="35">
      <c r="A35" t="s">
        <v>360</v>
      </c>
      <c r="B35" t="s">
        <v>359</v>
      </c>
      <c r="C35" t="s">
        <v>561</v>
      </c>
    </row>
    <row r="36">
      <c r="A36" t="s">
        <v>406</v>
      </c>
      <c r="B36" t="s">
        <v>562</v>
      </c>
      <c r="C36" t="s">
        <v>563</v>
      </c>
    </row>
    <row r="37">
      <c r="A37" t="s">
        <v>413</v>
      </c>
      <c r="B37" t="s">
        <v>414</v>
      </c>
      <c r="C37" t="s">
        <v>564</v>
      </c>
    </row>
    <row r="38">
      <c r="A38" t="s">
        <v>470</v>
      </c>
      <c r="B38" t="s">
        <v>565</v>
      </c>
      <c r="C38" t="s">
        <v>566</v>
      </c>
    </row>
    <row r="39">
      <c r="A39" t="s">
        <v>425</v>
      </c>
      <c r="B39" t="s">
        <v>567</v>
      </c>
      <c r="C39" t="s">
        <v>568</v>
      </c>
    </row>
    <row r="40">
      <c r="A40" t="s">
        <v>177</v>
      </c>
      <c r="B40" t="s">
        <v>430</v>
      </c>
      <c r="C40" t="s">
        <v>569</v>
      </c>
    </row>
    <row r="41">
      <c r="A41" t="s">
        <v>432</v>
      </c>
      <c r="B41" t="s">
        <v>433</v>
      </c>
      <c r="C41" t="s">
        <v>570</v>
      </c>
    </row>
    <row r="42">
      <c r="A42" t="s">
        <v>435</v>
      </c>
      <c r="B42" t="s">
        <v>571</v>
      </c>
      <c r="C42" t="s">
        <v>572</v>
      </c>
    </row>
    <row r="43">
      <c r="A43" t="s">
        <v>441</v>
      </c>
      <c r="B43" t="s">
        <v>442</v>
      </c>
      <c r="C43" t="s">
        <v>573</v>
      </c>
    </row>
    <row r="44">
      <c r="A44" t="s">
        <v>445</v>
      </c>
      <c r="B44" t="s">
        <v>574</v>
      </c>
      <c r="C44" t="s">
        <v>575</v>
      </c>
    </row>
    <row r="45">
      <c r="A45" t="s">
        <v>475</v>
      </c>
      <c r="B45" t="s">
        <v>576</v>
      </c>
      <c r="C45" t="s">
        <v>577</v>
      </c>
    </row>
    <row r="46">
      <c r="A46" t="s">
        <v>457</v>
      </c>
      <c r="B46" t="s">
        <v>458</v>
      </c>
      <c r="C46" t="s">
        <v>578</v>
      </c>
    </row>
    <row r="47">
      <c r="A47" t="s">
        <v>460</v>
      </c>
      <c r="B47" t="s">
        <v>579</v>
      </c>
      <c r="C47" t="s">
        <v>580</v>
      </c>
    </row>
    <row r="48">
      <c r="A48" t="s">
        <v>466</v>
      </c>
      <c r="B48" t="s">
        <v>581</v>
      </c>
      <c r="C48" t="s">
        <v>582</v>
      </c>
    </row>
    <row r="49">
      <c r="A49" t="s">
        <v>583</v>
      </c>
      <c r="B49" t="s">
        <v>584</v>
      </c>
      <c r="C49" t="s">
        <v>585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topLeftCell="A3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16.71" hidden="0" customWidth="1"/>
    <col min="3" max="3" width="18.71" hidden="0" customWidth="1"/>
    <col min="4" max="4" width="20.71" hidden="0" customWidth="1"/>
    <col min="5" max="5" width="20.71" hidden="0" customWidth="1"/>
  </cols>
  <sheetData>
    <row r="1">
      <c r="A1" t="s">
        <v>586</v>
      </c>
    </row>
    <row r="2">
      <c r="A2" t="s">
        <v>332</v>
      </c>
      <c r="B2" t="s">
        <v>334</v>
      </c>
      <c r="C2" t="s">
        <v>336</v>
      </c>
      <c r="D2" t="s">
        <v>587</v>
      </c>
      <c r="E2" t="s">
        <v>588</v>
      </c>
    </row>
    <row r="3">
      <c r="A3" t="str">
        <f>'Crosswalk_BEA_to_ISIC'!A9</f>
      </c>
      <c r="B3" t="str">
        <f>'Crosswalk_BEA_to_ISIC'!C9</f>
      </c>
      <c r="C3" t="str">
        <f>'Crosswalk_BEA_to_ISIC'!E9</f>
      </c>
      <c r="D3" t="str">
        <f>IFERROR(INDEX('1_DCS_numerator_by_BEA'!$B$2:$B$74, MATCH($A3, '1_DCS_numerator_by_BEA'!$A$2:$A$74, 0)), 0)</f>
      </c>
      <c r="E3" t="str">
        <f>C3*D3</f>
      </c>
    </row>
    <row r="4">
      <c r="A4" t="str">
        <f>'Crosswalk_BEA_to_ISIC'!A10</f>
      </c>
      <c r="B4" t="str">
        <f>'Crosswalk_BEA_to_ISIC'!C10</f>
      </c>
      <c r="C4" t="str">
        <f>'Crosswalk_BEA_to_ISIC'!E10</f>
      </c>
      <c r="D4" t="str">
        <f>IFERROR(INDEX('1_DCS_numerator_by_BEA'!$B$2:$B$74, MATCH($A4, '1_DCS_numerator_by_BEA'!$A$2:$A$74, 0)), 0)</f>
      </c>
      <c r="E4" t="str">
        <f>C4*D4</f>
      </c>
    </row>
    <row r="5">
      <c r="A5" t="str">
        <f>'Crosswalk_BEA_to_ISIC'!A11</f>
      </c>
      <c r="B5" t="str">
        <f>'Crosswalk_BEA_to_ISIC'!C11</f>
      </c>
      <c r="C5" t="str">
        <f>'Crosswalk_BEA_to_ISIC'!E11</f>
      </c>
      <c r="D5" t="str">
        <f>IFERROR(INDEX('1_DCS_numerator_by_BEA'!$B$2:$B$74, MATCH($A5, '1_DCS_numerator_by_BEA'!$A$2:$A$74, 0)), 0)</f>
      </c>
      <c r="E5" t="str">
        <f>C5*D5</f>
      </c>
    </row>
    <row r="6">
      <c r="A6" t="str">
        <f>'Crosswalk_BEA_to_ISIC'!A12</f>
      </c>
      <c r="B6" t="str">
        <f>'Crosswalk_BEA_to_ISIC'!C12</f>
      </c>
      <c r="C6" t="str">
        <f>'Crosswalk_BEA_to_ISIC'!E12</f>
      </c>
      <c r="D6" t="str">
        <f>IFERROR(INDEX('1_DCS_numerator_by_BEA'!$B$2:$B$74, MATCH($A6, '1_DCS_numerator_by_BEA'!$A$2:$A$74, 0)), 0)</f>
      </c>
      <c r="E6" t="str">
        <f>C6*D6</f>
      </c>
    </row>
    <row r="7">
      <c r="A7" t="str">
        <f>'Crosswalk_BEA_to_ISIC'!A13</f>
      </c>
      <c r="B7" t="str">
        <f>'Crosswalk_BEA_to_ISIC'!C13</f>
      </c>
      <c r="C7" t="str">
        <f>'Crosswalk_BEA_to_ISIC'!E13</f>
      </c>
      <c r="D7" t="str">
        <f>IFERROR(INDEX('1_DCS_numerator_by_BEA'!$B$2:$B$74, MATCH($A7, '1_DCS_numerator_by_BEA'!$A$2:$A$74, 0)), 0)</f>
      </c>
      <c r="E7" t="str">
        <f>C7*D7</f>
      </c>
    </row>
    <row r="8">
      <c r="A8" t="str">
        <f>'Crosswalk_BEA_to_ISIC'!A14</f>
      </c>
      <c r="B8" t="str">
        <f>'Crosswalk_BEA_to_ISIC'!C14</f>
      </c>
      <c r="C8" t="str">
        <f>'Crosswalk_BEA_to_ISIC'!E14</f>
      </c>
      <c r="D8" t="str">
        <f>IFERROR(INDEX('1_DCS_numerator_by_BEA'!$B$2:$B$74, MATCH($A8, '1_DCS_numerator_by_BEA'!$A$2:$A$74, 0)), 0)</f>
      </c>
      <c r="E8" t="str">
        <f>C8*D8</f>
      </c>
    </row>
    <row r="9">
      <c r="A9" t="str">
        <f>'Crosswalk_BEA_to_ISIC'!A15</f>
      </c>
      <c r="B9" t="str">
        <f>'Crosswalk_BEA_to_ISIC'!C15</f>
      </c>
      <c r="C9" t="str">
        <f>'Crosswalk_BEA_to_ISIC'!E15</f>
      </c>
      <c r="D9" t="str">
        <f>IFERROR(INDEX('1_DCS_numerator_by_BEA'!$B$2:$B$74, MATCH($A9, '1_DCS_numerator_by_BEA'!$A$2:$A$74, 0)), 0)</f>
      </c>
      <c r="E9" t="str">
        <f>C9*D9</f>
      </c>
    </row>
    <row r="10">
      <c r="A10" t="str">
        <f>'Crosswalk_BEA_to_ISIC'!A16</f>
      </c>
      <c r="B10" t="str">
        <f>'Crosswalk_BEA_to_ISIC'!C16</f>
      </c>
      <c r="C10" t="str">
        <f>'Crosswalk_BEA_to_ISIC'!E16</f>
      </c>
      <c r="D10" t="str">
        <f>IFERROR(INDEX('1_DCS_numerator_by_BEA'!$B$2:$B$74, MATCH($A10, '1_DCS_numerator_by_BEA'!$A$2:$A$74, 0)), 0)</f>
      </c>
      <c r="E10" t="str">
        <f>C10*D10</f>
      </c>
    </row>
    <row r="11">
      <c r="A11" t="str">
        <f>'Crosswalk_BEA_to_ISIC'!A17</f>
      </c>
      <c r="B11" t="str">
        <f>'Crosswalk_BEA_to_ISIC'!C17</f>
      </c>
      <c r="C11" t="str">
        <f>'Crosswalk_BEA_to_ISIC'!E17</f>
      </c>
      <c r="D11" t="str">
        <f>IFERROR(INDEX('1_DCS_numerator_by_BEA'!$B$2:$B$74, MATCH($A11, '1_DCS_numerator_by_BEA'!$A$2:$A$74, 0)), 0)</f>
      </c>
      <c r="E11" t="str">
        <f>C11*D11</f>
      </c>
    </row>
    <row r="12">
      <c r="A12" t="str">
        <f>'Crosswalk_BEA_to_ISIC'!A18</f>
      </c>
      <c r="B12" t="str">
        <f>'Crosswalk_BEA_to_ISIC'!C18</f>
      </c>
      <c r="C12" t="str">
        <f>'Crosswalk_BEA_to_ISIC'!E18</f>
      </c>
      <c r="D12" t="str">
        <f>IFERROR(INDEX('1_DCS_numerator_by_BEA'!$B$2:$B$74, MATCH($A12, '1_DCS_numerator_by_BEA'!$A$2:$A$74, 0)), 0)</f>
      </c>
      <c r="E12" t="str">
        <f>C12*D12</f>
      </c>
    </row>
    <row r="13">
      <c r="A13" t="str">
        <f>'Crosswalk_BEA_to_ISIC'!A19</f>
      </c>
      <c r="B13" t="str">
        <f>'Crosswalk_BEA_to_ISIC'!C19</f>
      </c>
      <c r="C13" t="str">
        <f>'Crosswalk_BEA_to_ISIC'!E19</f>
      </c>
      <c r="D13" t="str">
        <f>IFERROR(INDEX('1_DCS_numerator_by_BEA'!$B$2:$B$74, MATCH($A13, '1_DCS_numerator_by_BEA'!$A$2:$A$74, 0)), 0)</f>
      </c>
      <c r="E13" t="str">
        <f>C13*D13</f>
      </c>
    </row>
    <row r="14">
      <c r="A14" t="str">
        <f>'Crosswalk_BEA_to_ISIC'!A20</f>
      </c>
      <c r="B14" t="str">
        <f>'Crosswalk_BEA_to_ISIC'!C20</f>
      </c>
      <c r="C14" t="str">
        <f>'Crosswalk_BEA_to_ISIC'!E20</f>
      </c>
      <c r="D14" t="str">
        <f>IFERROR(INDEX('1_DCS_numerator_by_BEA'!$B$2:$B$74, MATCH($A14, '1_DCS_numerator_by_BEA'!$A$2:$A$74, 0)), 0)</f>
      </c>
      <c r="E14" t="str">
        <f>C14*D14</f>
      </c>
    </row>
    <row r="15">
      <c r="A15" t="str">
        <f>'Crosswalk_BEA_to_ISIC'!A21</f>
      </c>
      <c r="B15" t="str">
        <f>'Crosswalk_BEA_to_ISIC'!C21</f>
      </c>
      <c r="C15" t="str">
        <f>'Crosswalk_BEA_to_ISIC'!E21</f>
      </c>
      <c r="D15" t="str">
        <f>IFERROR(INDEX('1_DCS_numerator_by_BEA'!$B$2:$B$74, MATCH($A15, '1_DCS_numerator_by_BEA'!$A$2:$A$74, 0)), 0)</f>
      </c>
      <c r="E15" t="str">
        <f>C15*D15</f>
      </c>
    </row>
    <row r="16">
      <c r="A16" t="str">
        <f>'Crosswalk_BEA_to_ISIC'!A22</f>
      </c>
      <c r="B16" t="str">
        <f>'Crosswalk_BEA_to_ISIC'!C22</f>
      </c>
      <c r="C16" t="str">
        <f>'Crosswalk_BEA_to_ISIC'!E22</f>
      </c>
      <c r="D16" t="str">
        <f>IFERROR(INDEX('1_DCS_numerator_by_BEA'!$B$2:$B$74, MATCH($A16, '1_DCS_numerator_by_BEA'!$A$2:$A$74, 0)), 0)</f>
      </c>
      <c r="E16" t="str">
        <f>C16*D16</f>
      </c>
    </row>
    <row r="17">
      <c r="A17" t="str">
        <f>'Crosswalk_BEA_to_ISIC'!A23</f>
      </c>
      <c r="B17" t="str">
        <f>'Crosswalk_BEA_to_ISIC'!C23</f>
      </c>
      <c r="C17" t="str">
        <f>'Crosswalk_BEA_to_ISIC'!E23</f>
      </c>
      <c r="D17" t="str">
        <f>IFERROR(INDEX('1_DCS_numerator_by_BEA'!$B$2:$B$74, MATCH($A17, '1_DCS_numerator_by_BEA'!$A$2:$A$74, 0)), 0)</f>
      </c>
      <c r="E17" t="str">
        <f>C17*D17</f>
      </c>
    </row>
    <row r="18">
      <c r="A18" t="str">
        <f>'Crosswalk_BEA_to_ISIC'!A24</f>
      </c>
      <c r="B18" t="str">
        <f>'Crosswalk_BEA_to_ISIC'!C24</f>
      </c>
      <c r="C18" t="str">
        <f>'Crosswalk_BEA_to_ISIC'!E24</f>
      </c>
      <c r="D18" t="str">
        <f>IFERROR(INDEX('1_DCS_numerator_by_BEA'!$B$2:$B$74, MATCH($A18, '1_DCS_numerator_by_BEA'!$A$2:$A$74, 0)), 0)</f>
      </c>
      <c r="E18" t="str">
        <f>C18*D18</f>
      </c>
    </row>
    <row r="19">
      <c r="A19" t="str">
        <f>'Crosswalk_BEA_to_ISIC'!A25</f>
      </c>
      <c r="B19" t="str">
        <f>'Crosswalk_BEA_to_ISIC'!C25</f>
      </c>
      <c r="C19" t="str">
        <f>'Crosswalk_BEA_to_ISIC'!E25</f>
      </c>
      <c r="D19" t="str">
        <f>IFERROR(INDEX('1_DCS_numerator_by_BEA'!$B$2:$B$74, MATCH($A19, '1_DCS_numerator_by_BEA'!$A$2:$A$74, 0)), 0)</f>
      </c>
      <c r="E19" t="str">
        <f>C19*D19</f>
      </c>
    </row>
    <row r="20">
      <c r="A20" t="str">
        <f>'Crosswalk_BEA_to_ISIC'!A26</f>
      </c>
      <c r="B20" t="str">
        <f>'Crosswalk_BEA_to_ISIC'!C26</f>
      </c>
      <c r="C20" t="str">
        <f>'Crosswalk_BEA_to_ISIC'!E26</f>
      </c>
      <c r="D20" t="str">
        <f>IFERROR(INDEX('1_DCS_numerator_by_BEA'!$B$2:$B$74, MATCH($A20, '1_DCS_numerator_by_BEA'!$A$2:$A$74, 0)), 0)</f>
      </c>
      <c r="E20" t="str">
        <f>C20*D20</f>
      </c>
    </row>
    <row r="21">
      <c r="A21" t="str">
        <f>'Crosswalk_BEA_to_ISIC'!A27</f>
      </c>
      <c r="B21" t="str">
        <f>'Crosswalk_BEA_to_ISIC'!C27</f>
      </c>
      <c r="C21" t="str">
        <f>'Crosswalk_BEA_to_ISIC'!E27</f>
      </c>
      <c r="D21" t="str">
        <f>IFERROR(INDEX('1_DCS_numerator_by_BEA'!$B$2:$B$74, MATCH($A21, '1_DCS_numerator_by_BEA'!$A$2:$A$74, 0)), 0)</f>
      </c>
      <c r="E21" t="str">
        <f>C21*D21</f>
      </c>
    </row>
    <row r="22">
      <c r="A22" t="str">
        <f>'Crosswalk_BEA_to_ISIC'!A28</f>
      </c>
      <c r="B22" t="str">
        <f>'Crosswalk_BEA_to_ISIC'!C28</f>
      </c>
      <c r="C22" t="str">
        <f>'Crosswalk_BEA_to_ISIC'!E28</f>
      </c>
      <c r="D22" t="str">
        <f>IFERROR(INDEX('1_DCS_numerator_by_BEA'!$B$2:$B$74, MATCH($A22, '1_DCS_numerator_by_BEA'!$A$2:$A$74, 0)), 0)</f>
      </c>
      <c r="E22" t="str">
        <f>C22*D22</f>
      </c>
    </row>
    <row r="23">
      <c r="A23" t="str">
        <f>'Crosswalk_BEA_to_ISIC'!A29</f>
      </c>
      <c r="B23" t="str">
        <f>'Crosswalk_BEA_to_ISIC'!C29</f>
      </c>
      <c r="C23" t="str">
        <f>'Crosswalk_BEA_to_ISIC'!E29</f>
      </c>
      <c r="D23" t="str">
        <f>IFERROR(INDEX('1_DCS_numerator_by_BEA'!$B$2:$B$74, MATCH($A23, '1_DCS_numerator_by_BEA'!$A$2:$A$74, 0)), 0)</f>
      </c>
      <c r="E23" t="str">
        <f>C23*D23</f>
      </c>
    </row>
    <row r="24">
      <c r="A24" t="str">
        <f>'Crosswalk_BEA_to_ISIC'!A30</f>
      </c>
      <c r="B24" t="str">
        <f>'Crosswalk_BEA_to_ISIC'!C30</f>
      </c>
      <c r="C24" t="str">
        <f>'Crosswalk_BEA_to_ISIC'!E30</f>
      </c>
      <c r="D24" t="str">
        <f>IFERROR(INDEX('1_DCS_numerator_by_BEA'!$B$2:$B$74, MATCH($A24, '1_DCS_numerator_by_BEA'!$A$2:$A$74, 0)), 0)</f>
      </c>
      <c r="E24" t="str">
        <f>C24*D24</f>
      </c>
    </row>
    <row r="25">
      <c r="A25" t="str">
        <f>'Crosswalk_BEA_to_ISIC'!A31</f>
      </c>
      <c r="B25" t="str">
        <f>'Crosswalk_BEA_to_ISIC'!C31</f>
      </c>
      <c r="C25" t="str">
        <f>'Crosswalk_BEA_to_ISIC'!E31</f>
      </c>
      <c r="D25" t="str">
        <f>IFERROR(INDEX('1_DCS_numerator_by_BEA'!$B$2:$B$74, MATCH($A25, '1_DCS_numerator_by_BEA'!$A$2:$A$74, 0)), 0)</f>
      </c>
      <c r="E25" t="str">
        <f>C25*D25</f>
      </c>
    </row>
    <row r="26">
      <c r="A26" t="str">
        <f>'Crosswalk_BEA_to_ISIC'!A32</f>
      </c>
      <c r="B26" t="str">
        <f>'Crosswalk_BEA_to_ISIC'!C32</f>
      </c>
      <c r="C26" t="str">
        <f>'Crosswalk_BEA_to_ISIC'!E32</f>
      </c>
      <c r="D26" t="str">
        <f>IFERROR(INDEX('1_DCS_numerator_by_BEA'!$B$2:$B$74, MATCH($A26, '1_DCS_numerator_by_BEA'!$A$2:$A$74, 0)), 0)</f>
      </c>
      <c r="E26" t="str">
        <f>C26*D26</f>
      </c>
    </row>
    <row r="27">
      <c r="A27" t="str">
        <f>'Crosswalk_BEA_to_ISIC'!A33</f>
      </c>
      <c r="B27" t="str">
        <f>'Crosswalk_BEA_to_ISIC'!C33</f>
      </c>
      <c r="C27" t="str">
        <f>'Crosswalk_BEA_to_ISIC'!E33</f>
      </c>
      <c r="D27" t="str">
        <f>IFERROR(INDEX('1_DCS_numerator_by_BEA'!$B$2:$B$74, MATCH($A27, '1_DCS_numerator_by_BEA'!$A$2:$A$74, 0)), 0)</f>
      </c>
      <c r="E27" t="str">
        <f>C27*D27</f>
      </c>
    </row>
    <row r="28">
      <c r="A28" t="str">
        <f>'Crosswalk_BEA_to_ISIC'!A34</f>
      </c>
      <c r="B28" t="str">
        <f>'Crosswalk_BEA_to_ISIC'!C34</f>
      </c>
      <c r="C28" t="str">
        <f>'Crosswalk_BEA_to_ISIC'!E34</f>
      </c>
      <c r="D28" t="str">
        <f>IFERROR(INDEX('1_DCS_numerator_by_BEA'!$B$2:$B$74, MATCH($A28, '1_DCS_numerator_by_BEA'!$A$2:$A$74, 0)), 0)</f>
      </c>
      <c r="E28" t="str">
        <f>C28*D28</f>
      </c>
    </row>
    <row r="29">
      <c r="A29" t="str">
        <f>'Crosswalk_BEA_to_ISIC'!A35</f>
      </c>
      <c r="B29" t="str">
        <f>'Crosswalk_BEA_to_ISIC'!C35</f>
      </c>
      <c r="C29" t="str">
        <f>'Crosswalk_BEA_to_ISIC'!E35</f>
      </c>
      <c r="D29" t="str">
        <f>IFERROR(INDEX('1_DCS_numerator_by_BEA'!$B$2:$B$74, MATCH($A29, '1_DCS_numerator_by_BEA'!$A$2:$A$74, 0)), 0)</f>
      </c>
      <c r="E29" t="str">
        <f>C29*D29</f>
      </c>
    </row>
    <row r="30">
      <c r="A30" t="str">
        <f>'Crosswalk_BEA_to_ISIC'!A36</f>
      </c>
      <c r="B30" t="str">
        <f>'Crosswalk_BEA_to_ISIC'!C36</f>
      </c>
      <c r="C30" t="str">
        <f>'Crosswalk_BEA_to_ISIC'!E36</f>
      </c>
      <c r="D30" t="str">
        <f>IFERROR(INDEX('1_DCS_numerator_by_BEA'!$B$2:$B$74, MATCH($A30, '1_DCS_numerator_by_BEA'!$A$2:$A$74, 0)), 0)</f>
      </c>
      <c r="E30" t="str">
        <f>C30*D30</f>
      </c>
    </row>
    <row r="31">
      <c r="A31" t="str">
        <f>'Crosswalk_BEA_to_ISIC'!A37</f>
      </c>
      <c r="B31" t="str">
        <f>'Crosswalk_BEA_to_ISIC'!C37</f>
      </c>
      <c r="C31" t="str">
        <f>'Crosswalk_BEA_to_ISIC'!E37</f>
      </c>
      <c r="D31" t="str">
        <f>IFERROR(INDEX('1_DCS_numerator_by_BEA'!$B$2:$B$74, MATCH($A31, '1_DCS_numerator_by_BEA'!$A$2:$A$74, 0)), 0)</f>
      </c>
      <c r="E31" t="str">
        <f>C31*D31</f>
      </c>
    </row>
    <row r="32">
      <c r="A32" t="str">
        <f>'Crosswalk_BEA_to_ISIC'!A38</f>
      </c>
      <c r="B32" t="str">
        <f>'Crosswalk_BEA_to_ISIC'!C38</f>
      </c>
      <c r="C32" t="str">
        <f>'Crosswalk_BEA_to_ISIC'!E38</f>
      </c>
      <c r="D32" t="str">
        <f>IFERROR(INDEX('1_DCS_numerator_by_BEA'!$B$2:$B$74, MATCH($A32, '1_DCS_numerator_by_BEA'!$A$2:$A$74, 0)), 0)</f>
      </c>
      <c r="E32" t="str">
        <f>C32*D32</f>
      </c>
    </row>
    <row r="33">
      <c r="A33" t="str">
        <f>'Crosswalk_BEA_to_ISIC'!A39</f>
      </c>
      <c r="B33" t="str">
        <f>'Crosswalk_BEA_to_ISIC'!C39</f>
      </c>
      <c r="C33" t="str">
        <f>'Crosswalk_BEA_to_ISIC'!E39</f>
      </c>
      <c r="D33" t="str">
        <f>IFERROR(INDEX('1_DCS_numerator_by_BEA'!$B$2:$B$74, MATCH($A33, '1_DCS_numerator_by_BEA'!$A$2:$A$74, 0)), 0)</f>
      </c>
      <c r="E33" t="str">
        <f>C33*D33</f>
      </c>
    </row>
    <row r="34">
      <c r="A34" t="str">
        <f>'Crosswalk_BEA_to_ISIC'!A40</f>
      </c>
      <c r="B34" t="str">
        <f>'Crosswalk_BEA_to_ISIC'!C40</f>
      </c>
      <c r="C34" t="str">
        <f>'Crosswalk_BEA_to_ISIC'!E40</f>
      </c>
      <c r="D34" t="str">
        <f>IFERROR(INDEX('1_DCS_numerator_by_BEA'!$B$2:$B$74, MATCH($A34, '1_DCS_numerator_by_BEA'!$A$2:$A$74, 0)), 0)</f>
      </c>
      <c r="E34" t="str">
        <f>C34*D34</f>
      </c>
    </row>
    <row r="35">
      <c r="A35" t="str">
        <f>'Crosswalk_BEA_to_ISIC'!A41</f>
      </c>
      <c r="B35" t="str">
        <f>'Crosswalk_BEA_to_ISIC'!C41</f>
      </c>
      <c r="C35" t="str">
        <f>'Crosswalk_BEA_to_ISIC'!E41</f>
      </c>
      <c r="D35" t="str">
        <f>IFERROR(INDEX('1_DCS_numerator_by_BEA'!$B$2:$B$74, MATCH($A35, '1_DCS_numerator_by_BEA'!$A$2:$A$74, 0)), 0)</f>
      </c>
      <c r="E35" t="str">
        <f>C35*D35</f>
      </c>
    </row>
    <row r="36">
      <c r="A36" t="str">
        <f>'Crosswalk_BEA_to_ISIC'!A42</f>
      </c>
      <c r="B36" t="str">
        <f>'Crosswalk_BEA_to_ISIC'!C42</f>
      </c>
      <c r="C36" t="str">
        <f>'Crosswalk_BEA_to_ISIC'!E42</f>
      </c>
      <c r="D36" t="str">
        <f>IFERROR(INDEX('1_DCS_numerator_by_BEA'!$B$2:$B$74, MATCH($A36, '1_DCS_numerator_by_BEA'!$A$2:$A$74, 0)), 0)</f>
      </c>
      <c r="E36" t="str">
        <f>C36*D36</f>
      </c>
    </row>
    <row r="37">
      <c r="A37" t="str">
        <f>'Crosswalk_BEA_to_ISIC'!A43</f>
      </c>
      <c r="B37" t="str">
        <f>'Crosswalk_BEA_to_ISIC'!C43</f>
      </c>
      <c r="C37" t="str">
        <f>'Crosswalk_BEA_to_ISIC'!E43</f>
      </c>
      <c r="D37" t="str">
        <f>IFERROR(INDEX('1_DCS_numerator_by_BEA'!$B$2:$B$74, MATCH($A37, '1_DCS_numerator_by_BEA'!$A$2:$A$74, 0)), 0)</f>
      </c>
      <c r="E37" t="str">
        <f>C37*D37</f>
      </c>
    </row>
    <row r="38">
      <c r="A38" t="str">
        <f>'Crosswalk_BEA_to_ISIC'!A44</f>
      </c>
      <c r="B38" t="str">
        <f>'Crosswalk_BEA_to_ISIC'!C44</f>
      </c>
      <c r="C38" t="str">
        <f>'Crosswalk_BEA_to_ISIC'!E44</f>
      </c>
      <c r="D38" t="str">
        <f>IFERROR(INDEX('1_DCS_numerator_by_BEA'!$B$2:$B$74, MATCH($A38, '1_DCS_numerator_by_BEA'!$A$2:$A$74, 0)), 0)</f>
      </c>
      <c r="E38" t="str">
        <f>C38*D38</f>
      </c>
    </row>
    <row r="39">
      <c r="A39" t="str">
        <f>'Crosswalk_BEA_to_ISIC'!A45</f>
      </c>
      <c r="B39" t="str">
        <f>'Crosswalk_BEA_to_ISIC'!C45</f>
      </c>
      <c r="C39" t="str">
        <f>'Crosswalk_BEA_to_ISIC'!E45</f>
      </c>
      <c r="D39" t="str">
        <f>IFERROR(INDEX('1_DCS_numerator_by_BEA'!$B$2:$B$74, MATCH($A39, '1_DCS_numerator_by_BEA'!$A$2:$A$74, 0)), 0)</f>
      </c>
      <c r="E39" t="str">
        <f>C39*D39</f>
      </c>
    </row>
    <row r="40">
      <c r="A40" t="str">
        <f>'Crosswalk_BEA_to_ISIC'!A46</f>
      </c>
      <c r="B40" t="str">
        <f>'Crosswalk_BEA_to_ISIC'!C46</f>
      </c>
      <c r="C40" t="str">
        <f>'Crosswalk_BEA_to_ISIC'!E46</f>
      </c>
      <c r="D40" t="str">
        <f>IFERROR(INDEX('1_DCS_numerator_by_BEA'!$B$2:$B$74, MATCH($A40, '1_DCS_numerator_by_BEA'!$A$2:$A$74, 0)), 0)</f>
      </c>
      <c r="E40" t="str">
        <f>C40*D40</f>
      </c>
    </row>
    <row r="41">
      <c r="A41" t="str">
        <f>'Crosswalk_BEA_to_ISIC'!A47</f>
      </c>
      <c r="B41" t="str">
        <f>'Crosswalk_BEA_to_ISIC'!C47</f>
      </c>
      <c r="C41" t="str">
        <f>'Crosswalk_BEA_to_ISIC'!E47</f>
      </c>
      <c r="D41" t="str">
        <f>IFERROR(INDEX('1_DCS_numerator_by_BEA'!$B$2:$B$74, MATCH($A41, '1_DCS_numerator_by_BEA'!$A$2:$A$74, 0)), 0)</f>
      </c>
      <c r="E41" t="str">
        <f>C41*D41</f>
      </c>
    </row>
    <row r="42">
      <c r="A42" t="str">
        <f>'Crosswalk_BEA_to_ISIC'!A48</f>
      </c>
      <c r="B42" t="str">
        <f>'Crosswalk_BEA_to_ISIC'!C48</f>
      </c>
      <c r="C42" t="str">
        <f>'Crosswalk_BEA_to_ISIC'!E48</f>
      </c>
      <c r="D42" t="str">
        <f>IFERROR(INDEX('1_DCS_numerator_by_BEA'!$B$2:$B$74, MATCH($A42, '1_DCS_numerator_by_BEA'!$A$2:$A$74, 0)), 0)</f>
      </c>
      <c r="E42" t="str">
        <f>C42*D42</f>
      </c>
    </row>
    <row r="43">
      <c r="A43" t="str">
        <f>'Crosswalk_BEA_to_ISIC'!A49</f>
      </c>
      <c r="B43" t="str">
        <f>'Crosswalk_BEA_to_ISIC'!C49</f>
      </c>
      <c r="C43" t="str">
        <f>'Crosswalk_BEA_to_ISIC'!E49</f>
      </c>
      <c r="D43" t="str">
        <f>IFERROR(INDEX('1_DCS_numerator_by_BEA'!$B$2:$B$74, MATCH($A43, '1_DCS_numerator_by_BEA'!$A$2:$A$74, 0)), 0)</f>
      </c>
      <c r="E43" t="str">
        <f>C43*D43</f>
      </c>
    </row>
    <row r="44">
      <c r="A44" t="str">
        <f>'Crosswalk_BEA_to_ISIC'!A50</f>
      </c>
      <c r="B44" t="str">
        <f>'Crosswalk_BEA_to_ISIC'!C50</f>
      </c>
      <c r="C44" t="str">
        <f>'Crosswalk_BEA_to_ISIC'!E50</f>
      </c>
      <c r="D44" t="str">
        <f>IFERROR(INDEX('1_DCS_numerator_by_BEA'!$B$2:$B$74, MATCH($A44, '1_DCS_numerator_by_BEA'!$A$2:$A$74, 0)), 0)</f>
      </c>
      <c r="E44" t="str">
        <f>C44*D44</f>
      </c>
    </row>
    <row r="45">
      <c r="A45" t="str">
        <f>'Crosswalk_BEA_to_ISIC'!A51</f>
      </c>
      <c r="B45" t="str">
        <f>'Crosswalk_BEA_to_ISIC'!C51</f>
      </c>
      <c r="C45" t="str">
        <f>'Crosswalk_BEA_to_ISIC'!E51</f>
      </c>
      <c r="D45" t="str">
        <f>IFERROR(INDEX('1_DCS_numerator_by_BEA'!$B$2:$B$74, MATCH($A45, '1_DCS_numerator_by_BEA'!$A$2:$A$74, 0)), 0)</f>
      </c>
      <c r="E45" t="str">
        <f>C45*D45</f>
      </c>
    </row>
    <row r="46">
      <c r="A46" t="str">
        <f>'Crosswalk_BEA_to_ISIC'!A52</f>
      </c>
      <c r="B46" t="str">
        <f>'Crosswalk_BEA_to_ISIC'!C52</f>
      </c>
      <c r="C46" t="str">
        <f>'Crosswalk_BEA_to_ISIC'!E52</f>
      </c>
      <c r="D46" t="str">
        <f>IFERROR(INDEX('1_DCS_numerator_by_BEA'!$B$2:$B$74, MATCH($A46, '1_DCS_numerator_by_BEA'!$A$2:$A$74, 0)), 0)</f>
      </c>
      <c r="E46" t="str">
        <f>C46*D46</f>
      </c>
    </row>
    <row r="47">
      <c r="A47" t="str">
        <f>'Crosswalk_BEA_to_ISIC'!A53</f>
      </c>
      <c r="B47" t="str">
        <f>'Crosswalk_BEA_to_ISIC'!C53</f>
      </c>
      <c r="C47" t="str">
        <f>'Crosswalk_BEA_to_ISIC'!E53</f>
      </c>
      <c r="D47" t="str">
        <f>IFERROR(INDEX('1_DCS_numerator_by_BEA'!$B$2:$B$74, MATCH($A47, '1_DCS_numerator_by_BEA'!$A$2:$A$74, 0)), 0)</f>
      </c>
      <c r="E47" t="str">
        <f>C47*D47</f>
      </c>
    </row>
    <row r="48">
      <c r="A48" t="str">
        <f>'Crosswalk_BEA_to_ISIC'!A54</f>
      </c>
      <c r="B48" t="str">
        <f>'Crosswalk_BEA_to_ISIC'!C54</f>
      </c>
      <c r="C48" t="str">
        <f>'Crosswalk_BEA_to_ISIC'!E54</f>
      </c>
      <c r="D48" t="str">
        <f>IFERROR(INDEX('1_DCS_numerator_by_BEA'!$B$2:$B$74, MATCH($A48, '1_DCS_numerator_by_BEA'!$A$2:$A$74, 0)), 0)</f>
      </c>
      <c r="E48" t="str">
        <f>C48*D48</f>
      </c>
    </row>
    <row r="49">
      <c r="A49" t="str">
        <f>'Crosswalk_BEA_to_ISIC'!A55</f>
      </c>
      <c r="B49" t="str">
        <f>'Crosswalk_BEA_to_ISIC'!C55</f>
      </c>
      <c r="C49" t="str">
        <f>'Crosswalk_BEA_to_ISIC'!E55</f>
      </c>
      <c r="D49" t="str">
        <f>IFERROR(INDEX('1_DCS_numerator_by_BEA'!$B$2:$B$74, MATCH($A49, '1_DCS_numerator_by_BEA'!$A$2:$A$74, 0)), 0)</f>
      </c>
      <c r="E49" t="str">
        <f>C49*D49</f>
      </c>
    </row>
    <row r="50">
      <c r="A50" t="str">
        <f>'Crosswalk_BEA_to_ISIC'!A56</f>
      </c>
      <c r="B50" t="str">
        <f>'Crosswalk_BEA_to_ISIC'!C56</f>
      </c>
      <c r="C50" t="str">
        <f>'Crosswalk_BEA_to_ISIC'!E56</f>
      </c>
      <c r="D50" t="str">
        <f>IFERROR(INDEX('1_DCS_numerator_by_BEA'!$B$2:$B$74, MATCH($A50, '1_DCS_numerator_by_BEA'!$A$2:$A$74, 0)), 0)</f>
      </c>
      <c r="E50" t="str">
        <f>C50*D50</f>
      </c>
    </row>
    <row r="51">
      <c r="A51" t="str">
        <f>'Crosswalk_BEA_to_ISIC'!A57</f>
      </c>
      <c r="B51" t="str">
        <f>'Crosswalk_BEA_to_ISIC'!C57</f>
      </c>
      <c r="C51" t="str">
        <f>'Crosswalk_BEA_to_ISIC'!E57</f>
      </c>
      <c r="D51" t="str">
        <f>IFERROR(INDEX('1_DCS_numerator_by_BEA'!$B$2:$B$74, MATCH($A51, '1_DCS_numerator_by_BEA'!$A$2:$A$74, 0)), 0)</f>
      </c>
      <c r="E51" t="str">
        <f>C51*D51</f>
      </c>
    </row>
    <row r="52">
      <c r="A52" t="str">
        <f>'Crosswalk_BEA_to_ISIC'!A58</f>
      </c>
      <c r="B52" t="str">
        <f>'Crosswalk_BEA_to_ISIC'!C58</f>
      </c>
      <c r="C52" t="str">
        <f>'Crosswalk_BEA_to_ISIC'!E58</f>
      </c>
      <c r="D52" t="str">
        <f>IFERROR(INDEX('1_DCS_numerator_by_BEA'!$B$2:$B$74, MATCH($A52, '1_DCS_numerator_by_BEA'!$A$2:$A$74, 0)), 0)</f>
      </c>
      <c r="E52" t="str">
        <f>C52*D52</f>
      </c>
    </row>
    <row r="53">
      <c r="A53" t="str">
        <f>'Crosswalk_BEA_to_ISIC'!A59</f>
      </c>
      <c r="B53" t="str">
        <f>'Crosswalk_BEA_to_ISIC'!C59</f>
      </c>
      <c r="C53" t="str">
        <f>'Crosswalk_BEA_to_ISIC'!E59</f>
      </c>
      <c r="D53" t="str">
        <f>IFERROR(INDEX('1_DCS_numerator_by_BEA'!$B$2:$B$74, MATCH($A53, '1_DCS_numerator_by_BEA'!$A$2:$A$74, 0)), 0)</f>
      </c>
      <c r="E53" t="str">
        <f>C53*D53</f>
      </c>
    </row>
    <row r="54">
      <c r="A54" t="str">
        <f>'Crosswalk_BEA_to_ISIC'!A60</f>
      </c>
      <c r="B54" t="str">
        <f>'Crosswalk_BEA_to_ISIC'!C60</f>
      </c>
      <c r="C54" t="str">
        <f>'Crosswalk_BEA_to_ISIC'!E60</f>
      </c>
      <c r="D54" t="str">
        <f>IFERROR(INDEX('1_DCS_numerator_by_BEA'!$B$2:$B$74, MATCH($A54, '1_DCS_numerator_by_BEA'!$A$2:$A$74, 0)), 0)</f>
      </c>
      <c r="E54" t="str">
        <f>C54*D54</f>
      </c>
    </row>
    <row r="55">
      <c r="A55" t="str">
        <f>'Crosswalk_BEA_to_ISIC'!A61</f>
      </c>
      <c r="B55" t="str">
        <f>'Crosswalk_BEA_to_ISIC'!C61</f>
      </c>
      <c r="C55" t="str">
        <f>'Crosswalk_BEA_to_ISIC'!E61</f>
      </c>
      <c r="D55" t="str">
        <f>IFERROR(INDEX('1_DCS_numerator_by_BEA'!$B$2:$B$74, MATCH($A55, '1_DCS_numerator_by_BEA'!$A$2:$A$74, 0)), 0)</f>
      </c>
      <c r="E55" t="str">
        <f>C55*D55</f>
      </c>
    </row>
    <row r="56">
      <c r="A56" t="str">
        <f>'Crosswalk_BEA_to_ISIC'!A62</f>
      </c>
      <c r="B56" t="str">
        <f>'Crosswalk_BEA_to_ISIC'!C62</f>
      </c>
      <c r="C56" t="str">
        <f>'Crosswalk_BEA_to_ISIC'!E62</f>
      </c>
      <c r="D56" t="str">
        <f>IFERROR(INDEX('1_DCS_numerator_by_BEA'!$B$2:$B$74, MATCH($A56, '1_DCS_numerator_by_BEA'!$A$2:$A$74, 0)), 0)</f>
      </c>
      <c r="E56" t="str">
        <f>C56*D56</f>
      </c>
    </row>
    <row r="57">
      <c r="A57" t="str">
        <f>'Crosswalk_BEA_to_ISIC'!A63</f>
      </c>
      <c r="B57" t="str">
        <f>'Crosswalk_BEA_to_ISIC'!C63</f>
      </c>
      <c r="C57" t="str">
        <f>'Crosswalk_BEA_to_ISIC'!E63</f>
      </c>
      <c r="D57" t="str">
        <f>IFERROR(INDEX('1_DCS_numerator_by_BEA'!$B$2:$B$74, MATCH($A57, '1_DCS_numerator_by_BEA'!$A$2:$A$74, 0)), 0)</f>
      </c>
      <c r="E57" t="str">
        <f>C57*D57</f>
      </c>
    </row>
    <row r="58">
      <c r="A58" t="str">
        <f>'Crosswalk_BEA_to_ISIC'!A64</f>
      </c>
      <c r="B58" t="str">
        <f>'Crosswalk_BEA_to_ISIC'!C64</f>
      </c>
      <c r="C58" t="str">
        <f>'Crosswalk_BEA_to_ISIC'!E64</f>
      </c>
      <c r="D58" t="str">
        <f>IFERROR(INDEX('1_DCS_numerator_by_BEA'!$B$2:$B$74, MATCH($A58, '1_DCS_numerator_by_BEA'!$A$2:$A$74, 0)), 0)</f>
      </c>
      <c r="E58" t="str">
        <f>C58*D58</f>
      </c>
    </row>
    <row r="59">
      <c r="A59" t="str">
        <f>'Crosswalk_BEA_to_ISIC'!A65</f>
      </c>
      <c r="B59" t="str">
        <f>'Crosswalk_BEA_to_ISIC'!C65</f>
      </c>
      <c r="C59" t="str">
        <f>'Crosswalk_BEA_to_ISIC'!E65</f>
      </c>
      <c r="D59" t="str">
        <f>IFERROR(INDEX('1_DCS_numerator_by_BEA'!$B$2:$B$74, MATCH($A59, '1_DCS_numerator_by_BEA'!$A$2:$A$74, 0)), 0)</f>
      </c>
      <c r="E59" t="str">
        <f>C59*D59</f>
      </c>
    </row>
    <row r="60">
      <c r="A60" t="str">
        <f>'Crosswalk_BEA_to_ISIC'!A66</f>
      </c>
      <c r="B60" t="str">
        <f>'Crosswalk_BEA_to_ISIC'!C66</f>
      </c>
      <c r="C60" t="str">
        <f>'Crosswalk_BEA_to_ISIC'!E66</f>
      </c>
      <c r="D60" t="str">
        <f>IFERROR(INDEX('1_DCS_numerator_by_BEA'!$B$2:$B$74, MATCH($A60, '1_DCS_numerator_by_BEA'!$A$2:$A$74, 0)), 0)</f>
      </c>
      <c r="E60" t="str">
        <f>C60*D60</f>
      </c>
    </row>
    <row r="61">
      <c r="A61" t="str">
        <f>'Crosswalk_BEA_to_ISIC'!A67</f>
      </c>
      <c r="B61" t="str">
        <f>'Crosswalk_BEA_to_ISIC'!C67</f>
      </c>
      <c r="C61" t="str">
        <f>'Crosswalk_BEA_to_ISIC'!E67</f>
      </c>
      <c r="D61" t="str">
        <f>IFERROR(INDEX('1_DCS_numerator_by_BEA'!$B$2:$B$74, MATCH($A61, '1_DCS_numerator_by_BEA'!$A$2:$A$74, 0)), 0)</f>
      </c>
      <c r="E61" t="str">
        <f>C61*D61</f>
      </c>
    </row>
    <row r="62">
      <c r="A62" t="str">
        <f>'Crosswalk_BEA_to_ISIC'!A68</f>
      </c>
      <c r="B62" t="str">
        <f>'Crosswalk_BEA_to_ISIC'!C68</f>
      </c>
      <c r="C62" t="str">
        <f>'Crosswalk_BEA_to_ISIC'!E68</f>
      </c>
      <c r="D62" t="str">
        <f>IFERROR(INDEX('1_DCS_numerator_by_BEA'!$B$2:$B$74, MATCH($A62, '1_DCS_numerator_by_BEA'!$A$2:$A$74, 0)), 0)</f>
      </c>
      <c r="E62" t="str">
        <f>C62*D62</f>
      </c>
    </row>
    <row r="63">
      <c r="A63" t="str">
        <f>'Crosswalk_BEA_to_ISIC'!A69</f>
      </c>
      <c r="B63" t="str">
        <f>'Crosswalk_BEA_to_ISIC'!C69</f>
      </c>
      <c r="C63" t="str">
        <f>'Crosswalk_BEA_to_ISIC'!E69</f>
      </c>
      <c r="D63" t="str">
        <f>IFERROR(INDEX('1_DCS_numerator_by_BEA'!$B$2:$B$74, MATCH($A63, '1_DCS_numerator_by_BEA'!$A$2:$A$74, 0)), 0)</f>
      </c>
      <c r="E63" t="str">
        <f>C63*D63</f>
      </c>
    </row>
    <row r="64">
      <c r="A64" t="str">
        <f>'Crosswalk_BEA_to_ISIC'!A70</f>
      </c>
      <c r="B64" t="str">
        <f>'Crosswalk_BEA_to_ISIC'!C70</f>
      </c>
      <c r="C64" t="str">
        <f>'Crosswalk_BEA_to_ISIC'!E70</f>
      </c>
      <c r="D64" t="str">
        <f>IFERROR(INDEX('1_DCS_numerator_by_BEA'!$B$2:$B$74, MATCH($A64, '1_DCS_numerator_by_BEA'!$A$2:$A$74, 0)), 0)</f>
      </c>
      <c r="E64" t="str">
        <f>C64*D64</f>
      </c>
    </row>
    <row r="65">
      <c r="A65" t="str">
        <f>'Crosswalk_BEA_to_ISIC'!A71</f>
      </c>
      <c r="B65" t="str">
        <f>'Crosswalk_BEA_to_ISIC'!C71</f>
      </c>
      <c r="C65" t="str">
        <f>'Crosswalk_BEA_to_ISIC'!E71</f>
      </c>
      <c r="D65" t="str">
        <f>IFERROR(INDEX('1_DCS_numerator_by_BEA'!$B$2:$B$74, MATCH($A65, '1_DCS_numerator_by_BEA'!$A$2:$A$74, 0)), 0)</f>
      </c>
      <c r="E65" t="str">
        <f>C65*D65</f>
      </c>
    </row>
    <row r="66">
      <c r="A66" t="str">
        <f>'Crosswalk_BEA_to_ISIC'!A72</f>
      </c>
      <c r="B66" t="str">
        <f>'Crosswalk_BEA_to_ISIC'!C72</f>
      </c>
      <c r="C66" t="str">
        <f>'Crosswalk_BEA_to_ISIC'!E72</f>
      </c>
      <c r="D66" t="str">
        <f>IFERROR(INDEX('1_DCS_numerator_by_BEA'!$B$2:$B$74, MATCH($A66, '1_DCS_numerator_by_BEA'!$A$2:$A$74, 0)), 0)</f>
      </c>
      <c r="E66" t="str">
        <f>C66*D66</f>
      </c>
    </row>
    <row r="67">
      <c r="A67" t="str">
        <f>'Crosswalk_BEA_to_ISIC'!A73</f>
      </c>
      <c r="B67" t="str">
        <f>'Crosswalk_BEA_to_ISIC'!C73</f>
      </c>
      <c r="C67" t="str">
        <f>'Crosswalk_BEA_to_ISIC'!E73</f>
      </c>
      <c r="D67" t="str">
        <f>IFERROR(INDEX('1_DCS_numerator_by_BEA'!$B$2:$B$74, MATCH($A67, '1_DCS_numerator_by_BEA'!$A$2:$A$74, 0)), 0)</f>
      </c>
      <c r="E67" t="str">
        <f>C67*D67</f>
      </c>
    </row>
    <row r="68">
      <c r="A68" t="str">
        <f>'Crosswalk_BEA_to_ISIC'!A74</f>
      </c>
      <c r="B68" t="str">
        <f>'Crosswalk_BEA_to_ISIC'!C74</f>
      </c>
      <c r="C68" t="str">
        <f>'Crosswalk_BEA_to_ISIC'!E74</f>
      </c>
      <c r="D68" t="str">
        <f>IFERROR(INDEX('1_DCS_numerator_by_BEA'!$B$2:$B$74, MATCH($A68, '1_DCS_numerator_by_BEA'!$A$2:$A$74, 0)), 0)</f>
      </c>
      <c r="E68" t="str">
        <f>C68*D68</f>
      </c>
    </row>
    <row r="69">
      <c r="A69" t="str">
        <f>'Crosswalk_BEA_to_ISIC'!A75</f>
      </c>
      <c r="B69" t="str">
        <f>'Crosswalk_BEA_to_ISIC'!C75</f>
      </c>
      <c r="C69" t="str">
        <f>'Crosswalk_BEA_to_ISIC'!E75</f>
      </c>
      <c r="D69" t="str">
        <f>IFERROR(INDEX('1_DCS_numerator_by_BEA'!$B$2:$B$74, MATCH($A69, '1_DCS_numerator_by_BEA'!$A$2:$A$74, 0)), 0)</f>
      </c>
      <c r="E69" t="str">
        <f>C69*D69</f>
      </c>
    </row>
    <row r="70">
      <c r="A70" t="str">
        <f>'Crosswalk_BEA_to_ISIC'!A76</f>
      </c>
      <c r="B70" t="str">
        <f>'Crosswalk_BEA_to_ISIC'!C76</f>
      </c>
      <c r="C70" t="str">
        <f>'Crosswalk_BEA_to_ISIC'!E76</f>
      </c>
      <c r="D70" t="str">
        <f>IFERROR(INDEX('1_DCS_numerator_by_BEA'!$B$2:$B$74, MATCH($A70, '1_DCS_numerator_by_BEA'!$A$2:$A$74, 0)), 0)</f>
      </c>
      <c r="E70" t="str">
        <f>C70*D70</f>
      </c>
    </row>
    <row r="71">
      <c r="A71" t="str">
        <f>'Crosswalk_BEA_to_ISIC'!A77</f>
      </c>
      <c r="B71" t="str">
        <f>'Crosswalk_BEA_to_ISIC'!C77</f>
      </c>
      <c r="C71" t="str">
        <f>'Crosswalk_BEA_to_ISIC'!E77</f>
      </c>
      <c r="D71" t="str">
        <f>IFERROR(INDEX('1_DCS_numerator_by_BEA'!$B$2:$B$74, MATCH($A71, '1_DCS_numerator_by_BEA'!$A$2:$A$74, 0)), 0)</f>
      </c>
      <c r="E71" t="str">
        <f>C71*D71</f>
      </c>
    </row>
    <row r="72">
      <c r="A72" t="str">
        <f>'Crosswalk_BEA_to_ISIC'!A78</f>
      </c>
      <c r="B72" t="str">
        <f>'Crosswalk_BEA_to_ISIC'!C78</f>
      </c>
      <c r="C72" t="str">
        <f>'Crosswalk_BEA_to_ISIC'!E78</f>
      </c>
      <c r="D72" t="str">
        <f>IFERROR(INDEX('1_DCS_numerator_by_BEA'!$B$2:$B$74, MATCH($A72, '1_DCS_numerator_by_BEA'!$A$2:$A$74, 0)), 0)</f>
      </c>
      <c r="E72" t="str">
        <f>C72*D72</f>
      </c>
    </row>
    <row r="73">
      <c r="A73" t="str">
        <f>'Crosswalk_BEA_to_ISIC'!A79</f>
      </c>
      <c r="B73" t="str">
        <f>'Crosswalk_BEA_to_ISIC'!C79</f>
      </c>
      <c r="C73" t="str">
        <f>'Crosswalk_BEA_to_ISIC'!E79</f>
      </c>
      <c r="D73" t="str">
        <f>IFERROR(INDEX('1_DCS_numerator_by_BEA'!$B$2:$B$74, MATCH($A73, '1_DCS_numerator_by_BEA'!$A$2:$A$74, 0)), 0)</f>
      </c>
      <c r="E73" t="str">
        <f>C73*D73</f>
      </c>
    </row>
    <row r="74">
      <c r="A74" t="str">
        <f>'Crosswalk_BEA_to_ISIC'!A80</f>
      </c>
      <c r="B74" t="str">
        <f>'Crosswalk_BEA_to_ISIC'!C80</f>
      </c>
      <c r="C74" t="str">
        <f>'Crosswalk_BEA_to_ISIC'!E80</f>
      </c>
      <c r="D74" t="str">
        <f>IFERROR(INDEX('1_DCS_numerator_by_BEA'!$B$2:$B$74, MATCH($A74, '1_DCS_numerator_by_BEA'!$A$2:$A$74, 0)), 0)</f>
      </c>
      <c r="E74" t="str">
        <f>C74*D74</f>
      </c>
    </row>
    <row r="75">
      <c r="A75" t="str">
        <f>'Crosswalk_BEA_to_ISIC'!A81</f>
      </c>
      <c r="B75" t="str">
        <f>'Crosswalk_BEA_to_ISIC'!C81</f>
      </c>
      <c r="C75" t="str">
        <f>'Crosswalk_BEA_to_ISIC'!E81</f>
      </c>
      <c r="D75" t="str">
        <f>IFERROR(INDEX('1_DCS_numerator_by_BEA'!$B$2:$B$74, MATCH($A75, '1_DCS_numerator_by_BEA'!$A$2:$A$74, 0)), 0)</f>
      </c>
      <c r="E75" t="str">
        <f>C75*D75</f>
      </c>
    </row>
    <row r="76">
      <c r="A76" t="str">
        <f>'Crosswalk_BEA_to_ISIC'!A82</f>
      </c>
      <c r="B76" t="str">
        <f>'Crosswalk_BEA_to_ISIC'!C82</f>
      </c>
      <c r="C76" t="str">
        <f>'Crosswalk_BEA_to_ISIC'!E82</f>
      </c>
      <c r="D76" t="str">
        <f>IFERROR(INDEX('1_DCS_numerator_by_BEA'!$B$2:$B$74, MATCH($A76, '1_DCS_numerator_by_BEA'!$A$2:$A$74, 0)), 0)</f>
      </c>
      <c r="E76" t="str">
        <f>C76*D76</f>
      </c>
    </row>
    <row r="77">
      <c r="A77" t="str">
        <f>'Crosswalk_BEA_to_ISIC'!A83</f>
      </c>
      <c r="B77" t="str">
        <f>'Crosswalk_BEA_to_ISIC'!C83</f>
      </c>
      <c r="C77" t="str">
        <f>'Crosswalk_BEA_to_ISIC'!E83</f>
      </c>
      <c r="D77" t="str">
        <f>IFERROR(INDEX('1_DCS_numerator_by_BEA'!$B$2:$B$74, MATCH($A77, '1_DCS_numerator_by_BEA'!$A$2:$A$74, 0)), 0)</f>
      </c>
      <c r="E77" t="str">
        <f>C77*D77</f>
      </c>
    </row>
    <row r="78">
      <c r="A78" t="str">
        <f>'Crosswalk_BEA_to_ISIC'!A84</f>
      </c>
      <c r="B78" t="str">
        <f>'Crosswalk_BEA_to_ISIC'!C84</f>
      </c>
      <c r="C78" t="str">
        <f>'Crosswalk_BEA_to_ISIC'!E84</f>
      </c>
      <c r="D78" t="str">
        <f>IFERROR(INDEX('1_DCS_numerator_by_BEA'!$B$2:$B$74, MATCH($A78, '1_DCS_numerator_by_BEA'!$A$2:$A$74, 0)), 0)</f>
      </c>
      <c r="E78" t="str">
        <f>C78*D78</f>
      </c>
    </row>
    <row r="79">
      <c r="A79" t="str">
        <f>'Crosswalk_BEA_to_ISIC'!A85</f>
      </c>
      <c r="B79" t="str">
        <f>'Crosswalk_BEA_to_ISIC'!C85</f>
      </c>
      <c r="C79" t="str">
        <f>'Crosswalk_BEA_to_ISIC'!E85</f>
      </c>
      <c r="D79" t="str">
        <f>IFERROR(INDEX('1_DCS_numerator_by_BEA'!$B$2:$B$74, MATCH($A79, '1_DCS_numerator_by_BEA'!$A$2:$A$74, 0)), 0)</f>
      </c>
      <c r="E79" t="str">
        <f>C79*D79</f>
      </c>
    </row>
    <row r="80">
      <c r="A80" t="str">
        <f>'Crosswalk_BEA_to_ISIC'!A86</f>
      </c>
      <c r="B80" t="str">
        <f>'Crosswalk_BEA_to_ISIC'!C86</f>
      </c>
      <c r="C80" t="str">
        <f>'Crosswalk_BEA_to_ISIC'!E86</f>
      </c>
      <c r="D80" t="str">
        <f>IFERROR(INDEX('1_DCS_numerator_by_BEA'!$B$2:$B$74, MATCH($A80, '1_DCS_numerator_by_BEA'!$A$2:$A$74, 0)), 0)</f>
      </c>
      <c r="E80" t="str">
        <f>C80*D80</f>
      </c>
    </row>
    <row r="81">
      <c r="A81" t="str">
        <f>'Crosswalk_BEA_to_ISIC'!A87</f>
      </c>
      <c r="B81" t="str">
        <f>'Crosswalk_BEA_to_ISIC'!C87</f>
      </c>
      <c r="C81" t="str">
        <f>'Crosswalk_BEA_to_ISIC'!E87</f>
      </c>
      <c r="D81" t="str">
        <f>IFERROR(INDEX('1_DCS_numerator_by_BEA'!$B$2:$B$74, MATCH($A81, '1_DCS_numerator_by_BEA'!$A$2:$A$74, 0)), 0)</f>
      </c>
      <c r="E81" t="str">
        <f>C81*D81</f>
      </c>
    </row>
    <row r="83">
      <c r="A83" t="s">
        <v>589</v>
      </c>
    </row>
    <row r="84">
      <c r="A84" t="s">
        <v>334</v>
      </c>
      <c r="B84" t="s">
        <v>590</v>
      </c>
      <c r="C84" t="s">
        <v>591</v>
      </c>
    </row>
    <row r="85">
      <c r="A85" t="s">
        <v>340</v>
      </c>
      <c r="B85" t="str">
        <f>SUMIFS('6_Calc_DCS_num_ISIC'!$E$3:$E$81, '6_Calc_DCS_num_ISIC'!$B$3:$B$81, $A85)</f>
      </c>
      <c r="C85" t="str">
        <f>B85</f>
      </c>
    </row>
    <row r="86">
      <c r="A86" t="s">
        <v>482</v>
      </c>
      <c r="B86" t="str">
        <f>SUMIFS('6_Calc_DCS_num_ISIC'!$E$3:$E$81, '6_Calc_DCS_num_ISIC'!$B$3:$B$81, $A86)</f>
      </c>
      <c r="C86" t="str">
        <f>B86</f>
      </c>
    </row>
    <row r="87">
      <c r="A87" t="s">
        <v>344</v>
      </c>
      <c r="B87" t="str">
        <f>SUMIFS('6_Calc_DCS_num_ISIC'!$E$3:$E$81, '6_Calc_DCS_num_ISIC'!$B$3:$B$81, $A87)</f>
      </c>
      <c r="C87" t="str">
        <f>B87</f>
      </c>
    </row>
    <row r="88">
      <c r="A88" t="s">
        <v>485</v>
      </c>
      <c r="B88" t="str">
        <f>SUMIFS('6_Calc_DCS_num_ISIC'!$E$3:$E$81, '6_Calc_DCS_num_ISIC'!$B$3:$B$81, $A88)</f>
      </c>
      <c r="C88" t="str">
        <f>B88</f>
      </c>
    </row>
    <row r="89">
      <c r="A89" t="s">
        <v>347</v>
      </c>
      <c r="B89" t="str">
        <f>SUMIFS('6_Calc_DCS_num_ISIC'!$E$3:$E$81, '6_Calc_DCS_num_ISIC'!$B$3:$B$81, $A89)</f>
      </c>
      <c r="C89" t="str">
        <f>B89</f>
      </c>
    </row>
    <row r="90">
      <c r="A90" t="s">
        <v>362</v>
      </c>
      <c r="B90" t="str">
        <f>SUMIFS('6_Calc_DCS_num_ISIC'!$E$3:$E$81, '6_Calc_DCS_num_ISIC'!$B$3:$B$81, $A90)</f>
      </c>
      <c r="C90" t="str">
        <f>B90</f>
      </c>
    </row>
    <row r="91">
      <c r="A91" t="s">
        <v>365</v>
      </c>
      <c r="B91" t="str">
        <f>SUMIFS('6_Calc_DCS_num_ISIC'!$E$3:$E$81, '6_Calc_DCS_num_ISIC'!$B$3:$B$81, $A91)</f>
      </c>
      <c r="C91" t="str">
        <f>B91</f>
      </c>
    </row>
    <row r="92">
      <c r="A92" t="s">
        <v>369</v>
      </c>
      <c r="B92" t="str">
        <f>SUMIFS('6_Calc_DCS_num_ISIC'!$E$3:$E$81, '6_Calc_DCS_num_ISIC'!$B$3:$B$81, $A92)</f>
      </c>
      <c r="C92" t="str">
        <f>B92</f>
      </c>
    </row>
    <row r="93">
      <c r="A93" t="s">
        <v>372</v>
      </c>
      <c r="B93" t="str">
        <f>SUMIFS('6_Calc_DCS_num_ISIC'!$E$3:$E$81, '6_Calc_DCS_num_ISIC'!$B$3:$B$81, $A93)</f>
      </c>
      <c r="C93" t="str">
        <f>B93</f>
      </c>
    </row>
    <row r="94">
      <c r="A94" t="s">
        <v>376</v>
      </c>
      <c r="B94" t="str">
        <f>SUMIFS('6_Calc_DCS_num_ISIC'!$E$3:$E$81, '6_Calc_DCS_num_ISIC'!$B$3:$B$81, $A94)</f>
      </c>
      <c r="C94" t="str">
        <f>B94</f>
      </c>
    </row>
    <row r="95">
      <c r="A95" t="s">
        <v>498</v>
      </c>
      <c r="B95" t="str">
        <f>SUMIFS('6_Calc_DCS_num_ISIC'!$E$3:$E$81, '6_Calc_DCS_num_ISIC'!$B$3:$B$81, $A95)</f>
      </c>
      <c r="C95" t="str">
        <f>B95</f>
      </c>
    </row>
    <row r="96">
      <c r="A96" t="s">
        <v>501</v>
      </c>
      <c r="B96" t="str">
        <f>SUMIFS('6_Calc_DCS_num_ISIC'!$E$3:$E$81, '6_Calc_DCS_num_ISIC'!$B$3:$B$81, $A96)</f>
      </c>
      <c r="C96" t="str">
        <f>B96</f>
      </c>
    </row>
    <row r="97">
      <c r="A97" t="s">
        <v>126</v>
      </c>
      <c r="B97" t="str">
        <f>SUMIFS('6_Calc_DCS_num_ISIC'!$E$3:$E$81, '6_Calc_DCS_num_ISIC'!$B$3:$B$81, $A97)</f>
      </c>
      <c r="C97" t="str">
        <f>B97</f>
      </c>
    </row>
    <row r="98">
      <c r="A98" t="s">
        <v>488</v>
      </c>
      <c r="B98" t="str">
        <f>SUMIFS('6_Calc_DCS_num_ISIC'!$E$3:$E$81, '6_Calc_DCS_num_ISIC'!$B$3:$B$81, $A98)</f>
      </c>
      <c r="C98" t="str">
        <f>B98</f>
      </c>
    </row>
    <row r="99">
      <c r="A99" t="s">
        <v>491</v>
      </c>
      <c r="B99" t="str">
        <f>SUMIFS('6_Calc_DCS_num_ISIC'!$E$3:$E$81, '6_Calc_DCS_num_ISIC'!$B$3:$B$81, $A99)</f>
      </c>
      <c r="C99" t="str">
        <f>B99</f>
      </c>
    </row>
    <row r="100">
      <c r="A100" t="s">
        <v>379</v>
      </c>
      <c r="B100" t="str">
        <f>SUMIFS('6_Calc_DCS_num_ISIC'!$E$3:$E$81, '6_Calc_DCS_num_ISIC'!$B$3:$B$81, $A100)</f>
      </c>
      <c r="C100" t="str">
        <f>B100</f>
      </c>
    </row>
    <row r="101">
      <c r="A101" t="s">
        <v>495</v>
      </c>
      <c r="B101" t="str">
        <f>SUMIFS('6_Calc_DCS_num_ISIC'!$E$3:$E$81, '6_Calc_DCS_num_ISIC'!$B$3:$B$81, $A101)</f>
      </c>
      <c r="C101" t="str">
        <f>B101</f>
      </c>
    </row>
    <row r="102">
      <c r="A102" t="s">
        <v>385</v>
      </c>
      <c r="B102" t="str">
        <f>SUMIFS('6_Calc_DCS_num_ISIC'!$E$3:$E$81, '6_Calc_DCS_num_ISIC'!$B$3:$B$81, $A102)</f>
      </c>
      <c r="C102" t="str">
        <f>B102</f>
      </c>
    </row>
    <row r="103">
      <c r="A103" t="s">
        <v>390</v>
      </c>
      <c r="B103" t="str">
        <f>SUMIFS('6_Calc_DCS_num_ISIC'!$E$3:$E$81, '6_Calc_DCS_num_ISIC'!$B$3:$B$81, $A103)</f>
      </c>
      <c r="C103" t="str">
        <f>B103</f>
      </c>
    </row>
    <row r="104">
      <c r="A104" t="s">
        <v>393</v>
      </c>
      <c r="B104" t="str">
        <f>SUMIFS('6_Calc_DCS_num_ISIC'!$E$3:$E$81, '6_Calc_DCS_num_ISIC'!$B$3:$B$81, $A104)</f>
      </c>
      <c r="C104" t="str">
        <f>B104</f>
      </c>
    </row>
    <row r="105">
      <c r="A105" t="s">
        <v>387</v>
      </c>
      <c r="B105" t="str">
        <f>SUMIFS('6_Calc_DCS_num_ISIC'!$E$3:$E$81, '6_Calc_DCS_num_ISIC'!$B$3:$B$81, $A105)</f>
      </c>
      <c r="C105" t="str">
        <f>B105</f>
      </c>
    </row>
    <row r="106">
      <c r="A106" t="s">
        <v>396</v>
      </c>
      <c r="B106" t="str">
        <f>SUMIFS('6_Calc_DCS_num_ISIC'!$E$3:$E$81, '6_Calc_DCS_num_ISIC'!$B$3:$B$81, $A106)</f>
      </c>
      <c r="C106" t="str">
        <f>B106</f>
      </c>
    </row>
    <row r="107">
      <c r="A107" t="s">
        <v>399</v>
      </c>
      <c r="B107" t="str">
        <f>SUMIFS('6_Calc_DCS_num_ISIC'!$E$3:$E$81, '6_Calc_DCS_num_ISIC'!$B$3:$B$81, $A107)</f>
      </c>
      <c r="C107" t="str">
        <f>B107</f>
      </c>
    </row>
    <row r="108">
      <c r="A108" t="s">
        <v>402</v>
      </c>
      <c r="B108" t="str">
        <f>SUMIFS('6_Calc_DCS_num_ISIC'!$E$3:$E$81, '6_Calc_DCS_num_ISIC'!$B$3:$B$81, $A108)</f>
      </c>
      <c r="C108" t="str">
        <f>B108</f>
      </c>
    </row>
    <row r="109">
      <c r="A109" t="s">
        <v>350</v>
      </c>
      <c r="B109" t="str">
        <f>SUMIFS('6_Calc_DCS_num_ISIC'!$E$3:$E$81, '6_Calc_DCS_num_ISIC'!$B$3:$B$81, $A109)</f>
      </c>
      <c r="C109" t="str">
        <f>B109</f>
      </c>
    </row>
    <row r="110">
      <c r="A110" t="s">
        <v>353</v>
      </c>
      <c r="B110" t="str">
        <f>SUMIFS('6_Calc_DCS_num_ISIC'!$E$3:$E$81, '6_Calc_DCS_num_ISIC'!$B$3:$B$81, $A110)</f>
      </c>
      <c r="C110" t="str">
        <f>B110</f>
      </c>
    </row>
    <row r="111">
      <c r="A111" t="s">
        <v>356</v>
      </c>
      <c r="B111" t="str">
        <f>SUMIFS('6_Calc_DCS_num_ISIC'!$E$3:$E$81, '6_Calc_DCS_num_ISIC'!$B$3:$B$81, $A111)</f>
      </c>
      <c r="C111" t="str">
        <f>B111</f>
      </c>
    </row>
    <row r="112">
      <c r="A112" t="s">
        <v>360</v>
      </c>
      <c r="B112" t="str">
        <f>SUMIFS('6_Calc_DCS_num_ISIC'!$E$3:$E$81, '6_Calc_DCS_num_ISIC'!$B$3:$B$81, $A112)</f>
      </c>
      <c r="C112" t="str">
        <f>B112</f>
      </c>
    </row>
    <row r="113">
      <c r="A113" t="s">
        <v>406</v>
      </c>
      <c r="B113" t="str">
        <f>SUMIFS('6_Calc_DCS_num_ISIC'!$E$3:$E$81, '6_Calc_DCS_num_ISIC'!$B$3:$B$81, $A113)</f>
      </c>
      <c r="C113" t="str">
        <f>B113</f>
      </c>
    </row>
    <row r="114">
      <c r="A114" t="s">
        <v>413</v>
      </c>
      <c r="B114" t="str">
        <f>SUMIFS('6_Calc_DCS_num_ISIC'!$E$3:$E$81, '6_Calc_DCS_num_ISIC'!$B$3:$B$81, $A114)</f>
      </c>
      <c r="C114" t="str">
        <f>B114</f>
      </c>
    </row>
    <row r="115">
      <c r="A115" t="s">
        <v>470</v>
      </c>
      <c r="B115" t="str">
        <f>SUMIFS('6_Calc_DCS_num_ISIC'!$E$3:$E$81, '6_Calc_DCS_num_ISIC'!$B$3:$B$81, $A115)</f>
      </c>
      <c r="C115" t="str">
        <f>B115</f>
      </c>
    </row>
    <row r="116">
      <c r="A116" t="s">
        <v>425</v>
      </c>
      <c r="B116" t="str">
        <f>SUMIFS('6_Calc_DCS_num_ISIC'!$E$3:$E$81, '6_Calc_DCS_num_ISIC'!$B$3:$B$81, $A116)</f>
      </c>
      <c r="C116" t="str">
        <f>B116</f>
      </c>
    </row>
    <row r="117">
      <c r="A117" t="s">
        <v>177</v>
      </c>
      <c r="B117" t="str">
        <f>SUMIFS('6_Calc_DCS_num_ISIC'!$E$3:$E$81, '6_Calc_DCS_num_ISIC'!$B$3:$B$81, $A117)</f>
      </c>
      <c r="C117" t="str">
        <f>B117</f>
      </c>
    </row>
    <row r="118">
      <c r="A118" t="s">
        <v>432</v>
      </c>
      <c r="B118" t="str">
        <f>SUMIFS('6_Calc_DCS_num_ISIC'!$E$3:$E$81, '6_Calc_DCS_num_ISIC'!$B$3:$B$81, $A118)</f>
      </c>
      <c r="C118" t="str">
        <f>B118</f>
      </c>
    </row>
    <row r="119">
      <c r="A119" t="s">
        <v>435</v>
      </c>
      <c r="B119" t="str">
        <f>SUMIFS('6_Calc_DCS_num_ISIC'!$E$3:$E$81, '6_Calc_DCS_num_ISIC'!$B$3:$B$81, $A119)</f>
      </c>
      <c r="C119" t="str">
        <f>B119</f>
      </c>
    </row>
    <row r="120">
      <c r="A120" t="s">
        <v>441</v>
      </c>
      <c r="B120" t="str">
        <f>SUMIFS('6_Calc_DCS_num_ISIC'!$E$3:$E$81, '6_Calc_DCS_num_ISIC'!$B$3:$B$81, $A120)</f>
      </c>
      <c r="C120" t="str">
        <f>B120</f>
      </c>
    </row>
    <row r="121">
      <c r="A121" t="s">
        <v>445</v>
      </c>
      <c r="B121" t="str">
        <f>SUMIFS('6_Calc_DCS_num_ISIC'!$E$3:$E$81, '6_Calc_DCS_num_ISIC'!$B$3:$B$81, $A121)</f>
      </c>
      <c r="C121" t="str">
        <f>B121</f>
      </c>
    </row>
    <row r="122">
      <c r="A122" t="s">
        <v>475</v>
      </c>
      <c r="B122" t="str">
        <f>SUMIFS('6_Calc_DCS_num_ISIC'!$E$3:$E$81, '6_Calc_DCS_num_ISIC'!$B$3:$B$81, $A122)</f>
      </c>
      <c r="C122" t="str">
        <f>B122</f>
      </c>
    </row>
    <row r="123">
      <c r="A123" t="s">
        <v>457</v>
      </c>
      <c r="B123" t="str">
        <f>SUMIFS('6_Calc_DCS_num_ISIC'!$E$3:$E$81, '6_Calc_DCS_num_ISIC'!$B$3:$B$81, $A123)</f>
      </c>
      <c r="C123" t="str">
        <f>B123</f>
      </c>
    </row>
    <row r="124">
      <c r="A124" t="s">
        <v>460</v>
      </c>
      <c r="B124" t="str">
        <f>SUMIFS('6_Calc_DCS_num_ISIC'!$E$3:$E$81, '6_Calc_DCS_num_ISIC'!$B$3:$B$81, $A124)</f>
      </c>
      <c r="C124" t="str">
        <f>B124</f>
      </c>
    </row>
    <row r="125">
      <c r="A125" t="s">
        <v>466</v>
      </c>
      <c r="B125" t="str">
        <f>SUMIFS('6_Calc_DCS_num_ISIC'!$E$3:$E$81, '6_Calc_DCS_num_ISIC'!$B$3:$B$81, $A125)</f>
      </c>
      <c r="C125" t="str">
        <f>B125</f>
      </c>
    </row>
    <row r="126">
      <c r="A126" t="s">
        <v>583</v>
      </c>
      <c r="B126" t="str">
        <f>SUMIFS('6_Calc_DCS_num_ISIC'!$E$3:$E$81, '6_Calc_DCS_num_ISIC'!$B$3:$B$81, $A126)</f>
      </c>
      <c r="C126" t="str">
        <f>B126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topLeftCell="A3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16.71" hidden="0" customWidth="1"/>
    <col min="3" max="3" width="18.71" hidden="0" customWidth="1"/>
    <col min="4" max="4" width="20.71" hidden="0" customWidth="1"/>
    <col min="5" max="5" width="20.71" hidden="0" customWidth="1"/>
  </cols>
  <sheetData>
    <row r="1">
      <c r="A1" t="s">
        <v>586</v>
      </c>
    </row>
    <row r="2">
      <c r="A2" t="s">
        <v>332</v>
      </c>
      <c r="B2" t="s">
        <v>334</v>
      </c>
      <c r="C2" t="s">
        <v>336</v>
      </c>
      <c r="D2" t="s">
        <v>587</v>
      </c>
      <c r="E2" t="s">
        <v>588</v>
      </c>
    </row>
    <row r="3">
      <c r="A3" t="str">
        <f>'Crosswalk_BEA_to_ISIC'!A9</f>
      </c>
      <c r="B3" t="str">
        <f>'Crosswalk_BEA_to_ISIC'!C9</f>
      </c>
      <c r="C3" t="str">
        <f>'Crosswalk_BEA_to_ISIC'!E9</f>
      </c>
      <c r="D3" t="str">
        <f>IFERROR(INDEX('2_DCS_denominator_by_BEA'!$B$2:$B$74, MATCH($A3, '2_DCS_denominator_by_BEA'!$A$2:$A$74, 0)), 0)</f>
      </c>
      <c r="E3" t="str">
        <f>C3*D3</f>
      </c>
    </row>
    <row r="4">
      <c r="A4" t="str">
        <f>'Crosswalk_BEA_to_ISIC'!A10</f>
      </c>
      <c r="B4" t="str">
        <f>'Crosswalk_BEA_to_ISIC'!C10</f>
      </c>
      <c r="C4" t="str">
        <f>'Crosswalk_BEA_to_ISIC'!E10</f>
      </c>
      <c r="D4" t="str">
        <f>IFERROR(INDEX('2_DCS_denominator_by_BEA'!$B$2:$B$74, MATCH($A4, '2_DCS_denominator_by_BEA'!$A$2:$A$74, 0)), 0)</f>
      </c>
      <c r="E4" t="str">
        <f>C4*D4</f>
      </c>
    </row>
    <row r="5">
      <c r="A5" t="str">
        <f>'Crosswalk_BEA_to_ISIC'!A11</f>
      </c>
      <c r="B5" t="str">
        <f>'Crosswalk_BEA_to_ISIC'!C11</f>
      </c>
      <c r="C5" t="str">
        <f>'Crosswalk_BEA_to_ISIC'!E11</f>
      </c>
      <c r="D5" t="str">
        <f>IFERROR(INDEX('2_DCS_denominator_by_BEA'!$B$2:$B$74, MATCH($A5, '2_DCS_denominator_by_BEA'!$A$2:$A$74, 0)), 0)</f>
      </c>
      <c r="E5" t="str">
        <f>C5*D5</f>
      </c>
    </row>
    <row r="6">
      <c r="A6" t="str">
        <f>'Crosswalk_BEA_to_ISIC'!A12</f>
      </c>
      <c r="B6" t="str">
        <f>'Crosswalk_BEA_to_ISIC'!C12</f>
      </c>
      <c r="C6" t="str">
        <f>'Crosswalk_BEA_to_ISIC'!E12</f>
      </c>
      <c r="D6" t="str">
        <f>IFERROR(INDEX('2_DCS_denominator_by_BEA'!$B$2:$B$74, MATCH($A6, '2_DCS_denominator_by_BEA'!$A$2:$A$74, 0)), 0)</f>
      </c>
      <c r="E6" t="str">
        <f>C6*D6</f>
      </c>
    </row>
    <row r="7">
      <c r="A7" t="str">
        <f>'Crosswalk_BEA_to_ISIC'!A13</f>
      </c>
      <c r="B7" t="str">
        <f>'Crosswalk_BEA_to_ISIC'!C13</f>
      </c>
      <c r="C7" t="str">
        <f>'Crosswalk_BEA_to_ISIC'!E13</f>
      </c>
      <c r="D7" t="str">
        <f>IFERROR(INDEX('2_DCS_denominator_by_BEA'!$B$2:$B$74, MATCH($A7, '2_DCS_denominator_by_BEA'!$A$2:$A$74, 0)), 0)</f>
      </c>
      <c r="E7" t="str">
        <f>C7*D7</f>
      </c>
    </row>
    <row r="8">
      <c r="A8" t="str">
        <f>'Crosswalk_BEA_to_ISIC'!A14</f>
      </c>
      <c r="B8" t="str">
        <f>'Crosswalk_BEA_to_ISIC'!C14</f>
      </c>
      <c r="C8" t="str">
        <f>'Crosswalk_BEA_to_ISIC'!E14</f>
      </c>
      <c r="D8" t="str">
        <f>IFERROR(INDEX('2_DCS_denominator_by_BEA'!$B$2:$B$74, MATCH($A8, '2_DCS_denominator_by_BEA'!$A$2:$A$74, 0)), 0)</f>
      </c>
      <c r="E8" t="str">
        <f>C8*D8</f>
      </c>
    </row>
    <row r="9">
      <c r="A9" t="str">
        <f>'Crosswalk_BEA_to_ISIC'!A15</f>
      </c>
      <c r="B9" t="str">
        <f>'Crosswalk_BEA_to_ISIC'!C15</f>
      </c>
      <c r="C9" t="str">
        <f>'Crosswalk_BEA_to_ISIC'!E15</f>
      </c>
      <c r="D9" t="str">
        <f>IFERROR(INDEX('2_DCS_denominator_by_BEA'!$B$2:$B$74, MATCH($A9, '2_DCS_denominator_by_BEA'!$A$2:$A$74, 0)), 0)</f>
      </c>
      <c r="E9" t="str">
        <f>C9*D9</f>
      </c>
    </row>
    <row r="10">
      <c r="A10" t="str">
        <f>'Crosswalk_BEA_to_ISIC'!A16</f>
      </c>
      <c r="B10" t="str">
        <f>'Crosswalk_BEA_to_ISIC'!C16</f>
      </c>
      <c r="C10" t="str">
        <f>'Crosswalk_BEA_to_ISIC'!E16</f>
      </c>
      <c r="D10" t="str">
        <f>IFERROR(INDEX('2_DCS_denominator_by_BEA'!$B$2:$B$74, MATCH($A10, '2_DCS_denominator_by_BEA'!$A$2:$A$74, 0)), 0)</f>
      </c>
      <c r="E10" t="str">
        <f>C10*D10</f>
      </c>
    </row>
    <row r="11">
      <c r="A11" t="str">
        <f>'Crosswalk_BEA_to_ISIC'!A17</f>
      </c>
      <c r="B11" t="str">
        <f>'Crosswalk_BEA_to_ISIC'!C17</f>
      </c>
      <c r="C11" t="str">
        <f>'Crosswalk_BEA_to_ISIC'!E17</f>
      </c>
      <c r="D11" t="str">
        <f>IFERROR(INDEX('2_DCS_denominator_by_BEA'!$B$2:$B$74, MATCH($A11, '2_DCS_denominator_by_BEA'!$A$2:$A$74, 0)), 0)</f>
      </c>
      <c r="E11" t="str">
        <f>C11*D11</f>
      </c>
    </row>
    <row r="12">
      <c r="A12" t="str">
        <f>'Crosswalk_BEA_to_ISIC'!A18</f>
      </c>
      <c r="B12" t="str">
        <f>'Crosswalk_BEA_to_ISIC'!C18</f>
      </c>
      <c r="C12" t="str">
        <f>'Crosswalk_BEA_to_ISIC'!E18</f>
      </c>
      <c r="D12" t="str">
        <f>IFERROR(INDEX('2_DCS_denominator_by_BEA'!$B$2:$B$74, MATCH($A12, '2_DCS_denominator_by_BEA'!$A$2:$A$74, 0)), 0)</f>
      </c>
      <c r="E12" t="str">
        <f>C12*D12</f>
      </c>
    </row>
    <row r="13">
      <c r="A13" t="str">
        <f>'Crosswalk_BEA_to_ISIC'!A19</f>
      </c>
      <c r="B13" t="str">
        <f>'Crosswalk_BEA_to_ISIC'!C19</f>
      </c>
      <c r="C13" t="str">
        <f>'Crosswalk_BEA_to_ISIC'!E19</f>
      </c>
      <c r="D13" t="str">
        <f>IFERROR(INDEX('2_DCS_denominator_by_BEA'!$B$2:$B$74, MATCH($A13, '2_DCS_denominator_by_BEA'!$A$2:$A$74, 0)), 0)</f>
      </c>
      <c r="E13" t="str">
        <f>C13*D13</f>
      </c>
    </row>
    <row r="14">
      <c r="A14" t="str">
        <f>'Crosswalk_BEA_to_ISIC'!A20</f>
      </c>
      <c r="B14" t="str">
        <f>'Crosswalk_BEA_to_ISIC'!C20</f>
      </c>
      <c r="C14" t="str">
        <f>'Crosswalk_BEA_to_ISIC'!E20</f>
      </c>
      <c r="D14" t="str">
        <f>IFERROR(INDEX('2_DCS_denominator_by_BEA'!$B$2:$B$74, MATCH($A14, '2_DCS_denominator_by_BEA'!$A$2:$A$74, 0)), 0)</f>
      </c>
      <c r="E14" t="str">
        <f>C14*D14</f>
      </c>
    </row>
    <row r="15">
      <c r="A15" t="str">
        <f>'Crosswalk_BEA_to_ISIC'!A21</f>
      </c>
      <c r="B15" t="str">
        <f>'Crosswalk_BEA_to_ISIC'!C21</f>
      </c>
      <c r="C15" t="str">
        <f>'Crosswalk_BEA_to_ISIC'!E21</f>
      </c>
      <c r="D15" t="str">
        <f>IFERROR(INDEX('2_DCS_denominator_by_BEA'!$B$2:$B$74, MATCH($A15, '2_DCS_denominator_by_BEA'!$A$2:$A$74, 0)), 0)</f>
      </c>
      <c r="E15" t="str">
        <f>C15*D15</f>
      </c>
    </row>
    <row r="16">
      <c r="A16" t="str">
        <f>'Crosswalk_BEA_to_ISIC'!A22</f>
      </c>
      <c r="B16" t="str">
        <f>'Crosswalk_BEA_to_ISIC'!C22</f>
      </c>
      <c r="C16" t="str">
        <f>'Crosswalk_BEA_to_ISIC'!E22</f>
      </c>
      <c r="D16" t="str">
        <f>IFERROR(INDEX('2_DCS_denominator_by_BEA'!$B$2:$B$74, MATCH($A16, '2_DCS_denominator_by_BEA'!$A$2:$A$74, 0)), 0)</f>
      </c>
      <c r="E16" t="str">
        <f>C16*D16</f>
      </c>
    </row>
    <row r="17">
      <c r="A17" t="str">
        <f>'Crosswalk_BEA_to_ISIC'!A23</f>
      </c>
      <c r="B17" t="str">
        <f>'Crosswalk_BEA_to_ISIC'!C23</f>
      </c>
      <c r="C17" t="str">
        <f>'Crosswalk_BEA_to_ISIC'!E23</f>
      </c>
      <c r="D17" t="str">
        <f>IFERROR(INDEX('2_DCS_denominator_by_BEA'!$B$2:$B$74, MATCH($A17, '2_DCS_denominator_by_BEA'!$A$2:$A$74, 0)), 0)</f>
      </c>
      <c r="E17" t="str">
        <f>C17*D17</f>
      </c>
    </row>
    <row r="18">
      <c r="A18" t="str">
        <f>'Crosswalk_BEA_to_ISIC'!A24</f>
      </c>
      <c r="B18" t="str">
        <f>'Crosswalk_BEA_to_ISIC'!C24</f>
      </c>
      <c r="C18" t="str">
        <f>'Crosswalk_BEA_to_ISIC'!E24</f>
      </c>
      <c r="D18" t="str">
        <f>IFERROR(INDEX('2_DCS_denominator_by_BEA'!$B$2:$B$74, MATCH($A18, '2_DCS_denominator_by_BEA'!$A$2:$A$74, 0)), 0)</f>
      </c>
      <c r="E18" t="str">
        <f>C18*D18</f>
      </c>
    </row>
    <row r="19">
      <c r="A19" t="str">
        <f>'Crosswalk_BEA_to_ISIC'!A25</f>
      </c>
      <c r="B19" t="str">
        <f>'Crosswalk_BEA_to_ISIC'!C25</f>
      </c>
      <c r="C19" t="str">
        <f>'Crosswalk_BEA_to_ISIC'!E25</f>
      </c>
      <c r="D19" t="str">
        <f>IFERROR(INDEX('2_DCS_denominator_by_BEA'!$B$2:$B$74, MATCH($A19, '2_DCS_denominator_by_BEA'!$A$2:$A$74, 0)), 0)</f>
      </c>
      <c r="E19" t="str">
        <f>C19*D19</f>
      </c>
    </row>
    <row r="20">
      <c r="A20" t="str">
        <f>'Crosswalk_BEA_to_ISIC'!A26</f>
      </c>
      <c r="B20" t="str">
        <f>'Crosswalk_BEA_to_ISIC'!C26</f>
      </c>
      <c r="C20" t="str">
        <f>'Crosswalk_BEA_to_ISIC'!E26</f>
      </c>
      <c r="D20" t="str">
        <f>IFERROR(INDEX('2_DCS_denominator_by_BEA'!$B$2:$B$74, MATCH($A20, '2_DCS_denominator_by_BEA'!$A$2:$A$74, 0)), 0)</f>
      </c>
      <c r="E20" t="str">
        <f>C20*D20</f>
      </c>
    </row>
    <row r="21">
      <c r="A21" t="str">
        <f>'Crosswalk_BEA_to_ISIC'!A27</f>
      </c>
      <c r="B21" t="str">
        <f>'Crosswalk_BEA_to_ISIC'!C27</f>
      </c>
      <c r="C21" t="str">
        <f>'Crosswalk_BEA_to_ISIC'!E27</f>
      </c>
      <c r="D21" t="str">
        <f>IFERROR(INDEX('2_DCS_denominator_by_BEA'!$B$2:$B$74, MATCH($A21, '2_DCS_denominator_by_BEA'!$A$2:$A$74, 0)), 0)</f>
      </c>
      <c r="E21" t="str">
        <f>C21*D21</f>
      </c>
    </row>
    <row r="22">
      <c r="A22" t="str">
        <f>'Crosswalk_BEA_to_ISIC'!A28</f>
      </c>
      <c r="B22" t="str">
        <f>'Crosswalk_BEA_to_ISIC'!C28</f>
      </c>
      <c r="C22" t="str">
        <f>'Crosswalk_BEA_to_ISIC'!E28</f>
      </c>
      <c r="D22" t="str">
        <f>IFERROR(INDEX('2_DCS_denominator_by_BEA'!$B$2:$B$74, MATCH($A22, '2_DCS_denominator_by_BEA'!$A$2:$A$74, 0)), 0)</f>
      </c>
      <c r="E22" t="str">
        <f>C22*D22</f>
      </c>
    </row>
    <row r="23">
      <c r="A23" t="str">
        <f>'Crosswalk_BEA_to_ISIC'!A29</f>
      </c>
      <c r="B23" t="str">
        <f>'Crosswalk_BEA_to_ISIC'!C29</f>
      </c>
      <c r="C23" t="str">
        <f>'Crosswalk_BEA_to_ISIC'!E29</f>
      </c>
      <c r="D23" t="str">
        <f>IFERROR(INDEX('2_DCS_denominator_by_BEA'!$B$2:$B$74, MATCH($A23, '2_DCS_denominator_by_BEA'!$A$2:$A$74, 0)), 0)</f>
      </c>
      <c r="E23" t="str">
        <f>C23*D23</f>
      </c>
    </row>
    <row r="24">
      <c r="A24" t="str">
        <f>'Crosswalk_BEA_to_ISIC'!A30</f>
      </c>
      <c r="B24" t="str">
        <f>'Crosswalk_BEA_to_ISIC'!C30</f>
      </c>
      <c r="C24" t="str">
        <f>'Crosswalk_BEA_to_ISIC'!E30</f>
      </c>
      <c r="D24" t="str">
        <f>IFERROR(INDEX('2_DCS_denominator_by_BEA'!$B$2:$B$74, MATCH($A24, '2_DCS_denominator_by_BEA'!$A$2:$A$74, 0)), 0)</f>
      </c>
      <c r="E24" t="str">
        <f>C24*D24</f>
      </c>
    </row>
    <row r="25">
      <c r="A25" t="str">
        <f>'Crosswalk_BEA_to_ISIC'!A31</f>
      </c>
      <c r="B25" t="str">
        <f>'Crosswalk_BEA_to_ISIC'!C31</f>
      </c>
      <c r="C25" t="str">
        <f>'Crosswalk_BEA_to_ISIC'!E31</f>
      </c>
      <c r="D25" t="str">
        <f>IFERROR(INDEX('2_DCS_denominator_by_BEA'!$B$2:$B$74, MATCH($A25, '2_DCS_denominator_by_BEA'!$A$2:$A$74, 0)), 0)</f>
      </c>
      <c r="E25" t="str">
        <f>C25*D25</f>
      </c>
    </row>
    <row r="26">
      <c r="A26" t="str">
        <f>'Crosswalk_BEA_to_ISIC'!A32</f>
      </c>
      <c r="B26" t="str">
        <f>'Crosswalk_BEA_to_ISIC'!C32</f>
      </c>
      <c r="C26" t="str">
        <f>'Crosswalk_BEA_to_ISIC'!E32</f>
      </c>
      <c r="D26" t="str">
        <f>IFERROR(INDEX('2_DCS_denominator_by_BEA'!$B$2:$B$74, MATCH($A26, '2_DCS_denominator_by_BEA'!$A$2:$A$74, 0)), 0)</f>
      </c>
      <c r="E26" t="str">
        <f>C26*D26</f>
      </c>
    </row>
    <row r="27">
      <c r="A27" t="str">
        <f>'Crosswalk_BEA_to_ISIC'!A33</f>
      </c>
      <c r="B27" t="str">
        <f>'Crosswalk_BEA_to_ISIC'!C33</f>
      </c>
      <c r="C27" t="str">
        <f>'Crosswalk_BEA_to_ISIC'!E33</f>
      </c>
      <c r="D27" t="str">
        <f>IFERROR(INDEX('2_DCS_denominator_by_BEA'!$B$2:$B$74, MATCH($A27, '2_DCS_denominator_by_BEA'!$A$2:$A$74, 0)), 0)</f>
      </c>
      <c r="E27" t="str">
        <f>C27*D27</f>
      </c>
    </row>
    <row r="28">
      <c r="A28" t="str">
        <f>'Crosswalk_BEA_to_ISIC'!A34</f>
      </c>
      <c r="B28" t="str">
        <f>'Crosswalk_BEA_to_ISIC'!C34</f>
      </c>
      <c r="C28" t="str">
        <f>'Crosswalk_BEA_to_ISIC'!E34</f>
      </c>
      <c r="D28" t="str">
        <f>IFERROR(INDEX('2_DCS_denominator_by_BEA'!$B$2:$B$74, MATCH($A28, '2_DCS_denominator_by_BEA'!$A$2:$A$74, 0)), 0)</f>
      </c>
      <c r="E28" t="str">
        <f>C28*D28</f>
      </c>
    </row>
    <row r="29">
      <c r="A29" t="str">
        <f>'Crosswalk_BEA_to_ISIC'!A35</f>
      </c>
      <c r="B29" t="str">
        <f>'Crosswalk_BEA_to_ISIC'!C35</f>
      </c>
      <c r="C29" t="str">
        <f>'Crosswalk_BEA_to_ISIC'!E35</f>
      </c>
      <c r="D29" t="str">
        <f>IFERROR(INDEX('2_DCS_denominator_by_BEA'!$B$2:$B$74, MATCH($A29, '2_DCS_denominator_by_BEA'!$A$2:$A$74, 0)), 0)</f>
      </c>
      <c r="E29" t="str">
        <f>C29*D29</f>
      </c>
    </row>
    <row r="30">
      <c r="A30" t="str">
        <f>'Crosswalk_BEA_to_ISIC'!A36</f>
      </c>
      <c r="B30" t="str">
        <f>'Crosswalk_BEA_to_ISIC'!C36</f>
      </c>
      <c r="C30" t="str">
        <f>'Crosswalk_BEA_to_ISIC'!E36</f>
      </c>
      <c r="D30" t="str">
        <f>IFERROR(INDEX('2_DCS_denominator_by_BEA'!$B$2:$B$74, MATCH($A30, '2_DCS_denominator_by_BEA'!$A$2:$A$74, 0)), 0)</f>
      </c>
      <c r="E30" t="str">
        <f>C30*D30</f>
      </c>
    </row>
    <row r="31">
      <c r="A31" t="str">
        <f>'Crosswalk_BEA_to_ISIC'!A37</f>
      </c>
      <c r="B31" t="str">
        <f>'Crosswalk_BEA_to_ISIC'!C37</f>
      </c>
      <c r="C31" t="str">
        <f>'Crosswalk_BEA_to_ISIC'!E37</f>
      </c>
      <c r="D31" t="str">
        <f>IFERROR(INDEX('2_DCS_denominator_by_BEA'!$B$2:$B$74, MATCH($A31, '2_DCS_denominator_by_BEA'!$A$2:$A$74, 0)), 0)</f>
      </c>
      <c r="E31" t="str">
        <f>C31*D31</f>
      </c>
    </row>
    <row r="32">
      <c r="A32" t="str">
        <f>'Crosswalk_BEA_to_ISIC'!A38</f>
      </c>
      <c r="B32" t="str">
        <f>'Crosswalk_BEA_to_ISIC'!C38</f>
      </c>
      <c r="C32" t="str">
        <f>'Crosswalk_BEA_to_ISIC'!E38</f>
      </c>
      <c r="D32" t="str">
        <f>IFERROR(INDEX('2_DCS_denominator_by_BEA'!$B$2:$B$74, MATCH($A32, '2_DCS_denominator_by_BEA'!$A$2:$A$74, 0)), 0)</f>
      </c>
      <c r="E32" t="str">
        <f>C32*D32</f>
      </c>
    </row>
    <row r="33">
      <c r="A33" t="str">
        <f>'Crosswalk_BEA_to_ISIC'!A39</f>
      </c>
      <c r="B33" t="str">
        <f>'Crosswalk_BEA_to_ISIC'!C39</f>
      </c>
      <c r="C33" t="str">
        <f>'Crosswalk_BEA_to_ISIC'!E39</f>
      </c>
      <c r="D33" t="str">
        <f>IFERROR(INDEX('2_DCS_denominator_by_BEA'!$B$2:$B$74, MATCH($A33, '2_DCS_denominator_by_BEA'!$A$2:$A$74, 0)), 0)</f>
      </c>
      <c r="E33" t="str">
        <f>C33*D33</f>
      </c>
    </row>
    <row r="34">
      <c r="A34" t="str">
        <f>'Crosswalk_BEA_to_ISIC'!A40</f>
      </c>
      <c r="B34" t="str">
        <f>'Crosswalk_BEA_to_ISIC'!C40</f>
      </c>
      <c r="C34" t="str">
        <f>'Crosswalk_BEA_to_ISIC'!E40</f>
      </c>
      <c r="D34" t="str">
        <f>IFERROR(INDEX('2_DCS_denominator_by_BEA'!$B$2:$B$74, MATCH($A34, '2_DCS_denominator_by_BEA'!$A$2:$A$74, 0)), 0)</f>
      </c>
      <c r="E34" t="str">
        <f>C34*D34</f>
      </c>
    </row>
    <row r="35">
      <c r="A35" t="str">
        <f>'Crosswalk_BEA_to_ISIC'!A41</f>
      </c>
      <c r="B35" t="str">
        <f>'Crosswalk_BEA_to_ISIC'!C41</f>
      </c>
      <c r="C35" t="str">
        <f>'Crosswalk_BEA_to_ISIC'!E41</f>
      </c>
      <c r="D35" t="str">
        <f>IFERROR(INDEX('2_DCS_denominator_by_BEA'!$B$2:$B$74, MATCH($A35, '2_DCS_denominator_by_BEA'!$A$2:$A$74, 0)), 0)</f>
      </c>
      <c r="E35" t="str">
        <f>C35*D35</f>
      </c>
    </row>
    <row r="36">
      <c r="A36" t="str">
        <f>'Crosswalk_BEA_to_ISIC'!A42</f>
      </c>
      <c r="B36" t="str">
        <f>'Crosswalk_BEA_to_ISIC'!C42</f>
      </c>
      <c r="C36" t="str">
        <f>'Crosswalk_BEA_to_ISIC'!E42</f>
      </c>
      <c r="D36" t="str">
        <f>IFERROR(INDEX('2_DCS_denominator_by_BEA'!$B$2:$B$74, MATCH($A36, '2_DCS_denominator_by_BEA'!$A$2:$A$74, 0)), 0)</f>
      </c>
      <c r="E36" t="str">
        <f>C36*D36</f>
      </c>
    </row>
    <row r="37">
      <c r="A37" t="str">
        <f>'Crosswalk_BEA_to_ISIC'!A43</f>
      </c>
      <c r="B37" t="str">
        <f>'Crosswalk_BEA_to_ISIC'!C43</f>
      </c>
      <c r="C37" t="str">
        <f>'Crosswalk_BEA_to_ISIC'!E43</f>
      </c>
      <c r="D37" t="str">
        <f>IFERROR(INDEX('2_DCS_denominator_by_BEA'!$B$2:$B$74, MATCH($A37, '2_DCS_denominator_by_BEA'!$A$2:$A$74, 0)), 0)</f>
      </c>
      <c r="E37" t="str">
        <f>C37*D37</f>
      </c>
    </row>
    <row r="38">
      <c r="A38" t="str">
        <f>'Crosswalk_BEA_to_ISIC'!A44</f>
      </c>
      <c r="B38" t="str">
        <f>'Crosswalk_BEA_to_ISIC'!C44</f>
      </c>
      <c r="C38" t="str">
        <f>'Crosswalk_BEA_to_ISIC'!E44</f>
      </c>
      <c r="D38" t="str">
        <f>IFERROR(INDEX('2_DCS_denominator_by_BEA'!$B$2:$B$74, MATCH($A38, '2_DCS_denominator_by_BEA'!$A$2:$A$74, 0)), 0)</f>
      </c>
      <c r="E38" t="str">
        <f>C38*D38</f>
      </c>
    </row>
    <row r="39">
      <c r="A39" t="str">
        <f>'Crosswalk_BEA_to_ISIC'!A45</f>
      </c>
      <c r="B39" t="str">
        <f>'Crosswalk_BEA_to_ISIC'!C45</f>
      </c>
      <c r="C39" t="str">
        <f>'Crosswalk_BEA_to_ISIC'!E45</f>
      </c>
      <c r="D39" t="str">
        <f>IFERROR(INDEX('2_DCS_denominator_by_BEA'!$B$2:$B$74, MATCH($A39, '2_DCS_denominator_by_BEA'!$A$2:$A$74, 0)), 0)</f>
      </c>
      <c r="E39" t="str">
        <f>C39*D39</f>
      </c>
    </row>
    <row r="40">
      <c r="A40" t="str">
        <f>'Crosswalk_BEA_to_ISIC'!A46</f>
      </c>
      <c r="B40" t="str">
        <f>'Crosswalk_BEA_to_ISIC'!C46</f>
      </c>
      <c r="C40" t="str">
        <f>'Crosswalk_BEA_to_ISIC'!E46</f>
      </c>
      <c r="D40" t="str">
        <f>IFERROR(INDEX('2_DCS_denominator_by_BEA'!$B$2:$B$74, MATCH($A40, '2_DCS_denominator_by_BEA'!$A$2:$A$74, 0)), 0)</f>
      </c>
      <c r="E40" t="str">
        <f>C40*D40</f>
      </c>
    </row>
    <row r="41">
      <c r="A41" t="str">
        <f>'Crosswalk_BEA_to_ISIC'!A47</f>
      </c>
      <c r="B41" t="str">
        <f>'Crosswalk_BEA_to_ISIC'!C47</f>
      </c>
      <c r="C41" t="str">
        <f>'Crosswalk_BEA_to_ISIC'!E47</f>
      </c>
      <c r="D41" t="str">
        <f>IFERROR(INDEX('2_DCS_denominator_by_BEA'!$B$2:$B$74, MATCH($A41, '2_DCS_denominator_by_BEA'!$A$2:$A$74, 0)), 0)</f>
      </c>
      <c r="E41" t="str">
        <f>C41*D41</f>
      </c>
    </row>
    <row r="42">
      <c r="A42" t="str">
        <f>'Crosswalk_BEA_to_ISIC'!A48</f>
      </c>
      <c r="B42" t="str">
        <f>'Crosswalk_BEA_to_ISIC'!C48</f>
      </c>
      <c r="C42" t="str">
        <f>'Crosswalk_BEA_to_ISIC'!E48</f>
      </c>
      <c r="D42" t="str">
        <f>IFERROR(INDEX('2_DCS_denominator_by_BEA'!$B$2:$B$74, MATCH($A42, '2_DCS_denominator_by_BEA'!$A$2:$A$74, 0)), 0)</f>
      </c>
      <c r="E42" t="str">
        <f>C42*D42</f>
      </c>
    </row>
    <row r="43">
      <c r="A43" t="str">
        <f>'Crosswalk_BEA_to_ISIC'!A49</f>
      </c>
      <c r="B43" t="str">
        <f>'Crosswalk_BEA_to_ISIC'!C49</f>
      </c>
      <c r="C43" t="str">
        <f>'Crosswalk_BEA_to_ISIC'!E49</f>
      </c>
      <c r="D43" t="str">
        <f>IFERROR(INDEX('2_DCS_denominator_by_BEA'!$B$2:$B$74, MATCH($A43, '2_DCS_denominator_by_BEA'!$A$2:$A$74, 0)), 0)</f>
      </c>
      <c r="E43" t="str">
        <f>C43*D43</f>
      </c>
    </row>
    <row r="44">
      <c r="A44" t="str">
        <f>'Crosswalk_BEA_to_ISIC'!A50</f>
      </c>
      <c r="B44" t="str">
        <f>'Crosswalk_BEA_to_ISIC'!C50</f>
      </c>
      <c r="C44" t="str">
        <f>'Crosswalk_BEA_to_ISIC'!E50</f>
      </c>
      <c r="D44" t="str">
        <f>IFERROR(INDEX('2_DCS_denominator_by_BEA'!$B$2:$B$74, MATCH($A44, '2_DCS_denominator_by_BEA'!$A$2:$A$74, 0)), 0)</f>
      </c>
      <c r="E44" t="str">
        <f>C44*D44</f>
      </c>
    </row>
    <row r="45">
      <c r="A45" t="str">
        <f>'Crosswalk_BEA_to_ISIC'!A51</f>
      </c>
      <c r="B45" t="str">
        <f>'Crosswalk_BEA_to_ISIC'!C51</f>
      </c>
      <c r="C45" t="str">
        <f>'Crosswalk_BEA_to_ISIC'!E51</f>
      </c>
      <c r="D45" t="str">
        <f>IFERROR(INDEX('2_DCS_denominator_by_BEA'!$B$2:$B$74, MATCH($A45, '2_DCS_denominator_by_BEA'!$A$2:$A$74, 0)), 0)</f>
      </c>
      <c r="E45" t="str">
        <f>C45*D45</f>
      </c>
    </row>
    <row r="46">
      <c r="A46" t="str">
        <f>'Crosswalk_BEA_to_ISIC'!A52</f>
      </c>
      <c r="B46" t="str">
        <f>'Crosswalk_BEA_to_ISIC'!C52</f>
      </c>
      <c r="C46" t="str">
        <f>'Crosswalk_BEA_to_ISIC'!E52</f>
      </c>
      <c r="D46" t="str">
        <f>IFERROR(INDEX('2_DCS_denominator_by_BEA'!$B$2:$B$74, MATCH($A46, '2_DCS_denominator_by_BEA'!$A$2:$A$74, 0)), 0)</f>
      </c>
      <c r="E46" t="str">
        <f>C46*D46</f>
      </c>
    </row>
    <row r="47">
      <c r="A47" t="str">
        <f>'Crosswalk_BEA_to_ISIC'!A53</f>
      </c>
      <c r="B47" t="str">
        <f>'Crosswalk_BEA_to_ISIC'!C53</f>
      </c>
      <c r="C47" t="str">
        <f>'Crosswalk_BEA_to_ISIC'!E53</f>
      </c>
      <c r="D47" t="str">
        <f>IFERROR(INDEX('2_DCS_denominator_by_BEA'!$B$2:$B$74, MATCH($A47, '2_DCS_denominator_by_BEA'!$A$2:$A$74, 0)), 0)</f>
      </c>
      <c r="E47" t="str">
        <f>C47*D47</f>
      </c>
    </row>
    <row r="48">
      <c r="A48" t="str">
        <f>'Crosswalk_BEA_to_ISIC'!A54</f>
      </c>
      <c r="B48" t="str">
        <f>'Crosswalk_BEA_to_ISIC'!C54</f>
      </c>
      <c r="C48" t="str">
        <f>'Crosswalk_BEA_to_ISIC'!E54</f>
      </c>
      <c r="D48" t="str">
        <f>IFERROR(INDEX('2_DCS_denominator_by_BEA'!$B$2:$B$74, MATCH($A48, '2_DCS_denominator_by_BEA'!$A$2:$A$74, 0)), 0)</f>
      </c>
      <c r="E48" t="str">
        <f>C48*D48</f>
      </c>
    </row>
    <row r="49">
      <c r="A49" t="str">
        <f>'Crosswalk_BEA_to_ISIC'!A55</f>
      </c>
      <c r="B49" t="str">
        <f>'Crosswalk_BEA_to_ISIC'!C55</f>
      </c>
      <c r="C49" t="str">
        <f>'Crosswalk_BEA_to_ISIC'!E55</f>
      </c>
      <c r="D49" t="str">
        <f>IFERROR(INDEX('2_DCS_denominator_by_BEA'!$B$2:$B$74, MATCH($A49, '2_DCS_denominator_by_BEA'!$A$2:$A$74, 0)), 0)</f>
      </c>
      <c r="E49" t="str">
        <f>C49*D49</f>
      </c>
    </row>
    <row r="50">
      <c r="A50" t="str">
        <f>'Crosswalk_BEA_to_ISIC'!A56</f>
      </c>
      <c r="B50" t="str">
        <f>'Crosswalk_BEA_to_ISIC'!C56</f>
      </c>
      <c r="C50" t="str">
        <f>'Crosswalk_BEA_to_ISIC'!E56</f>
      </c>
      <c r="D50" t="str">
        <f>IFERROR(INDEX('2_DCS_denominator_by_BEA'!$B$2:$B$74, MATCH($A50, '2_DCS_denominator_by_BEA'!$A$2:$A$74, 0)), 0)</f>
      </c>
      <c r="E50" t="str">
        <f>C50*D50</f>
      </c>
    </row>
    <row r="51">
      <c r="A51" t="str">
        <f>'Crosswalk_BEA_to_ISIC'!A57</f>
      </c>
      <c r="B51" t="str">
        <f>'Crosswalk_BEA_to_ISIC'!C57</f>
      </c>
      <c r="C51" t="str">
        <f>'Crosswalk_BEA_to_ISIC'!E57</f>
      </c>
      <c r="D51" t="str">
        <f>IFERROR(INDEX('2_DCS_denominator_by_BEA'!$B$2:$B$74, MATCH($A51, '2_DCS_denominator_by_BEA'!$A$2:$A$74, 0)), 0)</f>
      </c>
      <c r="E51" t="str">
        <f>C51*D51</f>
      </c>
    </row>
    <row r="52">
      <c r="A52" t="str">
        <f>'Crosswalk_BEA_to_ISIC'!A58</f>
      </c>
      <c r="B52" t="str">
        <f>'Crosswalk_BEA_to_ISIC'!C58</f>
      </c>
      <c r="C52" t="str">
        <f>'Crosswalk_BEA_to_ISIC'!E58</f>
      </c>
      <c r="D52" t="str">
        <f>IFERROR(INDEX('2_DCS_denominator_by_BEA'!$B$2:$B$74, MATCH($A52, '2_DCS_denominator_by_BEA'!$A$2:$A$74, 0)), 0)</f>
      </c>
      <c r="E52" t="str">
        <f>C52*D52</f>
      </c>
    </row>
    <row r="53">
      <c r="A53" t="str">
        <f>'Crosswalk_BEA_to_ISIC'!A59</f>
      </c>
      <c r="B53" t="str">
        <f>'Crosswalk_BEA_to_ISIC'!C59</f>
      </c>
      <c r="C53" t="str">
        <f>'Crosswalk_BEA_to_ISIC'!E59</f>
      </c>
      <c r="D53" t="str">
        <f>IFERROR(INDEX('2_DCS_denominator_by_BEA'!$B$2:$B$74, MATCH($A53, '2_DCS_denominator_by_BEA'!$A$2:$A$74, 0)), 0)</f>
      </c>
      <c r="E53" t="str">
        <f>C53*D53</f>
      </c>
    </row>
    <row r="54">
      <c r="A54" t="str">
        <f>'Crosswalk_BEA_to_ISIC'!A60</f>
      </c>
      <c r="B54" t="str">
        <f>'Crosswalk_BEA_to_ISIC'!C60</f>
      </c>
      <c r="C54" t="str">
        <f>'Crosswalk_BEA_to_ISIC'!E60</f>
      </c>
      <c r="D54" t="str">
        <f>IFERROR(INDEX('2_DCS_denominator_by_BEA'!$B$2:$B$74, MATCH($A54, '2_DCS_denominator_by_BEA'!$A$2:$A$74, 0)), 0)</f>
      </c>
      <c r="E54" t="str">
        <f>C54*D54</f>
      </c>
    </row>
    <row r="55">
      <c r="A55" t="str">
        <f>'Crosswalk_BEA_to_ISIC'!A61</f>
      </c>
      <c r="B55" t="str">
        <f>'Crosswalk_BEA_to_ISIC'!C61</f>
      </c>
      <c r="C55" t="str">
        <f>'Crosswalk_BEA_to_ISIC'!E61</f>
      </c>
      <c r="D55" t="str">
        <f>IFERROR(INDEX('2_DCS_denominator_by_BEA'!$B$2:$B$74, MATCH($A55, '2_DCS_denominator_by_BEA'!$A$2:$A$74, 0)), 0)</f>
      </c>
      <c r="E55" t="str">
        <f>C55*D55</f>
      </c>
    </row>
    <row r="56">
      <c r="A56" t="str">
        <f>'Crosswalk_BEA_to_ISIC'!A62</f>
      </c>
      <c r="B56" t="str">
        <f>'Crosswalk_BEA_to_ISIC'!C62</f>
      </c>
      <c r="C56" t="str">
        <f>'Crosswalk_BEA_to_ISIC'!E62</f>
      </c>
      <c r="D56" t="str">
        <f>IFERROR(INDEX('2_DCS_denominator_by_BEA'!$B$2:$B$74, MATCH($A56, '2_DCS_denominator_by_BEA'!$A$2:$A$74, 0)), 0)</f>
      </c>
      <c r="E56" t="str">
        <f>C56*D56</f>
      </c>
    </row>
    <row r="57">
      <c r="A57" t="str">
        <f>'Crosswalk_BEA_to_ISIC'!A63</f>
      </c>
      <c r="B57" t="str">
        <f>'Crosswalk_BEA_to_ISIC'!C63</f>
      </c>
      <c r="C57" t="str">
        <f>'Crosswalk_BEA_to_ISIC'!E63</f>
      </c>
      <c r="D57" t="str">
        <f>IFERROR(INDEX('2_DCS_denominator_by_BEA'!$B$2:$B$74, MATCH($A57, '2_DCS_denominator_by_BEA'!$A$2:$A$74, 0)), 0)</f>
      </c>
      <c r="E57" t="str">
        <f>C57*D57</f>
      </c>
    </row>
    <row r="58">
      <c r="A58" t="str">
        <f>'Crosswalk_BEA_to_ISIC'!A64</f>
      </c>
      <c r="B58" t="str">
        <f>'Crosswalk_BEA_to_ISIC'!C64</f>
      </c>
      <c r="C58" t="str">
        <f>'Crosswalk_BEA_to_ISIC'!E64</f>
      </c>
      <c r="D58" t="str">
        <f>IFERROR(INDEX('2_DCS_denominator_by_BEA'!$B$2:$B$74, MATCH($A58, '2_DCS_denominator_by_BEA'!$A$2:$A$74, 0)), 0)</f>
      </c>
      <c r="E58" t="str">
        <f>C58*D58</f>
      </c>
    </row>
    <row r="59">
      <c r="A59" t="str">
        <f>'Crosswalk_BEA_to_ISIC'!A65</f>
      </c>
      <c r="B59" t="str">
        <f>'Crosswalk_BEA_to_ISIC'!C65</f>
      </c>
      <c r="C59" t="str">
        <f>'Crosswalk_BEA_to_ISIC'!E65</f>
      </c>
      <c r="D59" t="str">
        <f>IFERROR(INDEX('2_DCS_denominator_by_BEA'!$B$2:$B$74, MATCH($A59, '2_DCS_denominator_by_BEA'!$A$2:$A$74, 0)), 0)</f>
      </c>
      <c r="E59" t="str">
        <f>C59*D59</f>
      </c>
    </row>
    <row r="60">
      <c r="A60" t="str">
        <f>'Crosswalk_BEA_to_ISIC'!A66</f>
      </c>
      <c r="B60" t="str">
        <f>'Crosswalk_BEA_to_ISIC'!C66</f>
      </c>
      <c r="C60" t="str">
        <f>'Crosswalk_BEA_to_ISIC'!E66</f>
      </c>
      <c r="D60" t="str">
        <f>IFERROR(INDEX('2_DCS_denominator_by_BEA'!$B$2:$B$74, MATCH($A60, '2_DCS_denominator_by_BEA'!$A$2:$A$74, 0)), 0)</f>
      </c>
      <c r="E60" t="str">
        <f>C60*D60</f>
      </c>
    </row>
    <row r="61">
      <c r="A61" t="str">
        <f>'Crosswalk_BEA_to_ISIC'!A67</f>
      </c>
      <c r="B61" t="str">
        <f>'Crosswalk_BEA_to_ISIC'!C67</f>
      </c>
      <c r="C61" t="str">
        <f>'Crosswalk_BEA_to_ISIC'!E67</f>
      </c>
      <c r="D61" t="str">
        <f>IFERROR(INDEX('2_DCS_denominator_by_BEA'!$B$2:$B$74, MATCH($A61, '2_DCS_denominator_by_BEA'!$A$2:$A$74, 0)), 0)</f>
      </c>
      <c r="E61" t="str">
        <f>C61*D61</f>
      </c>
    </row>
    <row r="62">
      <c r="A62" t="str">
        <f>'Crosswalk_BEA_to_ISIC'!A68</f>
      </c>
      <c r="B62" t="str">
        <f>'Crosswalk_BEA_to_ISIC'!C68</f>
      </c>
      <c r="C62" t="str">
        <f>'Crosswalk_BEA_to_ISIC'!E68</f>
      </c>
      <c r="D62" t="str">
        <f>IFERROR(INDEX('2_DCS_denominator_by_BEA'!$B$2:$B$74, MATCH($A62, '2_DCS_denominator_by_BEA'!$A$2:$A$74, 0)), 0)</f>
      </c>
      <c r="E62" t="str">
        <f>C62*D62</f>
      </c>
    </row>
    <row r="63">
      <c r="A63" t="str">
        <f>'Crosswalk_BEA_to_ISIC'!A69</f>
      </c>
      <c r="B63" t="str">
        <f>'Crosswalk_BEA_to_ISIC'!C69</f>
      </c>
      <c r="C63" t="str">
        <f>'Crosswalk_BEA_to_ISIC'!E69</f>
      </c>
      <c r="D63" t="str">
        <f>IFERROR(INDEX('2_DCS_denominator_by_BEA'!$B$2:$B$74, MATCH($A63, '2_DCS_denominator_by_BEA'!$A$2:$A$74, 0)), 0)</f>
      </c>
      <c r="E63" t="str">
        <f>C63*D63</f>
      </c>
    </row>
    <row r="64">
      <c r="A64" t="str">
        <f>'Crosswalk_BEA_to_ISIC'!A70</f>
      </c>
      <c r="B64" t="str">
        <f>'Crosswalk_BEA_to_ISIC'!C70</f>
      </c>
      <c r="C64" t="str">
        <f>'Crosswalk_BEA_to_ISIC'!E70</f>
      </c>
      <c r="D64" t="str">
        <f>IFERROR(INDEX('2_DCS_denominator_by_BEA'!$B$2:$B$74, MATCH($A64, '2_DCS_denominator_by_BEA'!$A$2:$A$74, 0)), 0)</f>
      </c>
      <c r="E64" t="str">
        <f>C64*D64</f>
      </c>
    </row>
    <row r="65">
      <c r="A65" t="str">
        <f>'Crosswalk_BEA_to_ISIC'!A71</f>
      </c>
      <c r="B65" t="str">
        <f>'Crosswalk_BEA_to_ISIC'!C71</f>
      </c>
      <c r="C65" t="str">
        <f>'Crosswalk_BEA_to_ISIC'!E71</f>
      </c>
      <c r="D65" t="str">
        <f>IFERROR(INDEX('2_DCS_denominator_by_BEA'!$B$2:$B$74, MATCH($A65, '2_DCS_denominator_by_BEA'!$A$2:$A$74, 0)), 0)</f>
      </c>
      <c r="E65" t="str">
        <f>C65*D65</f>
      </c>
    </row>
    <row r="66">
      <c r="A66" t="str">
        <f>'Crosswalk_BEA_to_ISIC'!A72</f>
      </c>
      <c r="B66" t="str">
        <f>'Crosswalk_BEA_to_ISIC'!C72</f>
      </c>
      <c r="C66" t="str">
        <f>'Crosswalk_BEA_to_ISIC'!E72</f>
      </c>
      <c r="D66" t="str">
        <f>IFERROR(INDEX('2_DCS_denominator_by_BEA'!$B$2:$B$74, MATCH($A66, '2_DCS_denominator_by_BEA'!$A$2:$A$74, 0)), 0)</f>
      </c>
      <c r="E66" t="str">
        <f>C66*D66</f>
      </c>
    </row>
    <row r="67">
      <c r="A67" t="str">
        <f>'Crosswalk_BEA_to_ISIC'!A73</f>
      </c>
      <c r="B67" t="str">
        <f>'Crosswalk_BEA_to_ISIC'!C73</f>
      </c>
      <c r="C67" t="str">
        <f>'Crosswalk_BEA_to_ISIC'!E73</f>
      </c>
      <c r="D67" t="str">
        <f>IFERROR(INDEX('2_DCS_denominator_by_BEA'!$B$2:$B$74, MATCH($A67, '2_DCS_denominator_by_BEA'!$A$2:$A$74, 0)), 0)</f>
      </c>
      <c r="E67" t="str">
        <f>C67*D67</f>
      </c>
    </row>
    <row r="68">
      <c r="A68" t="str">
        <f>'Crosswalk_BEA_to_ISIC'!A74</f>
      </c>
      <c r="B68" t="str">
        <f>'Crosswalk_BEA_to_ISIC'!C74</f>
      </c>
      <c r="C68" t="str">
        <f>'Crosswalk_BEA_to_ISIC'!E74</f>
      </c>
      <c r="D68" t="str">
        <f>IFERROR(INDEX('2_DCS_denominator_by_BEA'!$B$2:$B$74, MATCH($A68, '2_DCS_denominator_by_BEA'!$A$2:$A$74, 0)), 0)</f>
      </c>
      <c r="E68" t="str">
        <f>C68*D68</f>
      </c>
    </row>
    <row r="69">
      <c r="A69" t="str">
        <f>'Crosswalk_BEA_to_ISIC'!A75</f>
      </c>
      <c r="B69" t="str">
        <f>'Crosswalk_BEA_to_ISIC'!C75</f>
      </c>
      <c r="C69" t="str">
        <f>'Crosswalk_BEA_to_ISIC'!E75</f>
      </c>
      <c r="D69" t="str">
        <f>IFERROR(INDEX('2_DCS_denominator_by_BEA'!$B$2:$B$74, MATCH($A69, '2_DCS_denominator_by_BEA'!$A$2:$A$74, 0)), 0)</f>
      </c>
      <c r="E69" t="str">
        <f>C69*D69</f>
      </c>
    </row>
    <row r="70">
      <c r="A70" t="str">
        <f>'Crosswalk_BEA_to_ISIC'!A76</f>
      </c>
      <c r="B70" t="str">
        <f>'Crosswalk_BEA_to_ISIC'!C76</f>
      </c>
      <c r="C70" t="str">
        <f>'Crosswalk_BEA_to_ISIC'!E76</f>
      </c>
      <c r="D70" t="str">
        <f>IFERROR(INDEX('2_DCS_denominator_by_BEA'!$B$2:$B$74, MATCH($A70, '2_DCS_denominator_by_BEA'!$A$2:$A$74, 0)), 0)</f>
      </c>
      <c r="E70" t="str">
        <f>C70*D70</f>
      </c>
    </row>
    <row r="71">
      <c r="A71" t="str">
        <f>'Crosswalk_BEA_to_ISIC'!A77</f>
      </c>
      <c r="B71" t="str">
        <f>'Crosswalk_BEA_to_ISIC'!C77</f>
      </c>
      <c r="C71" t="str">
        <f>'Crosswalk_BEA_to_ISIC'!E77</f>
      </c>
      <c r="D71" t="str">
        <f>IFERROR(INDEX('2_DCS_denominator_by_BEA'!$B$2:$B$74, MATCH($A71, '2_DCS_denominator_by_BEA'!$A$2:$A$74, 0)), 0)</f>
      </c>
      <c r="E71" t="str">
        <f>C71*D71</f>
      </c>
    </row>
    <row r="72">
      <c r="A72" t="str">
        <f>'Crosswalk_BEA_to_ISIC'!A78</f>
      </c>
      <c r="B72" t="str">
        <f>'Crosswalk_BEA_to_ISIC'!C78</f>
      </c>
      <c r="C72" t="str">
        <f>'Crosswalk_BEA_to_ISIC'!E78</f>
      </c>
      <c r="D72" t="str">
        <f>IFERROR(INDEX('2_DCS_denominator_by_BEA'!$B$2:$B$74, MATCH($A72, '2_DCS_denominator_by_BEA'!$A$2:$A$74, 0)), 0)</f>
      </c>
      <c r="E72" t="str">
        <f>C72*D72</f>
      </c>
    </row>
    <row r="73">
      <c r="A73" t="str">
        <f>'Crosswalk_BEA_to_ISIC'!A79</f>
      </c>
      <c r="B73" t="str">
        <f>'Crosswalk_BEA_to_ISIC'!C79</f>
      </c>
      <c r="C73" t="str">
        <f>'Crosswalk_BEA_to_ISIC'!E79</f>
      </c>
      <c r="D73" t="str">
        <f>IFERROR(INDEX('2_DCS_denominator_by_BEA'!$B$2:$B$74, MATCH($A73, '2_DCS_denominator_by_BEA'!$A$2:$A$74, 0)), 0)</f>
      </c>
      <c r="E73" t="str">
        <f>C73*D73</f>
      </c>
    </row>
    <row r="74">
      <c r="A74" t="str">
        <f>'Crosswalk_BEA_to_ISIC'!A80</f>
      </c>
      <c r="B74" t="str">
        <f>'Crosswalk_BEA_to_ISIC'!C80</f>
      </c>
      <c r="C74" t="str">
        <f>'Crosswalk_BEA_to_ISIC'!E80</f>
      </c>
      <c r="D74" t="str">
        <f>IFERROR(INDEX('2_DCS_denominator_by_BEA'!$B$2:$B$74, MATCH($A74, '2_DCS_denominator_by_BEA'!$A$2:$A$74, 0)), 0)</f>
      </c>
      <c r="E74" t="str">
        <f>C74*D74</f>
      </c>
    </row>
    <row r="75">
      <c r="A75" t="str">
        <f>'Crosswalk_BEA_to_ISIC'!A81</f>
      </c>
      <c r="B75" t="str">
        <f>'Crosswalk_BEA_to_ISIC'!C81</f>
      </c>
      <c r="C75" t="str">
        <f>'Crosswalk_BEA_to_ISIC'!E81</f>
      </c>
      <c r="D75" t="str">
        <f>IFERROR(INDEX('2_DCS_denominator_by_BEA'!$B$2:$B$74, MATCH($A75, '2_DCS_denominator_by_BEA'!$A$2:$A$74, 0)), 0)</f>
      </c>
      <c r="E75" t="str">
        <f>C75*D75</f>
      </c>
    </row>
    <row r="76">
      <c r="A76" t="str">
        <f>'Crosswalk_BEA_to_ISIC'!A82</f>
      </c>
      <c r="B76" t="str">
        <f>'Crosswalk_BEA_to_ISIC'!C82</f>
      </c>
      <c r="C76" t="str">
        <f>'Crosswalk_BEA_to_ISIC'!E82</f>
      </c>
      <c r="D76" t="str">
        <f>IFERROR(INDEX('2_DCS_denominator_by_BEA'!$B$2:$B$74, MATCH($A76, '2_DCS_denominator_by_BEA'!$A$2:$A$74, 0)), 0)</f>
      </c>
      <c r="E76" t="str">
        <f>C76*D76</f>
      </c>
    </row>
    <row r="77">
      <c r="A77" t="str">
        <f>'Crosswalk_BEA_to_ISIC'!A83</f>
      </c>
      <c r="B77" t="str">
        <f>'Crosswalk_BEA_to_ISIC'!C83</f>
      </c>
      <c r="C77" t="str">
        <f>'Crosswalk_BEA_to_ISIC'!E83</f>
      </c>
      <c r="D77" t="str">
        <f>IFERROR(INDEX('2_DCS_denominator_by_BEA'!$B$2:$B$74, MATCH($A77, '2_DCS_denominator_by_BEA'!$A$2:$A$74, 0)), 0)</f>
      </c>
      <c r="E77" t="str">
        <f>C77*D77</f>
      </c>
    </row>
    <row r="78">
      <c r="A78" t="str">
        <f>'Crosswalk_BEA_to_ISIC'!A84</f>
      </c>
      <c r="B78" t="str">
        <f>'Crosswalk_BEA_to_ISIC'!C84</f>
      </c>
      <c r="C78" t="str">
        <f>'Crosswalk_BEA_to_ISIC'!E84</f>
      </c>
      <c r="D78" t="str">
        <f>IFERROR(INDEX('2_DCS_denominator_by_BEA'!$B$2:$B$74, MATCH($A78, '2_DCS_denominator_by_BEA'!$A$2:$A$74, 0)), 0)</f>
      </c>
      <c r="E78" t="str">
        <f>C78*D78</f>
      </c>
    </row>
    <row r="79">
      <c r="A79" t="str">
        <f>'Crosswalk_BEA_to_ISIC'!A85</f>
      </c>
      <c r="B79" t="str">
        <f>'Crosswalk_BEA_to_ISIC'!C85</f>
      </c>
      <c r="C79" t="str">
        <f>'Crosswalk_BEA_to_ISIC'!E85</f>
      </c>
      <c r="D79" t="str">
        <f>IFERROR(INDEX('2_DCS_denominator_by_BEA'!$B$2:$B$74, MATCH($A79, '2_DCS_denominator_by_BEA'!$A$2:$A$74, 0)), 0)</f>
      </c>
      <c r="E79" t="str">
        <f>C79*D79</f>
      </c>
    </row>
    <row r="80">
      <c r="A80" t="str">
        <f>'Crosswalk_BEA_to_ISIC'!A86</f>
      </c>
      <c r="B80" t="str">
        <f>'Crosswalk_BEA_to_ISIC'!C86</f>
      </c>
      <c r="C80" t="str">
        <f>'Crosswalk_BEA_to_ISIC'!E86</f>
      </c>
      <c r="D80" t="str">
        <f>IFERROR(INDEX('2_DCS_denominator_by_BEA'!$B$2:$B$74, MATCH($A80, '2_DCS_denominator_by_BEA'!$A$2:$A$74, 0)), 0)</f>
      </c>
      <c r="E80" t="str">
        <f>C80*D80</f>
      </c>
    </row>
    <row r="81">
      <c r="A81" t="str">
        <f>'Crosswalk_BEA_to_ISIC'!A87</f>
      </c>
      <c r="B81" t="str">
        <f>'Crosswalk_BEA_to_ISIC'!C87</f>
      </c>
      <c r="C81" t="str">
        <f>'Crosswalk_BEA_to_ISIC'!E87</f>
      </c>
      <c r="D81" t="str">
        <f>IFERROR(INDEX('2_DCS_denominator_by_BEA'!$B$2:$B$74, MATCH($A81, '2_DCS_denominator_by_BEA'!$A$2:$A$74, 0)), 0)</f>
      </c>
      <c r="E81" t="str">
        <f>C81*D81</f>
      </c>
    </row>
    <row r="83">
      <c r="A83" t="s">
        <v>589</v>
      </c>
    </row>
    <row r="84">
      <c r="A84" t="s">
        <v>334</v>
      </c>
      <c r="B84" t="s">
        <v>590</v>
      </c>
      <c r="C84" t="s">
        <v>591</v>
      </c>
    </row>
    <row r="85">
      <c r="A85" t="s">
        <v>340</v>
      </c>
      <c r="B85" t="str">
        <f>SUMIFS('7_Calc_DCS_den_ISIC'!$E$3:$E$81, '7_Calc_DCS_den_ISIC'!$B$3:$B$81, $A85)</f>
      </c>
      <c r="C85" t="str">
        <f>B85</f>
      </c>
    </row>
    <row r="86">
      <c r="A86" t="s">
        <v>482</v>
      </c>
      <c r="B86" t="str">
        <f>SUMIFS('7_Calc_DCS_den_ISIC'!$E$3:$E$81, '7_Calc_DCS_den_ISIC'!$B$3:$B$81, $A86)</f>
      </c>
      <c r="C86" t="str">
        <f>B86</f>
      </c>
    </row>
    <row r="87">
      <c r="A87" t="s">
        <v>344</v>
      </c>
      <c r="B87" t="str">
        <f>SUMIFS('7_Calc_DCS_den_ISIC'!$E$3:$E$81, '7_Calc_DCS_den_ISIC'!$B$3:$B$81, $A87)</f>
      </c>
      <c r="C87" t="str">
        <f>B87</f>
      </c>
    </row>
    <row r="88">
      <c r="A88" t="s">
        <v>485</v>
      </c>
      <c r="B88" t="str">
        <f>SUMIFS('7_Calc_DCS_den_ISIC'!$E$3:$E$81, '7_Calc_DCS_den_ISIC'!$B$3:$B$81, $A88)</f>
      </c>
      <c r="C88" t="str">
        <f>B88</f>
      </c>
    </row>
    <row r="89">
      <c r="A89" t="s">
        <v>347</v>
      </c>
      <c r="B89" t="str">
        <f>SUMIFS('7_Calc_DCS_den_ISIC'!$E$3:$E$81, '7_Calc_DCS_den_ISIC'!$B$3:$B$81, $A89)</f>
      </c>
      <c r="C89" t="str">
        <f>B89</f>
      </c>
    </row>
    <row r="90">
      <c r="A90" t="s">
        <v>362</v>
      </c>
      <c r="B90" t="str">
        <f>SUMIFS('7_Calc_DCS_den_ISIC'!$E$3:$E$81, '7_Calc_DCS_den_ISIC'!$B$3:$B$81, $A90)</f>
      </c>
      <c r="C90" t="str">
        <f>B90</f>
      </c>
    </row>
    <row r="91">
      <c r="A91" t="s">
        <v>365</v>
      </c>
      <c r="B91" t="str">
        <f>SUMIFS('7_Calc_DCS_den_ISIC'!$E$3:$E$81, '7_Calc_DCS_den_ISIC'!$B$3:$B$81, $A91)</f>
      </c>
      <c r="C91" t="str">
        <f>B91</f>
      </c>
    </row>
    <row r="92">
      <c r="A92" t="s">
        <v>369</v>
      </c>
      <c r="B92" t="str">
        <f>SUMIFS('7_Calc_DCS_den_ISIC'!$E$3:$E$81, '7_Calc_DCS_den_ISIC'!$B$3:$B$81, $A92)</f>
      </c>
      <c r="C92" t="str">
        <f>B92</f>
      </c>
    </row>
    <row r="93">
      <c r="A93" t="s">
        <v>372</v>
      </c>
      <c r="B93" t="str">
        <f>SUMIFS('7_Calc_DCS_den_ISIC'!$E$3:$E$81, '7_Calc_DCS_den_ISIC'!$B$3:$B$81, $A93)</f>
      </c>
      <c r="C93" t="str">
        <f>B93</f>
      </c>
    </row>
    <row r="94">
      <c r="A94" t="s">
        <v>376</v>
      </c>
      <c r="B94" t="str">
        <f>SUMIFS('7_Calc_DCS_den_ISIC'!$E$3:$E$81, '7_Calc_DCS_den_ISIC'!$B$3:$B$81, $A94)</f>
      </c>
      <c r="C94" t="str">
        <f>B94</f>
      </c>
    </row>
    <row r="95">
      <c r="A95" t="s">
        <v>498</v>
      </c>
      <c r="B95" t="str">
        <f>SUMIFS('7_Calc_DCS_den_ISIC'!$E$3:$E$81, '7_Calc_DCS_den_ISIC'!$B$3:$B$81, $A95)</f>
      </c>
      <c r="C95" t="str">
        <f>B95</f>
      </c>
    </row>
    <row r="96">
      <c r="A96" t="s">
        <v>501</v>
      </c>
      <c r="B96" t="str">
        <f>SUMIFS('7_Calc_DCS_den_ISIC'!$E$3:$E$81, '7_Calc_DCS_den_ISIC'!$B$3:$B$81, $A96)</f>
      </c>
      <c r="C96" t="str">
        <f>B96</f>
      </c>
    </row>
    <row r="97">
      <c r="A97" t="s">
        <v>126</v>
      </c>
      <c r="B97" t="str">
        <f>SUMIFS('7_Calc_DCS_den_ISIC'!$E$3:$E$81, '7_Calc_DCS_den_ISIC'!$B$3:$B$81, $A97)</f>
      </c>
      <c r="C97" t="str">
        <f>B97</f>
      </c>
    </row>
    <row r="98">
      <c r="A98" t="s">
        <v>488</v>
      </c>
      <c r="B98" t="str">
        <f>SUMIFS('7_Calc_DCS_den_ISIC'!$E$3:$E$81, '7_Calc_DCS_den_ISIC'!$B$3:$B$81, $A98)</f>
      </c>
      <c r="C98" t="str">
        <f>B98</f>
      </c>
    </row>
    <row r="99">
      <c r="A99" t="s">
        <v>491</v>
      </c>
      <c r="B99" t="str">
        <f>SUMIFS('7_Calc_DCS_den_ISIC'!$E$3:$E$81, '7_Calc_DCS_den_ISIC'!$B$3:$B$81, $A99)</f>
      </c>
      <c r="C99" t="str">
        <f>B99</f>
      </c>
    </row>
    <row r="100">
      <c r="A100" t="s">
        <v>379</v>
      </c>
      <c r="B100" t="str">
        <f>SUMIFS('7_Calc_DCS_den_ISIC'!$E$3:$E$81, '7_Calc_DCS_den_ISIC'!$B$3:$B$81, $A100)</f>
      </c>
      <c r="C100" t="str">
        <f>B100</f>
      </c>
    </row>
    <row r="101">
      <c r="A101" t="s">
        <v>495</v>
      </c>
      <c r="B101" t="str">
        <f>SUMIFS('7_Calc_DCS_den_ISIC'!$E$3:$E$81, '7_Calc_DCS_den_ISIC'!$B$3:$B$81, $A101)</f>
      </c>
      <c r="C101" t="str">
        <f>B101</f>
      </c>
    </row>
    <row r="102">
      <c r="A102" t="s">
        <v>385</v>
      </c>
      <c r="B102" t="str">
        <f>SUMIFS('7_Calc_DCS_den_ISIC'!$E$3:$E$81, '7_Calc_DCS_den_ISIC'!$B$3:$B$81, $A102)</f>
      </c>
      <c r="C102" t="str">
        <f>B102</f>
      </c>
    </row>
    <row r="103">
      <c r="A103" t="s">
        <v>390</v>
      </c>
      <c r="B103" t="str">
        <f>SUMIFS('7_Calc_DCS_den_ISIC'!$E$3:$E$81, '7_Calc_DCS_den_ISIC'!$B$3:$B$81, $A103)</f>
      </c>
      <c r="C103" t="str">
        <f>B103</f>
      </c>
    </row>
    <row r="104">
      <c r="A104" t="s">
        <v>393</v>
      </c>
      <c r="B104" t="str">
        <f>SUMIFS('7_Calc_DCS_den_ISIC'!$E$3:$E$81, '7_Calc_DCS_den_ISIC'!$B$3:$B$81, $A104)</f>
      </c>
      <c r="C104" t="str">
        <f>B104</f>
      </c>
    </row>
    <row r="105">
      <c r="A105" t="s">
        <v>387</v>
      </c>
      <c r="B105" t="str">
        <f>SUMIFS('7_Calc_DCS_den_ISIC'!$E$3:$E$81, '7_Calc_DCS_den_ISIC'!$B$3:$B$81, $A105)</f>
      </c>
      <c r="C105" t="str">
        <f>B105</f>
      </c>
    </row>
    <row r="106">
      <c r="A106" t="s">
        <v>396</v>
      </c>
      <c r="B106" t="str">
        <f>SUMIFS('7_Calc_DCS_den_ISIC'!$E$3:$E$81, '7_Calc_DCS_den_ISIC'!$B$3:$B$81, $A106)</f>
      </c>
      <c r="C106" t="str">
        <f>B106</f>
      </c>
    </row>
    <row r="107">
      <c r="A107" t="s">
        <v>399</v>
      </c>
      <c r="B107" t="str">
        <f>SUMIFS('7_Calc_DCS_den_ISIC'!$E$3:$E$81, '7_Calc_DCS_den_ISIC'!$B$3:$B$81, $A107)</f>
      </c>
      <c r="C107" t="str">
        <f>B107</f>
      </c>
    </row>
    <row r="108">
      <c r="A108" t="s">
        <v>402</v>
      </c>
      <c r="B108" t="str">
        <f>SUMIFS('7_Calc_DCS_den_ISIC'!$E$3:$E$81, '7_Calc_DCS_den_ISIC'!$B$3:$B$81, $A108)</f>
      </c>
      <c r="C108" t="str">
        <f>B108</f>
      </c>
    </row>
    <row r="109">
      <c r="A109" t="s">
        <v>350</v>
      </c>
      <c r="B109" t="str">
        <f>SUMIFS('7_Calc_DCS_den_ISIC'!$E$3:$E$81, '7_Calc_DCS_den_ISIC'!$B$3:$B$81, $A109)</f>
      </c>
      <c r="C109" t="str">
        <f>B109</f>
      </c>
    </row>
    <row r="110">
      <c r="A110" t="s">
        <v>353</v>
      </c>
      <c r="B110" t="str">
        <f>SUMIFS('7_Calc_DCS_den_ISIC'!$E$3:$E$81, '7_Calc_DCS_den_ISIC'!$B$3:$B$81, $A110)</f>
      </c>
      <c r="C110" t="str">
        <f>B110</f>
      </c>
    </row>
    <row r="111">
      <c r="A111" t="s">
        <v>356</v>
      </c>
      <c r="B111" t="str">
        <f>SUMIFS('7_Calc_DCS_den_ISIC'!$E$3:$E$81, '7_Calc_DCS_den_ISIC'!$B$3:$B$81, $A111)</f>
      </c>
      <c r="C111" t="str">
        <f>B111</f>
      </c>
    </row>
    <row r="112">
      <c r="A112" t="s">
        <v>360</v>
      </c>
      <c r="B112" t="str">
        <f>SUMIFS('7_Calc_DCS_den_ISIC'!$E$3:$E$81, '7_Calc_DCS_den_ISIC'!$B$3:$B$81, $A112)</f>
      </c>
      <c r="C112" t="str">
        <f>B112</f>
      </c>
    </row>
    <row r="113">
      <c r="A113" t="s">
        <v>406</v>
      </c>
      <c r="B113" t="str">
        <f>SUMIFS('7_Calc_DCS_den_ISIC'!$E$3:$E$81, '7_Calc_DCS_den_ISIC'!$B$3:$B$81, $A113)</f>
      </c>
      <c r="C113" t="str">
        <f>B113</f>
      </c>
    </row>
    <row r="114">
      <c r="A114" t="s">
        <v>413</v>
      </c>
      <c r="B114" t="str">
        <f>SUMIFS('7_Calc_DCS_den_ISIC'!$E$3:$E$81, '7_Calc_DCS_den_ISIC'!$B$3:$B$81, $A114)</f>
      </c>
      <c r="C114" t="str">
        <f>B114</f>
      </c>
    </row>
    <row r="115">
      <c r="A115" t="s">
        <v>470</v>
      </c>
      <c r="B115" t="str">
        <f>SUMIFS('7_Calc_DCS_den_ISIC'!$E$3:$E$81, '7_Calc_DCS_den_ISIC'!$B$3:$B$81, $A115)</f>
      </c>
      <c r="C115" t="str">
        <f>B115</f>
      </c>
    </row>
    <row r="116">
      <c r="A116" t="s">
        <v>425</v>
      </c>
      <c r="B116" t="str">
        <f>SUMIFS('7_Calc_DCS_den_ISIC'!$E$3:$E$81, '7_Calc_DCS_den_ISIC'!$B$3:$B$81, $A116)</f>
      </c>
      <c r="C116" t="str">
        <f>B116</f>
      </c>
    </row>
    <row r="117">
      <c r="A117" t="s">
        <v>177</v>
      </c>
      <c r="B117" t="str">
        <f>SUMIFS('7_Calc_DCS_den_ISIC'!$E$3:$E$81, '7_Calc_DCS_den_ISIC'!$B$3:$B$81, $A117)</f>
      </c>
      <c r="C117" t="str">
        <f>B117</f>
      </c>
    </row>
    <row r="118">
      <c r="A118" t="s">
        <v>432</v>
      </c>
      <c r="B118" t="str">
        <f>SUMIFS('7_Calc_DCS_den_ISIC'!$E$3:$E$81, '7_Calc_DCS_den_ISIC'!$B$3:$B$81, $A118)</f>
      </c>
      <c r="C118" t="str">
        <f>B118</f>
      </c>
    </row>
    <row r="119">
      <c r="A119" t="s">
        <v>435</v>
      </c>
      <c r="B119" t="str">
        <f>SUMIFS('7_Calc_DCS_den_ISIC'!$E$3:$E$81, '7_Calc_DCS_den_ISIC'!$B$3:$B$81, $A119)</f>
      </c>
      <c r="C119" t="str">
        <f>B119</f>
      </c>
    </row>
    <row r="120">
      <c r="A120" t="s">
        <v>441</v>
      </c>
      <c r="B120" t="str">
        <f>SUMIFS('7_Calc_DCS_den_ISIC'!$E$3:$E$81, '7_Calc_DCS_den_ISIC'!$B$3:$B$81, $A120)</f>
      </c>
      <c r="C120" t="str">
        <f>B120</f>
      </c>
    </row>
    <row r="121">
      <c r="A121" t="s">
        <v>445</v>
      </c>
      <c r="B121" t="str">
        <f>SUMIFS('7_Calc_DCS_den_ISIC'!$E$3:$E$81, '7_Calc_DCS_den_ISIC'!$B$3:$B$81, $A121)</f>
      </c>
      <c r="C121" t="str">
        <f>B121</f>
      </c>
    </row>
    <row r="122">
      <c r="A122" t="s">
        <v>475</v>
      </c>
      <c r="B122" t="str">
        <f>SUMIFS('7_Calc_DCS_den_ISIC'!$E$3:$E$81, '7_Calc_DCS_den_ISIC'!$B$3:$B$81, $A122)</f>
      </c>
      <c r="C122" t="str">
        <f>B122</f>
      </c>
    </row>
    <row r="123">
      <c r="A123" t="s">
        <v>457</v>
      </c>
      <c r="B123" t="str">
        <f>SUMIFS('7_Calc_DCS_den_ISIC'!$E$3:$E$81, '7_Calc_DCS_den_ISIC'!$B$3:$B$81, $A123)</f>
      </c>
      <c r="C123" t="str">
        <f>B123</f>
      </c>
    </row>
    <row r="124">
      <c r="A124" t="s">
        <v>460</v>
      </c>
      <c r="B124" t="str">
        <f>SUMIFS('7_Calc_DCS_den_ISIC'!$E$3:$E$81, '7_Calc_DCS_den_ISIC'!$B$3:$B$81, $A124)</f>
      </c>
      <c r="C124" t="str">
        <f>B124</f>
      </c>
    </row>
    <row r="125">
      <c r="A125" t="s">
        <v>466</v>
      </c>
      <c r="B125" t="str">
        <f>SUMIFS('7_Calc_DCS_den_ISIC'!$E$3:$E$81, '7_Calc_DCS_den_ISIC'!$B$3:$B$81, $A125)</f>
      </c>
      <c r="C125" t="str">
        <f>B125</f>
      </c>
    </row>
    <row r="126">
      <c r="A126" t="s">
        <v>583</v>
      </c>
      <c r="B126" t="str">
        <f>SUMIFS('7_Calc_DCS_den_ISIC'!$E$3:$E$81, '7_Calc_DCS_den_ISIC'!$B$3:$B$81, $A126)</f>
      </c>
      <c r="C126" t="str">
        <f>B126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topLeftCell="A3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16.71" hidden="0" customWidth="1"/>
    <col min="3" max="3" width="18.71" hidden="0" customWidth="1"/>
    <col min="4" max="4" width="20.71" hidden="0" customWidth="1"/>
    <col min="5" max="5" width="20.71" hidden="0" customWidth="1"/>
  </cols>
  <sheetData>
    <row r="1">
      <c r="A1" t="s">
        <v>586</v>
      </c>
    </row>
    <row r="2">
      <c r="A2" t="s">
        <v>332</v>
      </c>
      <c r="B2" t="s">
        <v>334</v>
      </c>
      <c r="C2" t="s">
        <v>336</v>
      </c>
      <c r="D2" t="s">
        <v>587</v>
      </c>
      <c r="E2" t="s">
        <v>588</v>
      </c>
    </row>
    <row r="3">
      <c r="A3" t="str">
        <f>'Crosswalk_BEA_to_ISIC'!A9</f>
      </c>
      <c r="B3" t="str">
        <f>'Crosswalk_BEA_to_ISIC'!C9</f>
      </c>
      <c r="C3" t="str">
        <f>'Crosswalk_BEA_to_ISIC'!E9</f>
      </c>
      <c r="D3" t="str">
        <f>IFERROR(INDEX('5_Exp_total_by_BEA'!$B$2:$B$74, MATCH($A3, '5_Exp_total_by_BEA'!$A$2:$A$74, 0)), 0)</f>
      </c>
      <c r="E3" t="str">
        <f>C3*D3</f>
      </c>
    </row>
    <row r="4">
      <c r="A4" t="str">
        <f>'Crosswalk_BEA_to_ISIC'!A10</f>
      </c>
      <c r="B4" t="str">
        <f>'Crosswalk_BEA_to_ISIC'!C10</f>
      </c>
      <c r="C4" t="str">
        <f>'Crosswalk_BEA_to_ISIC'!E10</f>
      </c>
      <c r="D4" t="str">
        <f>IFERROR(INDEX('5_Exp_total_by_BEA'!$B$2:$B$74, MATCH($A4, '5_Exp_total_by_BEA'!$A$2:$A$74, 0)), 0)</f>
      </c>
      <c r="E4" t="str">
        <f>C4*D4</f>
      </c>
    </row>
    <row r="5">
      <c r="A5" t="str">
        <f>'Crosswalk_BEA_to_ISIC'!A11</f>
      </c>
      <c r="B5" t="str">
        <f>'Crosswalk_BEA_to_ISIC'!C11</f>
      </c>
      <c r="C5" t="str">
        <f>'Crosswalk_BEA_to_ISIC'!E11</f>
      </c>
      <c r="D5" t="str">
        <f>IFERROR(INDEX('5_Exp_total_by_BEA'!$B$2:$B$74, MATCH($A5, '5_Exp_total_by_BEA'!$A$2:$A$74, 0)), 0)</f>
      </c>
      <c r="E5" t="str">
        <f>C5*D5</f>
      </c>
    </row>
    <row r="6">
      <c r="A6" t="str">
        <f>'Crosswalk_BEA_to_ISIC'!A12</f>
      </c>
      <c r="B6" t="str">
        <f>'Crosswalk_BEA_to_ISIC'!C12</f>
      </c>
      <c r="C6" t="str">
        <f>'Crosswalk_BEA_to_ISIC'!E12</f>
      </c>
      <c r="D6" t="str">
        <f>IFERROR(INDEX('5_Exp_total_by_BEA'!$B$2:$B$74, MATCH($A6, '5_Exp_total_by_BEA'!$A$2:$A$74, 0)), 0)</f>
      </c>
      <c r="E6" t="str">
        <f>C6*D6</f>
      </c>
    </row>
    <row r="7">
      <c r="A7" t="str">
        <f>'Crosswalk_BEA_to_ISIC'!A13</f>
      </c>
      <c r="B7" t="str">
        <f>'Crosswalk_BEA_to_ISIC'!C13</f>
      </c>
      <c r="C7" t="str">
        <f>'Crosswalk_BEA_to_ISIC'!E13</f>
      </c>
      <c r="D7" t="str">
        <f>IFERROR(INDEX('5_Exp_total_by_BEA'!$B$2:$B$74, MATCH($A7, '5_Exp_total_by_BEA'!$A$2:$A$74, 0)), 0)</f>
      </c>
      <c r="E7" t="str">
        <f>C7*D7</f>
      </c>
    </row>
    <row r="8">
      <c r="A8" t="str">
        <f>'Crosswalk_BEA_to_ISIC'!A14</f>
      </c>
      <c r="B8" t="str">
        <f>'Crosswalk_BEA_to_ISIC'!C14</f>
      </c>
      <c r="C8" t="str">
        <f>'Crosswalk_BEA_to_ISIC'!E14</f>
      </c>
      <c r="D8" t="str">
        <f>IFERROR(INDEX('5_Exp_total_by_BEA'!$B$2:$B$74, MATCH($A8, '5_Exp_total_by_BEA'!$A$2:$A$74, 0)), 0)</f>
      </c>
      <c r="E8" t="str">
        <f>C8*D8</f>
      </c>
    </row>
    <row r="9">
      <c r="A9" t="str">
        <f>'Crosswalk_BEA_to_ISIC'!A15</f>
      </c>
      <c r="B9" t="str">
        <f>'Crosswalk_BEA_to_ISIC'!C15</f>
      </c>
      <c r="C9" t="str">
        <f>'Crosswalk_BEA_to_ISIC'!E15</f>
      </c>
      <c r="D9" t="str">
        <f>IFERROR(INDEX('5_Exp_total_by_BEA'!$B$2:$B$74, MATCH($A9, '5_Exp_total_by_BEA'!$A$2:$A$74, 0)), 0)</f>
      </c>
      <c r="E9" t="str">
        <f>C9*D9</f>
      </c>
    </row>
    <row r="10">
      <c r="A10" t="str">
        <f>'Crosswalk_BEA_to_ISIC'!A16</f>
      </c>
      <c r="B10" t="str">
        <f>'Crosswalk_BEA_to_ISIC'!C16</f>
      </c>
      <c r="C10" t="str">
        <f>'Crosswalk_BEA_to_ISIC'!E16</f>
      </c>
      <c r="D10" t="str">
        <f>IFERROR(INDEX('5_Exp_total_by_BEA'!$B$2:$B$74, MATCH($A10, '5_Exp_total_by_BEA'!$A$2:$A$74, 0)), 0)</f>
      </c>
      <c r="E10" t="str">
        <f>C10*D10</f>
      </c>
    </row>
    <row r="11">
      <c r="A11" t="str">
        <f>'Crosswalk_BEA_to_ISIC'!A17</f>
      </c>
      <c r="B11" t="str">
        <f>'Crosswalk_BEA_to_ISIC'!C17</f>
      </c>
      <c r="C11" t="str">
        <f>'Crosswalk_BEA_to_ISIC'!E17</f>
      </c>
      <c r="D11" t="str">
        <f>IFERROR(INDEX('5_Exp_total_by_BEA'!$B$2:$B$74, MATCH($A11, '5_Exp_total_by_BEA'!$A$2:$A$74, 0)), 0)</f>
      </c>
      <c r="E11" t="str">
        <f>C11*D11</f>
      </c>
    </row>
    <row r="12">
      <c r="A12" t="str">
        <f>'Crosswalk_BEA_to_ISIC'!A18</f>
      </c>
      <c r="B12" t="str">
        <f>'Crosswalk_BEA_to_ISIC'!C18</f>
      </c>
      <c r="C12" t="str">
        <f>'Crosswalk_BEA_to_ISIC'!E18</f>
      </c>
      <c r="D12" t="str">
        <f>IFERROR(INDEX('5_Exp_total_by_BEA'!$B$2:$B$74, MATCH($A12, '5_Exp_total_by_BEA'!$A$2:$A$74, 0)), 0)</f>
      </c>
      <c r="E12" t="str">
        <f>C12*D12</f>
      </c>
    </row>
    <row r="13">
      <c r="A13" t="str">
        <f>'Crosswalk_BEA_to_ISIC'!A19</f>
      </c>
      <c r="B13" t="str">
        <f>'Crosswalk_BEA_to_ISIC'!C19</f>
      </c>
      <c r="C13" t="str">
        <f>'Crosswalk_BEA_to_ISIC'!E19</f>
      </c>
      <c r="D13" t="str">
        <f>IFERROR(INDEX('5_Exp_total_by_BEA'!$B$2:$B$74, MATCH($A13, '5_Exp_total_by_BEA'!$A$2:$A$74, 0)), 0)</f>
      </c>
      <c r="E13" t="str">
        <f>C13*D13</f>
      </c>
    </row>
    <row r="14">
      <c r="A14" t="str">
        <f>'Crosswalk_BEA_to_ISIC'!A20</f>
      </c>
      <c r="B14" t="str">
        <f>'Crosswalk_BEA_to_ISIC'!C20</f>
      </c>
      <c r="C14" t="str">
        <f>'Crosswalk_BEA_to_ISIC'!E20</f>
      </c>
      <c r="D14" t="str">
        <f>IFERROR(INDEX('5_Exp_total_by_BEA'!$B$2:$B$74, MATCH($A14, '5_Exp_total_by_BEA'!$A$2:$A$74, 0)), 0)</f>
      </c>
      <c r="E14" t="str">
        <f>C14*D14</f>
      </c>
    </row>
    <row r="15">
      <c r="A15" t="str">
        <f>'Crosswalk_BEA_to_ISIC'!A21</f>
      </c>
      <c r="B15" t="str">
        <f>'Crosswalk_BEA_to_ISIC'!C21</f>
      </c>
      <c r="C15" t="str">
        <f>'Crosswalk_BEA_to_ISIC'!E21</f>
      </c>
      <c r="D15" t="str">
        <f>IFERROR(INDEX('5_Exp_total_by_BEA'!$B$2:$B$74, MATCH($A15, '5_Exp_total_by_BEA'!$A$2:$A$74, 0)), 0)</f>
      </c>
      <c r="E15" t="str">
        <f>C15*D15</f>
      </c>
    </row>
    <row r="16">
      <c r="A16" t="str">
        <f>'Crosswalk_BEA_to_ISIC'!A22</f>
      </c>
      <c r="B16" t="str">
        <f>'Crosswalk_BEA_to_ISIC'!C22</f>
      </c>
      <c r="C16" t="str">
        <f>'Crosswalk_BEA_to_ISIC'!E22</f>
      </c>
      <c r="D16" t="str">
        <f>IFERROR(INDEX('5_Exp_total_by_BEA'!$B$2:$B$74, MATCH($A16, '5_Exp_total_by_BEA'!$A$2:$A$74, 0)), 0)</f>
      </c>
      <c r="E16" t="str">
        <f>C16*D16</f>
      </c>
    </row>
    <row r="17">
      <c r="A17" t="str">
        <f>'Crosswalk_BEA_to_ISIC'!A23</f>
      </c>
      <c r="B17" t="str">
        <f>'Crosswalk_BEA_to_ISIC'!C23</f>
      </c>
      <c r="C17" t="str">
        <f>'Crosswalk_BEA_to_ISIC'!E23</f>
      </c>
      <c r="D17" t="str">
        <f>IFERROR(INDEX('5_Exp_total_by_BEA'!$B$2:$B$74, MATCH($A17, '5_Exp_total_by_BEA'!$A$2:$A$74, 0)), 0)</f>
      </c>
      <c r="E17" t="str">
        <f>C17*D17</f>
      </c>
    </row>
    <row r="18">
      <c r="A18" t="str">
        <f>'Crosswalk_BEA_to_ISIC'!A24</f>
      </c>
      <c r="B18" t="str">
        <f>'Crosswalk_BEA_to_ISIC'!C24</f>
      </c>
      <c r="C18" t="str">
        <f>'Crosswalk_BEA_to_ISIC'!E24</f>
      </c>
      <c r="D18" t="str">
        <f>IFERROR(INDEX('5_Exp_total_by_BEA'!$B$2:$B$74, MATCH($A18, '5_Exp_total_by_BEA'!$A$2:$A$74, 0)), 0)</f>
      </c>
      <c r="E18" t="str">
        <f>C18*D18</f>
      </c>
    </row>
    <row r="19">
      <c r="A19" t="str">
        <f>'Crosswalk_BEA_to_ISIC'!A25</f>
      </c>
      <c r="B19" t="str">
        <f>'Crosswalk_BEA_to_ISIC'!C25</f>
      </c>
      <c r="C19" t="str">
        <f>'Crosswalk_BEA_to_ISIC'!E25</f>
      </c>
      <c r="D19" t="str">
        <f>IFERROR(INDEX('5_Exp_total_by_BEA'!$B$2:$B$74, MATCH($A19, '5_Exp_total_by_BEA'!$A$2:$A$74, 0)), 0)</f>
      </c>
      <c r="E19" t="str">
        <f>C19*D19</f>
      </c>
    </row>
    <row r="20">
      <c r="A20" t="str">
        <f>'Crosswalk_BEA_to_ISIC'!A26</f>
      </c>
      <c r="B20" t="str">
        <f>'Crosswalk_BEA_to_ISIC'!C26</f>
      </c>
      <c r="C20" t="str">
        <f>'Crosswalk_BEA_to_ISIC'!E26</f>
      </c>
      <c r="D20" t="str">
        <f>IFERROR(INDEX('5_Exp_total_by_BEA'!$B$2:$B$74, MATCH($A20, '5_Exp_total_by_BEA'!$A$2:$A$74, 0)), 0)</f>
      </c>
      <c r="E20" t="str">
        <f>C20*D20</f>
      </c>
    </row>
    <row r="21">
      <c r="A21" t="str">
        <f>'Crosswalk_BEA_to_ISIC'!A27</f>
      </c>
      <c r="B21" t="str">
        <f>'Crosswalk_BEA_to_ISIC'!C27</f>
      </c>
      <c r="C21" t="str">
        <f>'Crosswalk_BEA_to_ISIC'!E27</f>
      </c>
      <c r="D21" t="str">
        <f>IFERROR(INDEX('5_Exp_total_by_BEA'!$B$2:$B$74, MATCH($A21, '5_Exp_total_by_BEA'!$A$2:$A$74, 0)), 0)</f>
      </c>
      <c r="E21" t="str">
        <f>C21*D21</f>
      </c>
    </row>
    <row r="22">
      <c r="A22" t="str">
        <f>'Crosswalk_BEA_to_ISIC'!A28</f>
      </c>
      <c r="B22" t="str">
        <f>'Crosswalk_BEA_to_ISIC'!C28</f>
      </c>
      <c r="C22" t="str">
        <f>'Crosswalk_BEA_to_ISIC'!E28</f>
      </c>
      <c r="D22" t="str">
        <f>IFERROR(INDEX('5_Exp_total_by_BEA'!$B$2:$B$74, MATCH($A22, '5_Exp_total_by_BEA'!$A$2:$A$74, 0)), 0)</f>
      </c>
      <c r="E22" t="str">
        <f>C22*D22</f>
      </c>
    </row>
    <row r="23">
      <c r="A23" t="str">
        <f>'Crosswalk_BEA_to_ISIC'!A29</f>
      </c>
      <c r="B23" t="str">
        <f>'Crosswalk_BEA_to_ISIC'!C29</f>
      </c>
      <c r="C23" t="str">
        <f>'Crosswalk_BEA_to_ISIC'!E29</f>
      </c>
      <c r="D23" t="str">
        <f>IFERROR(INDEX('5_Exp_total_by_BEA'!$B$2:$B$74, MATCH($A23, '5_Exp_total_by_BEA'!$A$2:$A$74, 0)), 0)</f>
      </c>
      <c r="E23" t="str">
        <f>C23*D23</f>
      </c>
    </row>
    <row r="24">
      <c r="A24" t="str">
        <f>'Crosswalk_BEA_to_ISIC'!A30</f>
      </c>
      <c r="B24" t="str">
        <f>'Crosswalk_BEA_to_ISIC'!C30</f>
      </c>
      <c r="C24" t="str">
        <f>'Crosswalk_BEA_to_ISIC'!E30</f>
      </c>
      <c r="D24" t="str">
        <f>IFERROR(INDEX('5_Exp_total_by_BEA'!$B$2:$B$74, MATCH($A24, '5_Exp_total_by_BEA'!$A$2:$A$74, 0)), 0)</f>
      </c>
      <c r="E24" t="str">
        <f>C24*D24</f>
      </c>
    </row>
    <row r="25">
      <c r="A25" t="str">
        <f>'Crosswalk_BEA_to_ISIC'!A31</f>
      </c>
      <c r="B25" t="str">
        <f>'Crosswalk_BEA_to_ISIC'!C31</f>
      </c>
      <c r="C25" t="str">
        <f>'Crosswalk_BEA_to_ISIC'!E31</f>
      </c>
      <c r="D25" t="str">
        <f>IFERROR(INDEX('5_Exp_total_by_BEA'!$B$2:$B$74, MATCH($A25, '5_Exp_total_by_BEA'!$A$2:$A$74, 0)), 0)</f>
      </c>
      <c r="E25" t="str">
        <f>C25*D25</f>
      </c>
    </row>
    <row r="26">
      <c r="A26" t="str">
        <f>'Crosswalk_BEA_to_ISIC'!A32</f>
      </c>
      <c r="B26" t="str">
        <f>'Crosswalk_BEA_to_ISIC'!C32</f>
      </c>
      <c r="C26" t="str">
        <f>'Crosswalk_BEA_to_ISIC'!E32</f>
      </c>
      <c r="D26" t="str">
        <f>IFERROR(INDEX('5_Exp_total_by_BEA'!$B$2:$B$74, MATCH($A26, '5_Exp_total_by_BEA'!$A$2:$A$74, 0)), 0)</f>
      </c>
      <c r="E26" t="str">
        <f>C26*D26</f>
      </c>
    </row>
    <row r="27">
      <c r="A27" t="str">
        <f>'Crosswalk_BEA_to_ISIC'!A33</f>
      </c>
      <c r="B27" t="str">
        <f>'Crosswalk_BEA_to_ISIC'!C33</f>
      </c>
      <c r="C27" t="str">
        <f>'Crosswalk_BEA_to_ISIC'!E33</f>
      </c>
      <c r="D27" t="str">
        <f>IFERROR(INDEX('5_Exp_total_by_BEA'!$B$2:$B$74, MATCH($A27, '5_Exp_total_by_BEA'!$A$2:$A$74, 0)), 0)</f>
      </c>
      <c r="E27" t="str">
        <f>C27*D27</f>
      </c>
    </row>
    <row r="28">
      <c r="A28" t="str">
        <f>'Crosswalk_BEA_to_ISIC'!A34</f>
      </c>
      <c r="B28" t="str">
        <f>'Crosswalk_BEA_to_ISIC'!C34</f>
      </c>
      <c r="C28" t="str">
        <f>'Crosswalk_BEA_to_ISIC'!E34</f>
      </c>
      <c r="D28" t="str">
        <f>IFERROR(INDEX('5_Exp_total_by_BEA'!$B$2:$B$74, MATCH($A28, '5_Exp_total_by_BEA'!$A$2:$A$74, 0)), 0)</f>
      </c>
      <c r="E28" t="str">
        <f>C28*D28</f>
      </c>
    </row>
    <row r="29">
      <c r="A29" t="str">
        <f>'Crosswalk_BEA_to_ISIC'!A35</f>
      </c>
      <c r="B29" t="str">
        <f>'Crosswalk_BEA_to_ISIC'!C35</f>
      </c>
      <c r="C29" t="str">
        <f>'Crosswalk_BEA_to_ISIC'!E35</f>
      </c>
      <c r="D29" t="str">
        <f>IFERROR(INDEX('5_Exp_total_by_BEA'!$B$2:$B$74, MATCH($A29, '5_Exp_total_by_BEA'!$A$2:$A$74, 0)), 0)</f>
      </c>
      <c r="E29" t="str">
        <f>C29*D29</f>
      </c>
    </row>
    <row r="30">
      <c r="A30" t="str">
        <f>'Crosswalk_BEA_to_ISIC'!A36</f>
      </c>
      <c r="B30" t="str">
        <f>'Crosswalk_BEA_to_ISIC'!C36</f>
      </c>
      <c r="C30" t="str">
        <f>'Crosswalk_BEA_to_ISIC'!E36</f>
      </c>
      <c r="D30" t="str">
        <f>IFERROR(INDEX('5_Exp_total_by_BEA'!$B$2:$B$74, MATCH($A30, '5_Exp_total_by_BEA'!$A$2:$A$74, 0)), 0)</f>
      </c>
      <c r="E30" t="str">
        <f>C30*D30</f>
      </c>
    </row>
    <row r="31">
      <c r="A31" t="str">
        <f>'Crosswalk_BEA_to_ISIC'!A37</f>
      </c>
      <c r="B31" t="str">
        <f>'Crosswalk_BEA_to_ISIC'!C37</f>
      </c>
      <c r="C31" t="str">
        <f>'Crosswalk_BEA_to_ISIC'!E37</f>
      </c>
      <c r="D31" t="str">
        <f>IFERROR(INDEX('5_Exp_total_by_BEA'!$B$2:$B$74, MATCH($A31, '5_Exp_total_by_BEA'!$A$2:$A$74, 0)), 0)</f>
      </c>
      <c r="E31" t="str">
        <f>C31*D31</f>
      </c>
    </row>
    <row r="32">
      <c r="A32" t="str">
        <f>'Crosswalk_BEA_to_ISIC'!A38</f>
      </c>
      <c r="B32" t="str">
        <f>'Crosswalk_BEA_to_ISIC'!C38</f>
      </c>
      <c r="C32" t="str">
        <f>'Crosswalk_BEA_to_ISIC'!E38</f>
      </c>
      <c r="D32" t="str">
        <f>IFERROR(INDEX('5_Exp_total_by_BEA'!$B$2:$B$74, MATCH($A32, '5_Exp_total_by_BEA'!$A$2:$A$74, 0)), 0)</f>
      </c>
      <c r="E32" t="str">
        <f>C32*D32</f>
      </c>
    </row>
    <row r="33">
      <c r="A33" t="str">
        <f>'Crosswalk_BEA_to_ISIC'!A39</f>
      </c>
      <c r="B33" t="str">
        <f>'Crosswalk_BEA_to_ISIC'!C39</f>
      </c>
      <c r="C33" t="str">
        <f>'Crosswalk_BEA_to_ISIC'!E39</f>
      </c>
      <c r="D33" t="str">
        <f>IFERROR(INDEX('5_Exp_total_by_BEA'!$B$2:$B$74, MATCH($A33, '5_Exp_total_by_BEA'!$A$2:$A$74, 0)), 0)</f>
      </c>
      <c r="E33" t="str">
        <f>C33*D33</f>
      </c>
    </row>
    <row r="34">
      <c r="A34" t="str">
        <f>'Crosswalk_BEA_to_ISIC'!A40</f>
      </c>
      <c r="B34" t="str">
        <f>'Crosswalk_BEA_to_ISIC'!C40</f>
      </c>
      <c r="C34" t="str">
        <f>'Crosswalk_BEA_to_ISIC'!E40</f>
      </c>
      <c r="D34" t="str">
        <f>IFERROR(INDEX('5_Exp_total_by_BEA'!$B$2:$B$74, MATCH($A34, '5_Exp_total_by_BEA'!$A$2:$A$74, 0)), 0)</f>
      </c>
      <c r="E34" t="str">
        <f>C34*D34</f>
      </c>
    </row>
    <row r="35">
      <c r="A35" t="str">
        <f>'Crosswalk_BEA_to_ISIC'!A41</f>
      </c>
      <c r="B35" t="str">
        <f>'Crosswalk_BEA_to_ISIC'!C41</f>
      </c>
      <c r="C35" t="str">
        <f>'Crosswalk_BEA_to_ISIC'!E41</f>
      </c>
      <c r="D35" t="str">
        <f>IFERROR(INDEX('5_Exp_total_by_BEA'!$B$2:$B$74, MATCH($A35, '5_Exp_total_by_BEA'!$A$2:$A$74, 0)), 0)</f>
      </c>
      <c r="E35" t="str">
        <f>C35*D35</f>
      </c>
    </row>
    <row r="36">
      <c r="A36" t="str">
        <f>'Crosswalk_BEA_to_ISIC'!A42</f>
      </c>
      <c r="B36" t="str">
        <f>'Crosswalk_BEA_to_ISIC'!C42</f>
      </c>
      <c r="C36" t="str">
        <f>'Crosswalk_BEA_to_ISIC'!E42</f>
      </c>
      <c r="D36" t="str">
        <f>IFERROR(INDEX('5_Exp_total_by_BEA'!$B$2:$B$74, MATCH($A36, '5_Exp_total_by_BEA'!$A$2:$A$74, 0)), 0)</f>
      </c>
      <c r="E36" t="str">
        <f>C36*D36</f>
      </c>
    </row>
    <row r="37">
      <c r="A37" t="str">
        <f>'Crosswalk_BEA_to_ISIC'!A43</f>
      </c>
      <c r="B37" t="str">
        <f>'Crosswalk_BEA_to_ISIC'!C43</f>
      </c>
      <c r="C37" t="str">
        <f>'Crosswalk_BEA_to_ISIC'!E43</f>
      </c>
      <c r="D37" t="str">
        <f>IFERROR(INDEX('5_Exp_total_by_BEA'!$B$2:$B$74, MATCH($A37, '5_Exp_total_by_BEA'!$A$2:$A$74, 0)), 0)</f>
      </c>
      <c r="E37" t="str">
        <f>C37*D37</f>
      </c>
    </row>
    <row r="38">
      <c r="A38" t="str">
        <f>'Crosswalk_BEA_to_ISIC'!A44</f>
      </c>
      <c r="B38" t="str">
        <f>'Crosswalk_BEA_to_ISIC'!C44</f>
      </c>
      <c r="C38" t="str">
        <f>'Crosswalk_BEA_to_ISIC'!E44</f>
      </c>
      <c r="D38" t="str">
        <f>IFERROR(INDEX('5_Exp_total_by_BEA'!$B$2:$B$74, MATCH($A38, '5_Exp_total_by_BEA'!$A$2:$A$74, 0)), 0)</f>
      </c>
      <c r="E38" t="str">
        <f>C38*D38</f>
      </c>
    </row>
    <row r="39">
      <c r="A39" t="str">
        <f>'Crosswalk_BEA_to_ISIC'!A45</f>
      </c>
      <c r="B39" t="str">
        <f>'Crosswalk_BEA_to_ISIC'!C45</f>
      </c>
      <c r="C39" t="str">
        <f>'Crosswalk_BEA_to_ISIC'!E45</f>
      </c>
      <c r="D39" t="str">
        <f>IFERROR(INDEX('5_Exp_total_by_BEA'!$B$2:$B$74, MATCH($A39, '5_Exp_total_by_BEA'!$A$2:$A$74, 0)), 0)</f>
      </c>
      <c r="E39" t="str">
        <f>C39*D39</f>
      </c>
    </row>
    <row r="40">
      <c r="A40" t="str">
        <f>'Crosswalk_BEA_to_ISIC'!A46</f>
      </c>
      <c r="B40" t="str">
        <f>'Crosswalk_BEA_to_ISIC'!C46</f>
      </c>
      <c r="C40" t="str">
        <f>'Crosswalk_BEA_to_ISIC'!E46</f>
      </c>
      <c r="D40" t="str">
        <f>IFERROR(INDEX('5_Exp_total_by_BEA'!$B$2:$B$74, MATCH($A40, '5_Exp_total_by_BEA'!$A$2:$A$74, 0)), 0)</f>
      </c>
      <c r="E40" t="str">
        <f>C40*D40</f>
      </c>
    </row>
    <row r="41">
      <c r="A41" t="str">
        <f>'Crosswalk_BEA_to_ISIC'!A47</f>
      </c>
      <c r="B41" t="str">
        <f>'Crosswalk_BEA_to_ISIC'!C47</f>
      </c>
      <c r="C41" t="str">
        <f>'Crosswalk_BEA_to_ISIC'!E47</f>
      </c>
      <c r="D41" t="str">
        <f>IFERROR(INDEX('5_Exp_total_by_BEA'!$B$2:$B$74, MATCH($A41, '5_Exp_total_by_BEA'!$A$2:$A$74, 0)), 0)</f>
      </c>
      <c r="E41" t="str">
        <f>C41*D41</f>
      </c>
    </row>
    <row r="42">
      <c r="A42" t="str">
        <f>'Crosswalk_BEA_to_ISIC'!A48</f>
      </c>
      <c r="B42" t="str">
        <f>'Crosswalk_BEA_to_ISIC'!C48</f>
      </c>
      <c r="C42" t="str">
        <f>'Crosswalk_BEA_to_ISIC'!E48</f>
      </c>
      <c r="D42" t="str">
        <f>IFERROR(INDEX('5_Exp_total_by_BEA'!$B$2:$B$74, MATCH($A42, '5_Exp_total_by_BEA'!$A$2:$A$74, 0)), 0)</f>
      </c>
      <c r="E42" t="str">
        <f>C42*D42</f>
      </c>
    </row>
    <row r="43">
      <c r="A43" t="str">
        <f>'Crosswalk_BEA_to_ISIC'!A49</f>
      </c>
      <c r="B43" t="str">
        <f>'Crosswalk_BEA_to_ISIC'!C49</f>
      </c>
      <c r="C43" t="str">
        <f>'Crosswalk_BEA_to_ISIC'!E49</f>
      </c>
      <c r="D43" t="str">
        <f>IFERROR(INDEX('5_Exp_total_by_BEA'!$B$2:$B$74, MATCH($A43, '5_Exp_total_by_BEA'!$A$2:$A$74, 0)), 0)</f>
      </c>
      <c r="E43" t="str">
        <f>C43*D43</f>
      </c>
    </row>
    <row r="44">
      <c r="A44" t="str">
        <f>'Crosswalk_BEA_to_ISIC'!A50</f>
      </c>
      <c r="B44" t="str">
        <f>'Crosswalk_BEA_to_ISIC'!C50</f>
      </c>
      <c r="C44" t="str">
        <f>'Crosswalk_BEA_to_ISIC'!E50</f>
      </c>
      <c r="D44" t="str">
        <f>IFERROR(INDEX('5_Exp_total_by_BEA'!$B$2:$B$74, MATCH($A44, '5_Exp_total_by_BEA'!$A$2:$A$74, 0)), 0)</f>
      </c>
      <c r="E44" t="str">
        <f>C44*D44</f>
      </c>
    </row>
    <row r="45">
      <c r="A45" t="str">
        <f>'Crosswalk_BEA_to_ISIC'!A51</f>
      </c>
      <c r="B45" t="str">
        <f>'Crosswalk_BEA_to_ISIC'!C51</f>
      </c>
      <c r="C45" t="str">
        <f>'Crosswalk_BEA_to_ISIC'!E51</f>
      </c>
      <c r="D45" t="str">
        <f>IFERROR(INDEX('5_Exp_total_by_BEA'!$B$2:$B$74, MATCH($A45, '5_Exp_total_by_BEA'!$A$2:$A$74, 0)), 0)</f>
      </c>
      <c r="E45" t="str">
        <f>C45*D45</f>
      </c>
    </row>
    <row r="46">
      <c r="A46" t="str">
        <f>'Crosswalk_BEA_to_ISIC'!A52</f>
      </c>
      <c r="B46" t="str">
        <f>'Crosswalk_BEA_to_ISIC'!C52</f>
      </c>
      <c r="C46" t="str">
        <f>'Crosswalk_BEA_to_ISIC'!E52</f>
      </c>
      <c r="D46" t="str">
        <f>IFERROR(INDEX('5_Exp_total_by_BEA'!$B$2:$B$74, MATCH($A46, '5_Exp_total_by_BEA'!$A$2:$A$74, 0)), 0)</f>
      </c>
      <c r="E46" t="str">
        <f>C46*D46</f>
      </c>
    </row>
    <row r="47">
      <c r="A47" t="str">
        <f>'Crosswalk_BEA_to_ISIC'!A53</f>
      </c>
      <c r="B47" t="str">
        <f>'Crosswalk_BEA_to_ISIC'!C53</f>
      </c>
      <c r="C47" t="str">
        <f>'Crosswalk_BEA_to_ISIC'!E53</f>
      </c>
      <c r="D47" t="str">
        <f>IFERROR(INDEX('5_Exp_total_by_BEA'!$B$2:$B$74, MATCH($A47, '5_Exp_total_by_BEA'!$A$2:$A$74, 0)), 0)</f>
      </c>
      <c r="E47" t="str">
        <f>C47*D47</f>
      </c>
    </row>
    <row r="48">
      <c r="A48" t="str">
        <f>'Crosswalk_BEA_to_ISIC'!A54</f>
      </c>
      <c r="B48" t="str">
        <f>'Crosswalk_BEA_to_ISIC'!C54</f>
      </c>
      <c r="C48" t="str">
        <f>'Crosswalk_BEA_to_ISIC'!E54</f>
      </c>
      <c r="D48" t="str">
        <f>IFERROR(INDEX('5_Exp_total_by_BEA'!$B$2:$B$74, MATCH($A48, '5_Exp_total_by_BEA'!$A$2:$A$74, 0)), 0)</f>
      </c>
      <c r="E48" t="str">
        <f>C48*D48</f>
      </c>
    </row>
    <row r="49">
      <c r="A49" t="str">
        <f>'Crosswalk_BEA_to_ISIC'!A55</f>
      </c>
      <c r="B49" t="str">
        <f>'Crosswalk_BEA_to_ISIC'!C55</f>
      </c>
      <c r="C49" t="str">
        <f>'Crosswalk_BEA_to_ISIC'!E55</f>
      </c>
      <c r="D49" t="str">
        <f>IFERROR(INDEX('5_Exp_total_by_BEA'!$B$2:$B$74, MATCH($A49, '5_Exp_total_by_BEA'!$A$2:$A$74, 0)), 0)</f>
      </c>
      <c r="E49" t="str">
        <f>C49*D49</f>
      </c>
    </row>
    <row r="50">
      <c r="A50" t="str">
        <f>'Crosswalk_BEA_to_ISIC'!A56</f>
      </c>
      <c r="B50" t="str">
        <f>'Crosswalk_BEA_to_ISIC'!C56</f>
      </c>
      <c r="C50" t="str">
        <f>'Crosswalk_BEA_to_ISIC'!E56</f>
      </c>
      <c r="D50" t="str">
        <f>IFERROR(INDEX('5_Exp_total_by_BEA'!$B$2:$B$74, MATCH($A50, '5_Exp_total_by_BEA'!$A$2:$A$74, 0)), 0)</f>
      </c>
      <c r="E50" t="str">
        <f>C50*D50</f>
      </c>
    </row>
    <row r="51">
      <c r="A51" t="str">
        <f>'Crosswalk_BEA_to_ISIC'!A57</f>
      </c>
      <c r="B51" t="str">
        <f>'Crosswalk_BEA_to_ISIC'!C57</f>
      </c>
      <c r="C51" t="str">
        <f>'Crosswalk_BEA_to_ISIC'!E57</f>
      </c>
      <c r="D51" t="str">
        <f>IFERROR(INDEX('5_Exp_total_by_BEA'!$B$2:$B$74, MATCH($A51, '5_Exp_total_by_BEA'!$A$2:$A$74, 0)), 0)</f>
      </c>
      <c r="E51" t="str">
        <f>C51*D51</f>
      </c>
    </row>
    <row r="52">
      <c r="A52" t="str">
        <f>'Crosswalk_BEA_to_ISIC'!A58</f>
      </c>
      <c r="B52" t="str">
        <f>'Crosswalk_BEA_to_ISIC'!C58</f>
      </c>
      <c r="C52" t="str">
        <f>'Crosswalk_BEA_to_ISIC'!E58</f>
      </c>
      <c r="D52" t="str">
        <f>IFERROR(INDEX('5_Exp_total_by_BEA'!$B$2:$B$74, MATCH($A52, '5_Exp_total_by_BEA'!$A$2:$A$74, 0)), 0)</f>
      </c>
      <c r="E52" t="str">
        <f>C52*D52</f>
      </c>
    </row>
    <row r="53">
      <c r="A53" t="str">
        <f>'Crosswalk_BEA_to_ISIC'!A59</f>
      </c>
      <c r="B53" t="str">
        <f>'Crosswalk_BEA_to_ISIC'!C59</f>
      </c>
      <c r="C53" t="str">
        <f>'Crosswalk_BEA_to_ISIC'!E59</f>
      </c>
      <c r="D53" t="str">
        <f>IFERROR(INDEX('5_Exp_total_by_BEA'!$B$2:$B$74, MATCH($A53, '5_Exp_total_by_BEA'!$A$2:$A$74, 0)), 0)</f>
      </c>
      <c r="E53" t="str">
        <f>C53*D53</f>
      </c>
    </row>
    <row r="54">
      <c r="A54" t="str">
        <f>'Crosswalk_BEA_to_ISIC'!A60</f>
      </c>
      <c r="B54" t="str">
        <f>'Crosswalk_BEA_to_ISIC'!C60</f>
      </c>
      <c r="C54" t="str">
        <f>'Crosswalk_BEA_to_ISIC'!E60</f>
      </c>
      <c r="D54" t="str">
        <f>IFERROR(INDEX('5_Exp_total_by_BEA'!$B$2:$B$74, MATCH($A54, '5_Exp_total_by_BEA'!$A$2:$A$74, 0)), 0)</f>
      </c>
      <c r="E54" t="str">
        <f>C54*D54</f>
      </c>
    </row>
    <row r="55">
      <c r="A55" t="str">
        <f>'Crosswalk_BEA_to_ISIC'!A61</f>
      </c>
      <c r="B55" t="str">
        <f>'Crosswalk_BEA_to_ISIC'!C61</f>
      </c>
      <c r="C55" t="str">
        <f>'Crosswalk_BEA_to_ISIC'!E61</f>
      </c>
      <c r="D55" t="str">
        <f>IFERROR(INDEX('5_Exp_total_by_BEA'!$B$2:$B$74, MATCH($A55, '5_Exp_total_by_BEA'!$A$2:$A$74, 0)), 0)</f>
      </c>
      <c r="E55" t="str">
        <f>C55*D55</f>
      </c>
    </row>
    <row r="56">
      <c r="A56" t="str">
        <f>'Crosswalk_BEA_to_ISIC'!A62</f>
      </c>
      <c r="B56" t="str">
        <f>'Crosswalk_BEA_to_ISIC'!C62</f>
      </c>
      <c r="C56" t="str">
        <f>'Crosswalk_BEA_to_ISIC'!E62</f>
      </c>
      <c r="D56" t="str">
        <f>IFERROR(INDEX('5_Exp_total_by_BEA'!$B$2:$B$74, MATCH($A56, '5_Exp_total_by_BEA'!$A$2:$A$74, 0)), 0)</f>
      </c>
      <c r="E56" t="str">
        <f>C56*D56</f>
      </c>
    </row>
    <row r="57">
      <c r="A57" t="str">
        <f>'Crosswalk_BEA_to_ISIC'!A63</f>
      </c>
      <c r="B57" t="str">
        <f>'Crosswalk_BEA_to_ISIC'!C63</f>
      </c>
      <c r="C57" t="str">
        <f>'Crosswalk_BEA_to_ISIC'!E63</f>
      </c>
      <c r="D57" t="str">
        <f>IFERROR(INDEX('5_Exp_total_by_BEA'!$B$2:$B$74, MATCH($A57, '5_Exp_total_by_BEA'!$A$2:$A$74, 0)), 0)</f>
      </c>
      <c r="E57" t="str">
        <f>C57*D57</f>
      </c>
    </row>
    <row r="58">
      <c r="A58" t="str">
        <f>'Crosswalk_BEA_to_ISIC'!A64</f>
      </c>
      <c r="B58" t="str">
        <f>'Crosswalk_BEA_to_ISIC'!C64</f>
      </c>
      <c r="C58" t="str">
        <f>'Crosswalk_BEA_to_ISIC'!E64</f>
      </c>
      <c r="D58" t="str">
        <f>IFERROR(INDEX('5_Exp_total_by_BEA'!$B$2:$B$74, MATCH($A58, '5_Exp_total_by_BEA'!$A$2:$A$74, 0)), 0)</f>
      </c>
      <c r="E58" t="str">
        <f>C58*D58</f>
      </c>
    </row>
    <row r="59">
      <c r="A59" t="str">
        <f>'Crosswalk_BEA_to_ISIC'!A65</f>
      </c>
      <c r="B59" t="str">
        <f>'Crosswalk_BEA_to_ISIC'!C65</f>
      </c>
      <c r="C59" t="str">
        <f>'Crosswalk_BEA_to_ISIC'!E65</f>
      </c>
      <c r="D59" t="str">
        <f>IFERROR(INDEX('5_Exp_total_by_BEA'!$B$2:$B$74, MATCH($A59, '5_Exp_total_by_BEA'!$A$2:$A$74, 0)), 0)</f>
      </c>
      <c r="E59" t="str">
        <f>C59*D59</f>
      </c>
    </row>
    <row r="60">
      <c r="A60" t="str">
        <f>'Crosswalk_BEA_to_ISIC'!A66</f>
      </c>
      <c r="B60" t="str">
        <f>'Crosswalk_BEA_to_ISIC'!C66</f>
      </c>
      <c r="C60" t="str">
        <f>'Crosswalk_BEA_to_ISIC'!E66</f>
      </c>
      <c r="D60" t="str">
        <f>IFERROR(INDEX('5_Exp_total_by_BEA'!$B$2:$B$74, MATCH($A60, '5_Exp_total_by_BEA'!$A$2:$A$74, 0)), 0)</f>
      </c>
      <c r="E60" t="str">
        <f>C60*D60</f>
      </c>
    </row>
    <row r="61">
      <c r="A61" t="str">
        <f>'Crosswalk_BEA_to_ISIC'!A67</f>
      </c>
      <c r="B61" t="str">
        <f>'Crosswalk_BEA_to_ISIC'!C67</f>
      </c>
      <c r="C61" t="str">
        <f>'Crosswalk_BEA_to_ISIC'!E67</f>
      </c>
      <c r="D61" t="str">
        <f>IFERROR(INDEX('5_Exp_total_by_BEA'!$B$2:$B$74, MATCH($A61, '5_Exp_total_by_BEA'!$A$2:$A$74, 0)), 0)</f>
      </c>
      <c r="E61" t="str">
        <f>C61*D61</f>
      </c>
    </row>
    <row r="62">
      <c r="A62" t="str">
        <f>'Crosswalk_BEA_to_ISIC'!A68</f>
      </c>
      <c r="B62" t="str">
        <f>'Crosswalk_BEA_to_ISIC'!C68</f>
      </c>
      <c r="C62" t="str">
        <f>'Crosswalk_BEA_to_ISIC'!E68</f>
      </c>
      <c r="D62" t="str">
        <f>IFERROR(INDEX('5_Exp_total_by_BEA'!$B$2:$B$74, MATCH($A62, '5_Exp_total_by_BEA'!$A$2:$A$74, 0)), 0)</f>
      </c>
      <c r="E62" t="str">
        <f>C62*D62</f>
      </c>
    </row>
    <row r="63">
      <c r="A63" t="str">
        <f>'Crosswalk_BEA_to_ISIC'!A69</f>
      </c>
      <c r="B63" t="str">
        <f>'Crosswalk_BEA_to_ISIC'!C69</f>
      </c>
      <c r="C63" t="str">
        <f>'Crosswalk_BEA_to_ISIC'!E69</f>
      </c>
      <c r="D63" t="str">
        <f>IFERROR(INDEX('5_Exp_total_by_BEA'!$B$2:$B$74, MATCH($A63, '5_Exp_total_by_BEA'!$A$2:$A$74, 0)), 0)</f>
      </c>
      <c r="E63" t="str">
        <f>C63*D63</f>
      </c>
    </row>
    <row r="64">
      <c r="A64" t="str">
        <f>'Crosswalk_BEA_to_ISIC'!A70</f>
      </c>
      <c r="B64" t="str">
        <f>'Crosswalk_BEA_to_ISIC'!C70</f>
      </c>
      <c r="C64" t="str">
        <f>'Crosswalk_BEA_to_ISIC'!E70</f>
      </c>
      <c r="D64" t="str">
        <f>IFERROR(INDEX('5_Exp_total_by_BEA'!$B$2:$B$74, MATCH($A64, '5_Exp_total_by_BEA'!$A$2:$A$74, 0)), 0)</f>
      </c>
      <c r="E64" t="str">
        <f>C64*D64</f>
      </c>
    </row>
    <row r="65">
      <c r="A65" t="str">
        <f>'Crosswalk_BEA_to_ISIC'!A71</f>
      </c>
      <c r="B65" t="str">
        <f>'Crosswalk_BEA_to_ISIC'!C71</f>
      </c>
      <c r="C65" t="str">
        <f>'Crosswalk_BEA_to_ISIC'!E71</f>
      </c>
      <c r="D65" t="str">
        <f>IFERROR(INDEX('5_Exp_total_by_BEA'!$B$2:$B$74, MATCH($A65, '5_Exp_total_by_BEA'!$A$2:$A$74, 0)), 0)</f>
      </c>
      <c r="E65" t="str">
        <f>C65*D65</f>
      </c>
    </row>
    <row r="66">
      <c r="A66" t="str">
        <f>'Crosswalk_BEA_to_ISIC'!A72</f>
      </c>
      <c r="B66" t="str">
        <f>'Crosswalk_BEA_to_ISIC'!C72</f>
      </c>
      <c r="C66" t="str">
        <f>'Crosswalk_BEA_to_ISIC'!E72</f>
      </c>
      <c r="D66" t="str">
        <f>IFERROR(INDEX('5_Exp_total_by_BEA'!$B$2:$B$74, MATCH($A66, '5_Exp_total_by_BEA'!$A$2:$A$74, 0)), 0)</f>
      </c>
      <c r="E66" t="str">
        <f>C66*D66</f>
      </c>
    </row>
    <row r="67">
      <c r="A67" t="str">
        <f>'Crosswalk_BEA_to_ISIC'!A73</f>
      </c>
      <c r="B67" t="str">
        <f>'Crosswalk_BEA_to_ISIC'!C73</f>
      </c>
      <c r="C67" t="str">
        <f>'Crosswalk_BEA_to_ISIC'!E73</f>
      </c>
      <c r="D67" t="str">
        <f>IFERROR(INDEX('5_Exp_total_by_BEA'!$B$2:$B$74, MATCH($A67, '5_Exp_total_by_BEA'!$A$2:$A$74, 0)), 0)</f>
      </c>
      <c r="E67" t="str">
        <f>C67*D67</f>
      </c>
    </row>
    <row r="68">
      <c r="A68" t="str">
        <f>'Crosswalk_BEA_to_ISIC'!A74</f>
      </c>
      <c r="B68" t="str">
        <f>'Crosswalk_BEA_to_ISIC'!C74</f>
      </c>
      <c r="C68" t="str">
        <f>'Crosswalk_BEA_to_ISIC'!E74</f>
      </c>
      <c r="D68" t="str">
        <f>IFERROR(INDEX('5_Exp_total_by_BEA'!$B$2:$B$74, MATCH($A68, '5_Exp_total_by_BEA'!$A$2:$A$74, 0)), 0)</f>
      </c>
      <c r="E68" t="str">
        <f>C68*D68</f>
      </c>
    </row>
    <row r="69">
      <c r="A69" t="str">
        <f>'Crosswalk_BEA_to_ISIC'!A75</f>
      </c>
      <c r="B69" t="str">
        <f>'Crosswalk_BEA_to_ISIC'!C75</f>
      </c>
      <c r="C69" t="str">
        <f>'Crosswalk_BEA_to_ISIC'!E75</f>
      </c>
      <c r="D69" t="str">
        <f>IFERROR(INDEX('5_Exp_total_by_BEA'!$B$2:$B$74, MATCH($A69, '5_Exp_total_by_BEA'!$A$2:$A$74, 0)), 0)</f>
      </c>
      <c r="E69" t="str">
        <f>C69*D69</f>
      </c>
    </row>
    <row r="70">
      <c r="A70" t="str">
        <f>'Crosswalk_BEA_to_ISIC'!A76</f>
      </c>
      <c r="B70" t="str">
        <f>'Crosswalk_BEA_to_ISIC'!C76</f>
      </c>
      <c r="C70" t="str">
        <f>'Crosswalk_BEA_to_ISIC'!E76</f>
      </c>
      <c r="D70" t="str">
        <f>IFERROR(INDEX('5_Exp_total_by_BEA'!$B$2:$B$74, MATCH($A70, '5_Exp_total_by_BEA'!$A$2:$A$74, 0)), 0)</f>
      </c>
      <c r="E70" t="str">
        <f>C70*D70</f>
      </c>
    </row>
    <row r="71">
      <c r="A71" t="str">
        <f>'Crosswalk_BEA_to_ISIC'!A77</f>
      </c>
      <c r="B71" t="str">
        <f>'Crosswalk_BEA_to_ISIC'!C77</f>
      </c>
      <c r="C71" t="str">
        <f>'Crosswalk_BEA_to_ISIC'!E77</f>
      </c>
      <c r="D71" t="str">
        <f>IFERROR(INDEX('5_Exp_total_by_BEA'!$B$2:$B$74, MATCH($A71, '5_Exp_total_by_BEA'!$A$2:$A$74, 0)), 0)</f>
      </c>
      <c r="E71" t="str">
        <f>C71*D71</f>
      </c>
    </row>
    <row r="72">
      <c r="A72" t="str">
        <f>'Crosswalk_BEA_to_ISIC'!A78</f>
      </c>
      <c r="B72" t="str">
        <f>'Crosswalk_BEA_to_ISIC'!C78</f>
      </c>
      <c r="C72" t="str">
        <f>'Crosswalk_BEA_to_ISIC'!E78</f>
      </c>
      <c r="D72" t="str">
        <f>IFERROR(INDEX('5_Exp_total_by_BEA'!$B$2:$B$74, MATCH($A72, '5_Exp_total_by_BEA'!$A$2:$A$74, 0)), 0)</f>
      </c>
      <c r="E72" t="str">
        <f>C72*D72</f>
      </c>
    </row>
    <row r="73">
      <c r="A73" t="str">
        <f>'Crosswalk_BEA_to_ISIC'!A79</f>
      </c>
      <c r="B73" t="str">
        <f>'Crosswalk_BEA_to_ISIC'!C79</f>
      </c>
      <c r="C73" t="str">
        <f>'Crosswalk_BEA_to_ISIC'!E79</f>
      </c>
      <c r="D73" t="str">
        <f>IFERROR(INDEX('5_Exp_total_by_BEA'!$B$2:$B$74, MATCH($A73, '5_Exp_total_by_BEA'!$A$2:$A$74, 0)), 0)</f>
      </c>
      <c r="E73" t="str">
        <f>C73*D73</f>
      </c>
    </row>
    <row r="74">
      <c r="A74" t="str">
        <f>'Crosswalk_BEA_to_ISIC'!A80</f>
      </c>
      <c r="B74" t="str">
        <f>'Crosswalk_BEA_to_ISIC'!C80</f>
      </c>
      <c r="C74" t="str">
        <f>'Crosswalk_BEA_to_ISIC'!E80</f>
      </c>
      <c r="D74" t="str">
        <f>IFERROR(INDEX('5_Exp_total_by_BEA'!$B$2:$B$74, MATCH($A74, '5_Exp_total_by_BEA'!$A$2:$A$74, 0)), 0)</f>
      </c>
      <c r="E74" t="str">
        <f>C74*D74</f>
      </c>
    </row>
    <row r="75">
      <c r="A75" t="str">
        <f>'Crosswalk_BEA_to_ISIC'!A81</f>
      </c>
      <c r="B75" t="str">
        <f>'Crosswalk_BEA_to_ISIC'!C81</f>
      </c>
      <c r="C75" t="str">
        <f>'Crosswalk_BEA_to_ISIC'!E81</f>
      </c>
      <c r="D75" t="str">
        <f>IFERROR(INDEX('5_Exp_total_by_BEA'!$B$2:$B$74, MATCH($A75, '5_Exp_total_by_BEA'!$A$2:$A$74, 0)), 0)</f>
      </c>
      <c r="E75" t="str">
        <f>C75*D75</f>
      </c>
    </row>
    <row r="76">
      <c r="A76" t="str">
        <f>'Crosswalk_BEA_to_ISIC'!A82</f>
      </c>
      <c r="B76" t="str">
        <f>'Crosswalk_BEA_to_ISIC'!C82</f>
      </c>
      <c r="C76" t="str">
        <f>'Crosswalk_BEA_to_ISIC'!E82</f>
      </c>
      <c r="D76" t="str">
        <f>IFERROR(INDEX('5_Exp_total_by_BEA'!$B$2:$B$74, MATCH($A76, '5_Exp_total_by_BEA'!$A$2:$A$74, 0)), 0)</f>
      </c>
      <c r="E76" t="str">
        <f>C76*D76</f>
      </c>
    </row>
    <row r="77">
      <c r="A77" t="str">
        <f>'Crosswalk_BEA_to_ISIC'!A83</f>
      </c>
      <c r="B77" t="str">
        <f>'Crosswalk_BEA_to_ISIC'!C83</f>
      </c>
      <c r="C77" t="str">
        <f>'Crosswalk_BEA_to_ISIC'!E83</f>
      </c>
      <c r="D77" t="str">
        <f>IFERROR(INDEX('5_Exp_total_by_BEA'!$B$2:$B$74, MATCH($A77, '5_Exp_total_by_BEA'!$A$2:$A$74, 0)), 0)</f>
      </c>
      <c r="E77" t="str">
        <f>C77*D77</f>
      </c>
    </row>
    <row r="78">
      <c r="A78" t="str">
        <f>'Crosswalk_BEA_to_ISIC'!A84</f>
      </c>
      <c r="B78" t="str">
        <f>'Crosswalk_BEA_to_ISIC'!C84</f>
      </c>
      <c r="C78" t="str">
        <f>'Crosswalk_BEA_to_ISIC'!E84</f>
      </c>
      <c r="D78" t="str">
        <f>IFERROR(INDEX('5_Exp_total_by_BEA'!$B$2:$B$74, MATCH($A78, '5_Exp_total_by_BEA'!$A$2:$A$74, 0)), 0)</f>
      </c>
      <c r="E78" t="str">
        <f>C78*D78</f>
      </c>
    </row>
    <row r="79">
      <c r="A79" t="str">
        <f>'Crosswalk_BEA_to_ISIC'!A85</f>
      </c>
      <c r="B79" t="str">
        <f>'Crosswalk_BEA_to_ISIC'!C85</f>
      </c>
      <c r="C79" t="str">
        <f>'Crosswalk_BEA_to_ISIC'!E85</f>
      </c>
      <c r="D79" t="str">
        <f>IFERROR(INDEX('5_Exp_total_by_BEA'!$B$2:$B$74, MATCH($A79, '5_Exp_total_by_BEA'!$A$2:$A$74, 0)), 0)</f>
      </c>
      <c r="E79" t="str">
        <f>C79*D79</f>
      </c>
    </row>
    <row r="80">
      <c r="A80" t="str">
        <f>'Crosswalk_BEA_to_ISIC'!A86</f>
      </c>
      <c r="B80" t="str">
        <f>'Crosswalk_BEA_to_ISIC'!C86</f>
      </c>
      <c r="C80" t="str">
        <f>'Crosswalk_BEA_to_ISIC'!E86</f>
      </c>
      <c r="D80" t="str">
        <f>IFERROR(INDEX('5_Exp_total_by_BEA'!$B$2:$B$74, MATCH($A80, '5_Exp_total_by_BEA'!$A$2:$A$74, 0)), 0)</f>
      </c>
      <c r="E80" t="str">
        <f>C80*D80</f>
      </c>
    </row>
    <row r="81">
      <c r="A81" t="str">
        <f>'Crosswalk_BEA_to_ISIC'!A87</f>
      </c>
      <c r="B81" t="str">
        <f>'Crosswalk_BEA_to_ISIC'!C87</f>
      </c>
      <c r="C81" t="str">
        <f>'Crosswalk_BEA_to_ISIC'!E87</f>
      </c>
      <c r="D81" t="str">
        <f>IFERROR(INDEX('5_Exp_total_by_BEA'!$B$2:$B$74, MATCH($A81, '5_Exp_total_by_BEA'!$A$2:$A$74, 0)), 0)</f>
      </c>
      <c r="E81" t="str">
        <f>C81*D81</f>
      </c>
    </row>
    <row r="83">
      <c r="A83" t="s">
        <v>592</v>
      </c>
    </row>
    <row r="84">
      <c r="A84" t="s">
        <v>334</v>
      </c>
      <c r="B84" t="s">
        <v>590</v>
      </c>
      <c r="C84" t="s">
        <v>593</v>
      </c>
    </row>
    <row r="85">
      <c r="A85" t="s">
        <v>340</v>
      </c>
      <c r="B85" t="str">
        <f>SUMIFS('8_Calc_Exp_ISIC'!$E$3:$E$81, '8_Calc_Exp_ISIC'!$B$3:$B$81, $A85)</f>
      </c>
      <c r="C85" t="str">
        <f>B85/Keys!$C$2</f>
      </c>
    </row>
    <row r="86">
      <c r="A86" t="s">
        <v>482</v>
      </c>
      <c r="B86" t="str">
        <f>SUMIFS('8_Calc_Exp_ISIC'!$E$3:$E$81, '8_Calc_Exp_ISIC'!$B$3:$B$81, $A86)</f>
      </c>
      <c r="C86" t="str">
        <f>B86/Keys!$C$2</f>
      </c>
    </row>
    <row r="87">
      <c r="A87" t="s">
        <v>344</v>
      </c>
      <c r="B87" t="str">
        <f>SUMIFS('8_Calc_Exp_ISIC'!$E$3:$E$81, '8_Calc_Exp_ISIC'!$B$3:$B$81, $A87)</f>
      </c>
      <c r="C87" t="str">
        <f>B87/Keys!$C$2</f>
      </c>
    </row>
    <row r="88">
      <c r="A88" t="s">
        <v>485</v>
      </c>
      <c r="B88" t="str">
        <f>SUMIFS('8_Calc_Exp_ISIC'!$E$3:$E$81, '8_Calc_Exp_ISIC'!$B$3:$B$81, $A88)</f>
      </c>
      <c r="C88" t="str">
        <f>B88/Keys!$C$2</f>
      </c>
    </row>
    <row r="89">
      <c r="A89" t="s">
        <v>347</v>
      </c>
      <c r="B89" t="str">
        <f>SUMIFS('8_Calc_Exp_ISIC'!$E$3:$E$81, '8_Calc_Exp_ISIC'!$B$3:$B$81, $A89)</f>
      </c>
      <c r="C89" t="str">
        <f>B89/Keys!$C$2</f>
      </c>
    </row>
    <row r="90">
      <c r="A90" t="s">
        <v>362</v>
      </c>
      <c r="B90" t="str">
        <f>SUMIFS('8_Calc_Exp_ISIC'!$E$3:$E$81, '8_Calc_Exp_ISIC'!$B$3:$B$81, $A90)</f>
      </c>
      <c r="C90" t="str">
        <f>B90/Keys!$C$2</f>
      </c>
    </row>
    <row r="91">
      <c r="A91" t="s">
        <v>365</v>
      </c>
      <c r="B91" t="str">
        <f>SUMIFS('8_Calc_Exp_ISIC'!$E$3:$E$81, '8_Calc_Exp_ISIC'!$B$3:$B$81, $A91)</f>
      </c>
      <c r="C91" t="str">
        <f>B91/Keys!$C$2</f>
      </c>
    </row>
    <row r="92">
      <c r="A92" t="s">
        <v>369</v>
      </c>
      <c r="B92" t="str">
        <f>SUMIFS('8_Calc_Exp_ISIC'!$E$3:$E$81, '8_Calc_Exp_ISIC'!$B$3:$B$81, $A92)</f>
      </c>
      <c r="C92" t="str">
        <f>B92/Keys!$C$2</f>
      </c>
    </row>
    <row r="93">
      <c r="A93" t="s">
        <v>372</v>
      </c>
      <c r="B93" t="str">
        <f>SUMIFS('8_Calc_Exp_ISIC'!$E$3:$E$81, '8_Calc_Exp_ISIC'!$B$3:$B$81, $A93)</f>
      </c>
      <c r="C93" t="str">
        <f>B93/Keys!$C$2</f>
      </c>
    </row>
    <row r="94">
      <c r="A94" t="s">
        <v>376</v>
      </c>
      <c r="B94" t="str">
        <f>SUMIFS('8_Calc_Exp_ISIC'!$E$3:$E$81, '8_Calc_Exp_ISIC'!$B$3:$B$81, $A94)</f>
      </c>
      <c r="C94" t="str">
        <f>B94/Keys!$C$2</f>
      </c>
    </row>
    <row r="95">
      <c r="A95" t="s">
        <v>498</v>
      </c>
      <c r="B95" t="str">
        <f>SUMIFS('8_Calc_Exp_ISIC'!$E$3:$E$81, '8_Calc_Exp_ISIC'!$B$3:$B$81, $A95)</f>
      </c>
      <c r="C95" t="str">
        <f>B95/Keys!$C$2</f>
      </c>
    </row>
    <row r="96">
      <c r="A96" t="s">
        <v>501</v>
      </c>
      <c r="B96" t="str">
        <f>SUMIFS('8_Calc_Exp_ISIC'!$E$3:$E$81, '8_Calc_Exp_ISIC'!$B$3:$B$81, $A96)</f>
      </c>
      <c r="C96" t="str">
        <f>B96/Keys!$C$2</f>
      </c>
    </row>
    <row r="97">
      <c r="A97" t="s">
        <v>126</v>
      </c>
      <c r="B97" t="str">
        <f>SUMIFS('8_Calc_Exp_ISIC'!$E$3:$E$81, '8_Calc_Exp_ISIC'!$B$3:$B$81, $A97)</f>
      </c>
      <c r="C97" t="str">
        <f>B97/Keys!$C$2</f>
      </c>
    </row>
    <row r="98">
      <c r="A98" t="s">
        <v>488</v>
      </c>
      <c r="B98" t="str">
        <f>SUMIFS('8_Calc_Exp_ISIC'!$E$3:$E$81, '8_Calc_Exp_ISIC'!$B$3:$B$81, $A98)</f>
      </c>
      <c r="C98" t="str">
        <f>B98/Keys!$C$2</f>
      </c>
    </row>
    <row r="99">
      <c r="A99" t="s">
        <v>491</v>
      </c>
      <c r="B99" t="str">
        <f>SUMIFS('8_Calc_Exp_ISIC'!$E$3:$E$81, '8_Calc_Exp_ISIC'!$B$3:$B$81, $A99)</f>
      </c>
      <c r="C99" t="str">
        <f>B99/Keys!$C$2</f>
      </c>
    </row>
    <row r="100">
      <c r="A100" t="s">
        <v>379</v>
      </c>
      <c r="B100" t="str">
        <f>SUMIFS('8_Calc_Exp_ISIC'!$E$3:$E$81, '8_Calc_Exp_ISIC'!$B$3:$B$81, $A100)</f>
      </c>
      <c r="C100" t="str">
        <f>B100/Keys!$C$2</f>
      </c>
    </row>
    <row r="101">
      <c r="A101" t="s">
        <v>495</v>
      </c>
      <c r="B101" t="str">
        <f>SUMIFS('8_Calc_Exp_ISIC'!$E$3:$E$81, '8_Calc_Exp_ISIC'!$B$3:$B$81, $A101)</f>
      </c>
      <c r="C101" t="str">
        <f>B101/Keys!$C$2</f>
      </c>
    </row>
    <row r="102">
      <c r="A102" t="s">
        <v>385</v>
      </c>
      <c r="B102" t="str">
        <f>SUMIFS('8_Calc_Exp_ISIC'!$E$3:$E$81, '8_Calc_Exp_ISIC'!$B$3:$B$81, $A102)</f>
      </c>
      <c r="C102" t="str">
        <f>B102/Keys!$C$2</f>
      </c>
    </row>
    <row r="103">
      <c r="A103" t="s">
        <v>390</v>
      </c>
      <c r="B103" t="str">
        <f>SUMIFS('8_Calc_Exp_ISIC'!$E$3:$E$81, '8_Calc_Exp_ISIC'!$B$3:$B$81, $A103)</f>
      </c>
      <c r="C103" t="str">
        <f>B103/Keys!$C$2</f>
      </c>
    </row>
    <row r="104">
      <c r="A104" t="s">
        <v>393</v>
      </c>
      <c r="B104" t="str">
        <f>SUMIFS('8_Calc_Exp_ISIC'!$E$3:$E$81, '8_Calc_Exp_ISIC'!$B$3:$B$81, $A104)</f>
      </c>
      <c r="C104" t="str">
        <f>B104/Keys!$C$2</f>
      </c>
    </row>
    <row r="105">
      <c r="A105" t="s">
        <v>387</v>
      </c>
      <c r="B105" t="str">
        <f>SUMIFS('8_Calc_Exp_ISIC'!$E$3:$E$81, '8_Calc_Exp_ISIC'!$B$3:$B$81, $A105)</f>
      </c>
      <c r="C105" t="str">
        <f>B105/Keys!$C$2</f>
      </c>
    </row>
    <row r="106">
      <c r="A106" t="s">
        <v>396</v>
      </c>
      <c r="B106" t="str">
        <f>SUMIFS('8_Calc_Exp_ISIC'!$E$3:$E$81, '8_Calc_Exp_ISIC'!$B$3:$B$81, $A106)</f>
      </c>
      <c r="C106" t="str">
        <f>B106/Keys!$C$2</f>
      </c>
    </row>
    <row r="107">
      <c r="A107" t="s">
        <v>399</v>
      </c>
      <c r="B107" t="str">
        <f>SUMIFS('8_Calc_Exp_ISIC'!$E$3:$E$81, '8_Calc_Exp_ISIC'!$B$3:$B$81, $A107)</f>
      </c>
      <c r="C107" t="str">
        <f>B107/Keys!$C$2</f>
      </c>
    </row>
    <row r="108">
      <c r="A108" t="s">
        <v>402</v>
      </c>
      <c r="B108" t="str">
        <f>SUMIFS('8_Calc_Exp_ISIC'!$E$3:$E$81, '8_Calc_Exp_ISIC'!$B$3:$B$81, $A108)</f>
      </c>
      <c r="C108" t="str">
        <f>B108/Keys!$C$2</f>
      </c>
    </row>
    <row r="109">
      <c r="A109" t="s">
        <v>350</v>
      </c>
      <c r="B109" t="str">
        <f>SUMIFS('8_Calc_Exp_ISIC'!$E$3:$E$81, '8_Calc_Exp_ISIC'!$B$3:$B$81, $A109)</f>
      </c>
      <c r="C109" t="str">
        <f>B109/Keys!$C$2</f>
      </c>
    </row>
    <row r="110">
      <c r="A110" t="s">
        <v>353</v>
      </c>
      <c r="B110" t="str">
        <f>SUMIFS('8_Calc_Exp_ISIC'!$E$3:$E$81, '8_Calc_Exp_ISIC'!$B$3:$B$81, $A110)</f>
      </c>
      <c r="C110" t="str">
        <f>B110/Keys!$C$2</f>
      </c>
    </row>
    <row r="111">
      <c r="A111" t="s">
        <v>356</v>
      </c>
      <c r="B111" t="str">
        <f>SUMIFS('8_Calc_Exp_ISIC'!$E$3:$E$81, '8_Calc_Exp_ISIC'!$B$3:$B$81, $A111)</f>
      </c>
      <c r="C111" t="str">
        <f>B111/Keys!$C$2</f>
      </c>
    </row>
    <row r="112">
      <c r="A112" t="s">
        <v>360</v>
      </c>
      <c r="B112" t="str">
        <f>SUMIFS('8_Calc_Exp_ISIC'!$E$3:$E$81, '8_Calc_Exp_ISIC'!$B$3:$B$81, $A112)</f>
      </c>
      <c r="C112" t="str">
        <f>B112/Keys!$C$2</f>
      </c>
    </row>
    <row r="113">
      <c r="A113" t="s">
        <v>406</v>
      </c>
      <c r="B113" t="str">
        <f>SUMIFS('8_Calc_Exp_ISIC'!$E$3:$E$81, '8_Calc_Exp_ISIC'!$B$3:$B$81, $A113)</f>
      </c>
      <c r="C113" t="str">
        <f>B113/Keys!$C$2</f>
      </c>
    </row>
    <row r="114">
      <c r="A114" t="s">
        <v>413</v>
      </c>
      <c r="B114" t="str">
        <f>SUMIFS('8_Calc_Exp_ISIC'!$E$3:$E$81, '8_Calc_Exp_ISIC'!$B$3:$B$81, $A114)</f>
      </c>
      <c r="C114" t="str">
        <f>B114/Keys!$C$2</f>
      </c>
    </row>
    <row r="115">
      <c r="A115" t="s">
        <v>470</v>
      </c>
      <c r="B115" t="str">
        <f>SUMIFS('8_Calc_Exp_ISIC'!$E$3:$E$81, '8_Calc_Exp_ISIC'!$B$3:$B$81, $A115)</f>
      </c>
      <c r="C115" t="str">
        <f>B115/Keys!$C$2</f>
      </c>
    </row>
    <row r="116">
      <c r="A116" t="s">
        <v>425</v>
      </c>
      <c r="B116" t="str">
        <f>SUMIFS('8_Calc_Exp_ISIC'!$E$3:$E$81, '8_Calc_Exp_ISIC'!$B$3:$B$81, $A116)</f>
      </c>
      <c r="C116" t="str">
        <f>B116/Keys!$C$2</f>
      </c>
    </row>
    <row r="117">
      <c r="A117" t="s">
        <v>177</v>
      </c>
      <c r="B117" t="str">
        <f>SUMIFS('8_Calc_Exp_ISIC'!$E$3:$E$81, '8_Calc_Exp_ISIC'!$B$3:$B$81, $A117)</f>
      </c>
      <c r="C117" t="str">
        <f>B117/Keys!$C$2</f>
      </c>
    </row>
    <row r="118">
      <c r="A118" t="s">
        <v>432</v>
      </c>
      <c r="B118" t="str">
        <f>SUMIFS('8_Calc_Exp_ISIC'!$E$3:$E$81, '8_Calc_Exp_ISIC'!$B$3:$B$81, $A118)</f>
      </c>
      <c r="C118" t="str">
        <f>B118/Keys!$C$2</f>
      </c>
    </row>
    <row r="119">
      <c r="A119" t="s">
        <v>435</v>
      </c>
      <c r="B119" t="str">
        <f>SUMIFS('8_Calc_Exp_ISIC'!$E$3:$E$81, '8_Calc_Exp_ISIC'!$B$3:$B$81, $A119)</f>
      </c>
      <c r="C119" t="str">
        <f>B119/Keys!$C$2</f>
      </c>
    </row>
    <row r="120">
      <c r="A120" t="s">
        <v>441</v>
      </c>
      <c r="B120" t="str">
        <f>SUMIFS('8_Calc_Exp_ISIC'!$E$3:$E$81, '8_Calc_Exp_ISIC'!$B$3:$B$81, $A120)</f>
      </c>
      <c r="C120" t="str">
        <f>B120/Keys!$C$2</f>
      </c>
    </row>
    <row r="121">
      <c r="A121" t="s">
        <v>445</v>
      </c>
      <c r="B121" t="str">
        <f>SUMIFS('8_Calc_Exp_ISIC'!$E$3:$E$81, '8_Calc_Exp_ISIC'!$B$3:$B$81, $A121)</f>
      </c>
      <c r="C121" t="str">
        <f>B121/Keys!$C$2</f>
      </c>
    </row>
    <row r="122">
      <c r="A122" t="s">
        <v>475</v>
      </c>
      <c r="B122" t="str">
        <f>SUMIFS('8_Calc_Exp_ISIC'!$E$3:$E$81, '8_Calc_Exp_ISIC'!$B$3:$B$81, $A122)</f>
      </c>
      <c r="C122" t="str">
        <f>B122/Keys!$C$2</f>
      </c>
    </row>
    <row r="123">
      <c r="A123" t="s">
        <v>457</v>
      </c>
      <c r="B123" t="str">
        <f>SUMIFS('8_Calc_Exp_ISIC'!$E$3:$E$81, '8_Calc_Exp_ISIC'!$B$3:$B$81, $A123)</f>
      </c>
      <c r="C123" t="str">
        <f>B123/Keys!$C$2</f>
      </c>
    </row>
    <row r="124">
      <c r="A124" t="s">
        <v>460</v>
      </c>
      <c r="B124" t="str">
        <f>SUMIFS('8_Calc_Exp_ISIC'!$E$3:$E$81, '8_Calc_Exp_ISIC'!$B$3:$B$81, $A124)</f>
      </c>
      <c r="C124" t="str">
        <f>B124/Keys!$C$2</f>
      </c>
    </row>
    <row r="125">
      <c r="A125" t="s">
        <v>466</v>
      </c>
      <c r="B125" t="str">
        <f>SUMIFS('8_Calc_Exp_ISIC'!$E$3:$E$81, '8_Calc_Exp_ISIC'!$B$3:$B$81, $A125)</f>
      </c>
      <c r="C125" t="str">
        <f>B125/Keys!$C$2</f>
      </c>
    </row>
    <row r="126">
      <c r="A126" t="s">
        <v>583</v>
      </c>
      <c r="B126" t="str">
        <f>SUMIFS('8_Calc_Exp_ISIC'!$E$3:$E$81, '8_Calc_Exp_ISIC'!$B$3:$B$81, $A126)</f>
      </c>
      <c r="C126" t="str">
        <f>B126/Keys!$C$2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8.71" hidden="0" customWidth="1"/>
  </cols>
  <sheetData>
    <row r="1">
      <c r="A1" t="s">
        <v>334</v>
      </c>
      <c r="B1" t="s">
        <v>594</v>
      </c>
    </row>
    <row r="2">
      <c r="A2" t="s">
        <v>340</v>
      </c>
      <c r="B2" t="n">
        <v>6414207939.65078</v>
      </c>
    </row>
    <row r="3">
      <c r="A3" t="s">
        <v>482</v>
      </c>
      <c r="B3" t="n">
        <v>317693004.682515</v>
      </c>
    </row>
    <row r="4">
      <c r="A4" t="s">
        <v>344</v>
      </c>
      <c r="B4" t="n">
        <v>15618884327.9319</v>
      </c>
    </row>
    <row r="5">
      <c r="A5" t="s">
        <v>485</v>
      </c>
      <c r="B5" t="n">
        <v>1660482446.2802</v>
      </c>
    </row>
    <row r="6">
      <c r="A6" t="s">
        <v>347</v>
      </c>
      <c r="B6" t="n">
        <v>6632237774.08635</v>
      </c>
    </row>
    <row r="7">
      <c r="A7" t="s">
        <v>362</v>
      </c>
      <c r="B7" t="n">
        <v>13387963646.5256</v>
      </c>
    </row>
    <row r="8">
      <c r="A8" t="s">
        <v>365</v>
      </c>
      <c r="B8" t="n">
        <v>275920036.849021</v>
      </c>
    </row>
    <row r="9">
      <c r="A9" t="s">
        <v>369</v>
      </c>
      <c r="B9" t="n">
        <v>940855676.401911</v>
      </c>
    </row>
    <row r="10">
      <c r="A10" t="s">
        <v>372</v>
      </c>
      <c r="B10" t="n">
        <v>1244912122.31036</v>
      </c>
    </row>
    <row r="11">
      <c r="A11" t="s">
        <v>376</v>
      </c>
      <c r="B11" t="n">
        <v>3321275978.45282</v>
      </c>
    </row>
    <row r="12">
      <c r="A12" t="s">
        <v>498</v>
      </c>
      <c r="B12" t="n">
        <v>2428732409.28631</v>
      </c>
    </row>
    <row r="13">
      <c r="A13" t="s">
        <v>501</v>
      </c>
      <c r="B13" t="n">
        <v>1040885318.26556</v>
      </c>
    </row>
    <row r="14">
      <c r="A14" t="s">
        <v>126</v>
      </c>
      <c r="B14" t="n">
        <v>2230787838.26997</v>
      </c>
    </row>
    <row r="15">
      <c r="A15" t="s">
        <v>488</v>
      </c>
      <c r="B15" t="n">
        <v>275203900.183851</v>
      </c>
    </row>
    <row r="16">
      <c r="A16" t="s">
        <v>491</v>
      </c>
      <c r="B16" t="n">
        <v>2476835101.65466</v>
      </c>
    </row>
    <row r="17">
      <c r="A17" t="s">
        <v>379</v>
      </c>
      <c r="B17" t="n">
        <v>912316807.889109</v>
      </c>
    </row>
    <row r="18">
      <c r="A18" t="s">
        <v>495</v>
      </c>
      <c r="B18" t="n">
        <v>777530373.799973</v>
      </c>
    </row>
    <row r="19">
      <c r="A19" t="s">
        <v>385</v>
      </c>
      <c r="B19" t="n">
        <v>3770046805.09075</v>
      </c>
    </row>
    <row r="20">
      <c r="A20" t="s">
        <v>390</v>
      </c>
      <c r="B20" t="n">
        <v>5964756398.09813</v>
      </c>
    </row>
    <row r="21">
      <c r="A21" t="s">
        <v>393</v>
      </c>
      <c r="B21" t="n">
        <v>598047530.126605</v>
      </c>
    </row>
    <row r="22">
      <c r="A22" t="s">
        <v>387</v>
      </c>
      <c r="B22" t="n">
        <v>3243722941.98318</v>
      </c>
    </row>
    <row r="23">
      <c r="A23" t="s">
        <v>396</v>
      </c>
      <c r="B23" t="n">
        <v>746912969.279309</v>
      </c>
    </row>
    <row r="24">
      <c r="A24" t="s">
        <v>399</v>
      </c>
      <c r="B24" t="n">
        <v>4021138674.16849</v>
      </c>
    </row>
    <row r="25">
      <c r="A25" t="s">
        <v>402</v>
      </c>
      <c r="B25" t="n">
        <v>4387417690.51634</v>
      </c>
    </row>
    <row r="26">
      <c r="A26" t="s">
        <v>350</v>
      </c>
      <c r="B26" t="n">
        <v>4528804586.6562</v>
      </c>
    </row>
    <row r="27">
      <c r="A27" t="s">
        <v>353</v>
      </c>
      <c r="B27" t="n">
        <v>3396933588.47464</v>
      </c>
    </row>
    <row r="28">
      <c r="A28" t="s">
        <v>356</v>
      </c>
      <c r="B28" t="n">
        <v>2703268027.48009</v>
      </c>
    </row>
    <row r="29">
      <c r="A29" t="s">
        <v>360</v>
      </c>
      <c r="B29" t="n">
        <v>39892511905.4433</v>
      </c>
    </row>
    <row r="30">
      <c r="A30" t="s">
        <v>406</v>
      </c>
      <c r="B30" t="n">
        <v>65577276367.2354</v>
      </c>
    </row>
    <row r="31">
      <c r="A31" t="s">
        <v>413</v>
      </c>
      <c r="B31" t="n">
        <v>20534603423.3151</v>
      </c>
    </row>
    <row r="32">
      <c r="A32" t="s">
        <v>470</v>
      </c>
      <c r="B32" t="n">
        <v>22585562533.4214</v>
      </c>
    </row>
    <row r="33">
      <c r="A33" t="s">
        <v>425</v>
      </c>
      <c r="B33" t="n">
        <v>14214262089.9677</v>
      </c>
    </row>
    <row r="34">
      <c r="A34" t="s">
        <v>177</v>
      </c>
      <c r="B34" t="n">
        <v>12222717331.7613</v>
      </c>
    </row>
    <row r="35">
      <c r="A35" t="s">
        <v>432</v>
      </c>
      <c r="B35" t="n">
        <v>21818084599.3908</v>
      </c>
    </row>
    <row r="36">
      <c r="A36" t="s">
        <v>435</v>
      </c>
      <c r="B36" t="n">
        <v>36469431713.5688</v>
      </c>
    </row>
    <row r="37">
      <c r="A37" t="s">
        <v>441</v>
      </c>
      <c r="B37" t="n">
        <v>70506968230.4088</v>
      </c>
    </row>
    <row r="38">
      <c r="A38" t="s">
        <v>445</v>
      </c>
      <c r="B38" t="n">
        <v>73176149620.9621</v>
      </c>
    </row>
    <row r="39">
      <c r="A39" t="s">
        <v>475</v>
      </c>
      <c r="B39" t="n">
        <v>65377210394.2256</v>
      </c>
    </row>
    <row r="40">
      <c r="A40" t="s">
        <v>457</v>
      </c>
      <c r="B40" t="n">
        <v>4482624194.644</v>
      </c>
    </row>
    <row r="41">
      <c r="A41" t="s">
        <v>460</v>
      </c>
      <c r="B41" t="n">
        <v>34979898945.9962</v>
      </c>
    </row>
    <row r="42">
      <c r="A42" t="s">
        <v>466</v>
      </c>
      <c r="B42" t="n">
        <v>22626893198.0966</v>
      </c>
    </row>
    <row r="43">
      <c r="A43" t="s">
        <v>583</v>
      </c>
      <c r="B43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sheetData>
    <row r="1">
      <c r="A1" t="s">
        <v>334</v>
      </c>
      <c r="B1" t="s">
        <v>595</v>
      </c>
      <c r="C1" t="s">
        <v>338</v>
      </c>
    </row>
    <row r="2">
      <c r="A2" t="s">
        <v>482</v>
      </c>
      <c r="B2" t="n">
        <v>0.728422770863089</v>
      </c>
      <c r="C2" t="s">
        <v>596</v>
      </c>
    </row>
    <row r="3">
      <c r="A3" t="s">
        <v>344</v>
      </c>
      <c r="B3" t="n">
        <v>1</v>
      </c>
      <c r="C3" t="s">
        <v>597</v>
      </c>
    </row>
    <row r="4">
      <c r="A4" t="s">
        <v>350</v>
      </c>
      <c r="B4" t="n">
        <v>0.938518426779427</v>
      </c>
      <c r="C4" t="s">
        <v>598</v>
      </c>
    </row>
    <row r="5">
      <c r="A5" t="s">
        <v>356</v>
      </c>
      <c r="B5" t="n">
        <v>1</v>
      </c>
      <c r="C5" t="s">
        <v>599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sheetData>
    <row r="1">
      <c r="A1" t="s">
        <v>334</v>
      </c>
      <c r="B1" t="s">
        <v>600</v>
      </c>
      <c r="C1" t="s">
        <v>338</v>
      </c>
    </row>
    <row r="2">
      <c r="A2" t="s">
        <v>356</v>
      </c>
      <c r="B2" t="n">
        <v>0</v>
      </c>
      <c r="C2" t="s">
        <v>601</v>
      </c>
    </row>
    <row r="3">
      <c r="A3" t="s">
        <v>350</v>
      </c>
      <c r="B3" t="n">
        <v>0</v>
      </c>
      <c r="C3" t="s">
        <v>602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topLeftCell="A3" activePane="bottomLeft" state="frozen"/>
      <selection pane="bottomLeft"/>
    </sheetView>
  </sheetViews>
  <sheetFormatPr defaultRowHeight="15.0" baseColWidth="10"/>
  <cols>
    <col min="1" max="1" width="14.71" hidden="0" customWidth="1"/>
    <col min="2" max="2" width="20.71" hidden="0" customWidth="1"/>
    <col min="3" max="3" width="20.71" hidden="0" customWidth="1"/>
    <col min="4" max="4" width="26.71" hidden="0" customWidth="1"/>
    <col min="5" max="5" width="16.71" hidden="0" customWidth="1"/>
    <col min="6" max="6" width="24.71" hidden="0" customWidth="1"/>
  </cols>
  <sheetData>
    <row r="1">
      <c r="A1" t="s">
        <v>603</v>
      </c>
    </row>
    <row r="2">
      <c r="A2" t="s">
        <v>334</v>
      </c>
      <c r="B2" t="s">
        <v>604</v>
      </c>
      <c r="C2" t="s">
        <v>605</v>
      </c>
      <c r="D2" t="s">
        <v>606</v>
      </c>
      <c r="E2" t="s">
        <v>607</v>
      </c>
      <c r="F2" t="s">
        <v>608</v>
      </c>
    </row>
    <row r="3">
      <c r="A3" t="s">
        <v>340</v>
      </c>
      <c r="B3" t="str">
        <f>IFERROR(INDEX('6_Calc_DCS_num_ISIC'!$C$85:$C$126, MATCH($A3, '6_Calc_DCS_num_ISIC'!$A$85:$A$126, 0)), 0)</f>
      </c>
      <c r="C3" t="str">
        <f>IFERROR(INDEX('7_Calc_DCS_den_ISIC'!$C$85:$C$126, MATCH($A3, '7_Calc_DCS_den_ISIC'!$A$85:$A$126, 0)), 0)</f>
      </c>
      <c r="D3" t="str">
        <f>B3/MAX(C3, Keys!$C$4)</f>
      </c>
      <c r="E3" t="str">
        <f>MIN(1, MAX(0, D3))</f>
      </c>
      <c r="F3" t="str">
        <f>IFERROR(INDEX('9b_DCS_overrides'!$B$2:$B$5, MATCH($A3, '9b_DCS_overrides'!$A$2:$A$5, 0)), E3)</f>
      </c>
    </row>
    <row r="4">
      <c r="A4" t="s">
        <v>482</v>
      </c>
      <c r="B4" t="str">
        <f>IFERROR(INDEX('6_Calc_DCS_num_ISIC'!$C$85:$C$126, MATCH($A4, '6_Calc_DCS_num_ISIC'!$A$85:$A$126, 0)), 0)</f>
      </c>
      <c r="C4" t="str">
        <f>IFERROR(INDEX('7_Calc_DCS_den_ISIC'!$C$85:$C$126, MATCH($A4, '7_Calc_DCS_den_ISIC'!$A$85:$A$126, 0)), 0)</f>
      </c>
      <c r="D4" t="str">
        <f>B4/MAX(C4, Keys!$C$4)</f>
      </c>
      <c r="E4" t="str">
        <f>MIN(1, MAX(0, D4))</f>
      </c>
      <c r="F4" t="str">
        <f>IFERROR(INDEX('9b_DCS_overrides'!$B$2:$B$5, MATCH($A4, '9b_DCS_overrides'!$A$2:$A$5, 0)), E4)</f>
      </c>
    </row>
    <row r="5">
      <c r="A5" t="s">
        <v>344</v>
      </c>
      <c r="B5" t="str">
        <f>IFERROR(INDEX('6_Calc_DCS_num_ISIC'!$C$85:$C$126, MATCH($A5, '6_Calc_DCS_num_ISIC'!$A$85:$A$126, 0)), 0)</f>
      </c>
      <c r="C5" t="str">
        <f>IFERROR(INDEX('7_Calc_DCS_den_ISIC'!$C$85:$C$126, MATCH($A5, '7_Calc_DCS_den_ISIC'!$A$85:$A$126, 0)), 0)</f>
      </c>
      <c r="D5" t="str">
        <f>B5/MAX(C5, Keys!$C$4)</f>
      </c>
      <c r="E5" t="str">
        <f>MIN(1, MAX(0, D5))</f>
      </c>
      <c r="F5" t="str">
        <f>IFERROR(INDEX('9b_DCS_overrides'!$B$2:$B$5, MATCH($A5, '9b_DCS_overrides'!$A$2:$A$5, 0)), E5)</f>
      </c>
    </row>
    <row r="6">
      <c r="A6" t="s">
        <v>485</v>
      </c>
      <c r="B6" t="str">
        <f>IFERROR(INDEX('6_Calc_DCS_num_ISIC'!$C$85:$C$126, MATCH($A6, '6_Calc_DCS_num_ISIC'!$A$85:$A$126, 0)), 0)</f>
      </c>
      <c r="C6" t="str">
        <f>IFERROR(INDEX('7_Calc_DCS_den_ISIC'!$C$85:$C$126, MATCH($A6, '7_Calc_DCS_den_ISIC'!$A$85:$A$126, 0)), 0)</f>
      </c>
      <c r="D6" t="str">
        <f>B6/MAX(C6, Keys!$C$4)</f>
      </c>
      <c r="E6" t="str">
        <f>MIN(1, MAX(0, D6))</f>
      </c>
      <c r="F6" t="str">
        <f>IFERROR(INDEX('9b_DCS_overrides'!$B$2:$B$5, MATCH($A6, '9b_DCS_overrides'!$A$2:$A$5, 0)), E6)</f>
      </c>
    </row>
    <row r="7">
      <c r="A7" t="s">
        <v>347</v>
      </c>
      <c r="B7" t="str">
        <f>IFERROR(INDEX('6_Calc_DCS_num_ISIC'!$C$85:$C$126, MATCH($A7, '6_Calc_DCS_num_ISIC'!$A$85:$A$126, 0)), 0)</f>
      </c>
      <c r="C7" t="str">
        <f>IFERROR(INDEX('7_Calc_DCS_den_ISIC'!$C$85:$C$126, MATCH($A7, '7_Calc_DCS_den_ISIC'!$A$85:$A$126, 0)), 0)</f>
      </c>
      <c r="D7" t="str">
        <f>B7/MAX(C7, Keys!$C$4)</f>
      </c>
      <c r="E7" t="str">
        <f>MIN(1, MAX(0, D7))</f>
      </c>
      <c r="F7" t="str">
        <f>IFERROR(INDEX('9b_DCS_overrides'!$B$2:$B$5, MATCH($A7, '9b_DCS_overrides'!$A$2:$A$5, 0)), E7)</f>
      </c>
    </row>
    <row r="8">
      <c r="A8" t="s">
        <v>362</v>
      </c>
      <c r="B8" t="str">
        <f>IFERROR(INDEX('6_Calc_DCS_num_ISIC'!$C$85:$C$126, MATCH($A8, '6_Calc_DCS_num_ISIC'!$A$85:$A$126, 0)), 0)</f>
      </c>
      <c r="C8" t="str">
        <f>IFERROR(INDEX('7_Calc_DCS_den_ISIC'!$C$85:$C$126, MATCH($A8, '7_Calc_DCS_den_ISIC'!$A$85:$A$126, 0)), 0)</f>
      </c>
      <c r="D8" t="str">
        <f>B8/MAX(C8, Keys!$C$4)</f>
      </c>
      <c r="E8" t="str">
        <f>MIN(1, MAX(0, D8))</f>
      </c>
      <c r="F8" t="str">
        <f>IFERROR(INDEX('9b_DCS_overrides'!$B$2:$B$5, MATCH($A8, '9b_DCS_overrides'!$A$2:$A$5, 0)), E8)</f>
      </c>
    </row>
    <row r="9">
      <c r="A9" t="s">
        <v>365</v>
      </c>
      <c r="B9" t="str">
        <f>IFERROR(INDEX('6_Calc_DCS_num_ISIC'!$C$85:$C$126, MATCH($A9, '6_Calc_DCS_num_ISIC'!$A$85:$A$126, 0)), 0)</f>
      </c>
      <c r="C9" t="str">
        <f>IFERROR(INDEX('7_Calc_DCS_den_ISIC'!$C$85:$C$126, MATCH($A9, '7_Calc_DCS_den_ISIC'!$A$85:$A$126, 0)), 0)</f>
      </c>
      <c r="D9" t="str">
        <f>B9/MAX(C9, Keys!$C$4)</f>
      </c>
      <c r="E9" t="str">
        <f>MIN(1, MAX(0, D9))</f>
      </c>
      <c r="F9" t="str">
        <f>IFERROR(INDEX('9b_DCS_overrides'!$B$2:$B$5, MATCH($A9, '9b_DCS_overrides'!$A$2:$A$5, 0)), E9)</f>
      </c>
    </row>
    <row r="10">
      <c r="A10" t="s">
        <v>369</v>
      </c>
      <c r="B10" t="str">
        <f>IFERROR(INDEX('6_Calc_DCS_num_ISIC'!$C$85:$C$126, MATCH($A10, '6_Calc_DCS_num_ISIC'!$A$85:$A$126, 0)), 0)</f>
      </c>
      <c r="C10" t="str">
        <f>IFERROR(INDEX('7_Calc_DCS_den_ISIC'!$C$85:$C$126, MATCH($A10, '7_Calc_DCS_den_ISIC'!$A$85:$A$126, 0)), 0)</f>
      </c>
      <c r="D10" t="str">
        <f>B10/MAX(C10, Keys!$C$4)</f>
      </c>
      <c r="E10" t="str">
        <f>MIN(1, MAX(0, D10))</f>
      </c>
      <c r="F10" t="str">
        <f>IFERROR(INDEX('9b_DCS_overrides'!$B$2:$B$5, MATCH($A10, '9b_DCS_overrides'!$A$2:$A$5, 0)), E10)</f>
      </c>
    </row>
    <row r="11">
      <c r="A11" t="s">
        <v>372</v>
      </c>
      <c r="B11" t="str">
        <f>IFERROR(INDEX('6_Calc_DCS_num_ISIC'!$C$85:$C$126, MATCH($A11, '6_Calc_DCS_num_ISIC'!$A$85:$A$126, 0)), 0)</f>
      </c>
      <c r="C11" t="str">
        <f>IFERROR(INDEX('7_Calc_DCS_den_ISIC'!$C$85:$C$126, MATCH($A11, '7_Calc_DCS_den_ISIC'!$A$85:$A$126, 0)), 0)</f>
      </c>
      <c r="D11" t="str">
        <f>B11/MAX(C11, Keys!$C$4)</f>
      </c>
      <c r="E11" t="str">
        <f>MIN(1, MAX(0, D11))</f>
      </c>
      <c r="F11" t="str">
        <f>IFERROR(INDEX('9b_DCS_overrides'!$B$2:$B$5, MATCH($A11, '9b_DCS_overrides'!$A$2:$A$5, 0)), E11)</f>
      </c>
    </row>
    <row r="12">
      <c r="A12" t="s">
        <v>376</v>
      </c>
      <c r="B12" t="str">
        <f>IFERROR(INDEX('6_Calc_DCS_num_ISIC'!$C$85:$C$126, MATCH($A12, '6_Calc_DCS_num_ISIC'!$A$85:$A$126, 0)), 0)</f>
      </c>
      <c r="C12" t="str">
        <f>IFERROR(INDEX('7_Calc_DCS_den_ISIC'!$C$85:$C$126, MATCH($A12, '7_Calc_DCS_den_ISIC'!$A$85:$A$126, 0)), 0)</f>
      </c>
      <c r="D12" t="str">
        <f>B12/MAX(C12, Keys!$C$4)</f>
      </c>
      <c r="E12" t="str">
        <f>MIN(1, MAX(0, D12))</f>
      </c>
      <c r="F12" t="str">
        <f>IFERROR(INDEX('9b_DCS_overrides'!$B$2:$B$5, MATCH($A12, '9b_DCS_overrides'!$A$2:$A$5, 0)), E12)</f>
      </c>
    </row>
    <row r="13">
      <c r="A13" t="s">
        <v>498</v>
      </c>
      <c r="B13" t="str">
        <f>IFERROR(INDEX('6_Calc_DCS_num_ISIC'!$C$85:$C$126, MATCH($A13, '6_Calc_DCS_num_ISIC'!$A$85:$A$126, 0)), 0)</f>
      </c>
      <c r="C13" t="str">
        <f>IFERROR(INDEX('7_Calc_DCS_den_ISIC'!$C$85:$C$126, MATCH($A13, '7_Calc_DCS_den_ISIC'!$A$85:$A$126, 0)), 0)</f>
      </c>
      <c r="D13" t="str">
        <f>B13/MAX(C13, Keys!$C$4)</f>
      </c>
      <c r="E13" t="str">
        <f>MIN(1, MAX(0, D13))</f>
      </c>
      <c r="F13" t="str">
        <f>IFERROR(INDEX('9b_DCS_overrides'!$B$2:$B$5, MATCH($A13, '9b_DCS_overrides'!$A$2:$A$5, 0)), E13)</f>
      </c>
    </row>
    <row r="14">
      <c r="A14" t="s">
        <v>501</v>
      </c>
      <c r="B14" t="str">
        <f>IFERROR(INDEX('6_Calc_DCS_num_ISIC'!$C$85:$C$126, MATCH($A14, '6_Calc_DCS_num_ISIC'!$A$85:$A$126, 0)), 0)</f>
      </c>
      <c r="C14" t="str">
        <f>IFERROR(INDEX('7_Calc_DCS_den_ISIC'!$C$85:$C$126, MATCH($A14, '7_Calc_DCS_den_ISIC'!$A$85:$A$126, 0)), 0)</f>
      </c>
      <c r="D14" t="str">
        <f>B14/MAX(C14, Keys!$C$4)</f>
      </c>
      <c r="E14" t="str">
        <f>MIN(1, MAX(0, D14))</f>
      </c>
      <c r="F14" t="str">
        <f>IFERROR(INDEX('9b_DCS_overrides'!$B$2:$B$5, MATCH($A14, '9b_DCS_overrides'!$A$2:$A$5, 0)), E14)</f>
      </c>
    </row>
    <row r="15">
      <c r="A15" t="s">
        <v>126</v>
      </c>
      <c r="B15" t="str">
        <f>IFERROR(INDEX('6_Calc_DCS_num_ISIC'!$C$85:$C$126, MATCH($A15, '6_Calc_DCS_num_ISIC'!$A$85:$A$126, 0)), 0)</f>
      </c>
      <c r="C15" t="str">
        <f>IFERROR(INDEX('7_Calc_DCS_den_ISIC'!$C$85:$C$126, MATCH($A15, '7_Calc_DCS_den_ISIC'!$A$85:$A$126, 0)), 0)</f>
      </c>
      <c r="D15" t="str">
        <f>B15/MAX(C15, Keys!$C$4)</f>
      </c>
      <c r="E15" t="str">
        <f>MIN(1, MAX(0, D15))</f>
      </c>
      <c r="F15" t="str">
        <f>IFERROR(INDEX('9b_DCS_overrides'!$B$2:$B$5, MATCH($A15, '9b_DCS_overrides'!$A$2:$A$5, 0)), E15)</f>
      </c>
    </row>
    <row r="16">
      <c r="A16" t="s">
        <v>488</v>
      </c>
      <c r="B16" t="str">
        <f>IFERROR(INDEX('6_Calc_DCS_num_ISIC'!$C$85:$C$126, MATCH($A16, '6_Calc_DCS_num_ISIC'!$A$85:$A$126, 0)), 0)</f>
      </c>
      <c r="C16" t="str">
        <f>IFERROR(INDEX('7_Calc_DCS_den_ISIC'!$C$85:$C$126, MATCH($A16, '7_Calc_DCS_den_ISIC'!$A$85:$A$126, 0)), 0)</f>
      </c>
      <c r="D16" t="str">
        <f>B16/MAX(C16, Keys!$C$4)</f>
      </c>
      <c r="E16" t="str">
        <f>MIN(1, MAX(0, D16))</f>
      </c>
      <c r="F16" t="str">
        <f>IFERROR(INDEX('9b_DCS_overrides'!$B$2:$B$5, MATCH($A16, '9b_DCS_overrides'!$A$2:$A$5, 0)), E16)</f>
      </c>
    </row>
    <row r="17">
      <c r="A17" t="s">
        <v>491</v>
      </c>
      <c r="B17" t="str">
        <f>IFERROR(INDEX('6_Calc_DCS_num_ISIC'!$C$85:$C$126, MATCH($A17, '6_Calc_DCS_num_ISIC'!$A$85:$A$126, 0)), 0)</f>
      </c>
      <c r="C17" t="str">
        <f>IFERROR(INDEX('7_Calc_DCS_den_ISIC'!$C$85:$C$126, MATCH($A17, '7_Calc_DCS_den_ISIC'!$A$85:$A$126, 0)), 0)</f>
      </c>
      <c r="D17" t="str">
        <f>B17/MAX(C17, Keys!$C$4)</f>
      </c>
      <c r="E17" t="str">
        <f>MIN(1, MAX(0, D17))</f>
      </c>
      <c r="F17" t="str">
        <f>IFERROR(INDEX('9b_DCS_overrides'!$B$2:$B$5, MATCH($A17, '9b_DCS_overrides'!$A$2:$A$5, 0)), E17)</f>
      </c>
    </row>
    <row r="18">
      <c r="A18" t="s">
        <v>379</v>
      </c>
      <c r="B18" t="str">
        <f>IFERROR(INDEX('6_Calc_DCS_num_ISIC'!$C$85:$C$126, MATCH($A18, '6_Calc_DCS_num_ISIC'!$A$85:$A$126, 0)), 0)</f>
      </c>
      <c r="C18" t="str">
        <f>IFERROR(INDEX('7_Calc_DCS_den_ISIC'!$C$85:$C$126, MATCH($A18, '7_Calc_DCS_den_ISIC'!$A$85:$A$126, 0)), 0)</f>
      </c>
      <c r="D18" t="str">
        <f>B18/MAX(C18, Keys!$C$4)</f>
      </c>
      <c r="E18" t="str">
        <f>MIN(1, MAX(0, D18))</f>
      </c>
      <c r="F18" t="str">
        <f>IFERROR(INDEX('9b_DCS_overrides'!$B$2:$B$5, MATCH($A18, '9b_DCS_overrides'!$A$2:$A$5, 0)), E18)</f>
      </c>
    </row>
    <row r="19">
      <c r="A19" t="s">
        <v>495</v>
      </c>
      <c r="B19" t="str">
        <f>IFERROR(INDEX('6_Calc_DCS_num_ISIC'!$C$85:$C$126, MATCH($A19, '6_Calc_DCS_num_ISIC'!$A$85:$A$126, 0)), 0)</f>
      </c>
      <c r="C19" t="str">
        <f>IFERROR(INDEX('7_Calc_DCS_den_ISIC'!$C$85:$C$126, MATCH($A19, '7_Calc_DCS_den_ISIC'!$A$85:$A$126, 0)), 0)</f>
      </c>
      <c r="D19" t="str">
        <f>B19/MAX(C19, Keys!$C$4)</f>
      </c>
      <c r="E19" t="str">
        <f>MIN(1, MAX(0, D19))</f>
      </c>
      <c r="F19" t="str">
        <f>IFERROR(INDEX('9b_DCS_overrides'!$B$2:$B$5, MATCH($A19, '9b_DCS_overrides'!$A$2:$A$5, 0)), E19)</f>
      </c>
    </row>
    <row r="20">
      <c r="A20" t="s">
        <v>385</v>
      </c>
      <c r="B20" t="str">
        <f>IFERROR(INDEX('6_Calc_DCS_num_ISIC'!$C$85:$C$126, MATCH($A20, '6_Calc_DCS_num_ISIC'!$A$85:$A$126, 0)), 0)</f>
      </c>
      <c r="C20" t="str">
        <f>IFERROR(INDEX('7_Calc_DCS_den_ISIC'!$C$85:$C$126, MATCH($A20, '7_Calc_DCS_den_ISIC'!$A$85:$A$126, 0)), 0)</f>
      </c>
      <c r="D20" t="str">
        <f>B20/MAX(C20, Keys!$C$4)</f>
      </c>
      <c r="E20" t="str">
        <f>MIN(1, MAX(0, D20))</f>
      </c>
      <c r="F20" t="str">
        <f>IFERROR(INDEX('9b_DCS_overrides'!$B$2:$B$5, MATCH($A20, '9b_DCS_overrides'!$A$2:$A$5, 0)), E20)</f>
      </c>
    </row>
    <row r="21">
      <c r="A21" t="s">
        <v>390</v>
      </c>
      <c r="B21" t="str">
        <f>IFERROR(INDEX('6_Calc_DCS_num_ISIC'!$C$85:$C$126, MATCH($A21, '6_Calc_DCS_num_ISIC'!$A$85:$A$126, 0)), 0)</f>
      </c>
      <c r="C21" t="str">
        <f>IFERROR(INDEX('7_Calc_DCS_den_ISIC'!$C$85:$C$126, MATCH($A21, '7_Calc_DCS_den_ISIC'!$A$85:$A$126, 0)), 0)</f>
      </c>
      <c r="D21" t="str">
        <f>B21/MAX(C21, Keys!$C$4)</f>
      </c>
      <c r="E21" t="str">
        <f>MIN(1, MAX(0, D21))</f>
      </c>
      <c r="F21" t="str">
        <f>IFERROR(INDEX('9b_DCS_overrides'!$B$2:$B$5, MATCH($A21, '9b_DCS_overrides'!$A$2:$A$5, 0)), E21)</f>
      </c>
    </row>
    <row r="22">
      <c r="A22" t="s">
        <v>393</v>
      </c>
      <c r="B22" t="str">
        <f>IFERROR(INDEX('6_Calc_DCS_num_ISIC'!$C$85:$C$126, MATCH($A22, '6_Calc_DCS_num_ISIC'!$A$85:$A$126, 0)), 0)</f>
      </c>
      <c r="C22" t="str">
        <f>IFERROR(INDEX('7_Calc_DCS_den_ISIC'!$C$85:$C$126, MATCH($A22, '7_Calc_DCS_den_ISIC'!$A$85:$A$126, 0)), 0)</f>
      </c>
      <c r="D22" t="str">
        <f>B22/MAX(C22, Keys!$C$4)</f>
      </c>
      <c r="E22" t="str">
        <f>MIN(1, MAX(0, D22))</f>
      </c>
      <c r="F22" t="str">
        <f>IFERROR(INDEX('9b_DCS_overrides'!$B$2:$B$5, MATCH($A22, '9b_DCS_overrides'!$A$2:$A$5, 0)), E22)</f>
      </c>
    </row>
    <row r="23">
      <c r="A23" t="s">
        <v>387</v>
      </c>
      <c r="B23" t="str">
        <f>IFERROR(INDEX('6_Calc_DCS_num_ISIC'!$C$85:$C$126, MATCH($A23, '6_Calc_DCS_num_ISIC'!$A$85:$A$126, 0)), 0)</f>
      </c>
      <c r="C23" t="str">
        <f>IFERROR(INDEX('7_Calc_DCS_den_ISIC'!$C$85:$C$126, MATCH($A23, '7_Calc_DCS_den_ISIC'!$A$85:$A$126, 0)), 0)</f>
      </c>
      <c r="D23" t="str">
        <f>B23/MAX(C23, Keys!$C$4)</f>
      </c>
      <c r="E23" t="str">
        <f>MIN(1, MAX(0, D23))</f>
      </c>
      <c r="F23" t="str">
        <f>IFERROR(INDEX('9b_DCS_overrides'!$B$2:$B$5, MATCH($A23, '9b_DCS_overrides'!$A$2:$A$5, 0)), E23)</f>
      </c>
    </row>
    <row r="24">
      <c r="A24" t="s">
        <v>396</v>
      </c>
      <c r="B24" t="str">
        <f>IFERROR(INDEX('6_Calc_DCS_num_ISIC'!$C$85:$C$126, MATCH($A24, '6_Calc_DCS_num_ISIC'!$A$85:$A$126, 0)), 0)</f>
      </c>
      <c r="C24" t="str">
        <f>IFERROR(INDEX('7_Calc_DCS_den_ISIC'!$C$85:$C$126, MATCH($A24, '7_Calc_DCS_den_ISIC'!$A$85:$A$126, 0)), 0)</f>
      </c>
      <c r="D24" t="str">
        <f>B24/MAX(C24, Keys!$C$4)</f>
      </c>
      <c r="E24" t="str">
        <f>MIN(1, MAX(0, D24))</f>
      </c>
      <c r="F24" t="str">
        <f>IFERROR(INDEX('9b_DCS_overrides'!$B$2:$B$5, MATCH($A24, '9b_DCS_overrides'!$A$2:$A$5, 0)), E24)</f>
      </c>
    </row>
    <row r="25">
      <c r="A25" t="s">
        <v>399</v>
      </c>
      <c r="B25" t="str">
        <f>IFERROR(INDEX('6_Calc_DCS_num_ISIC'!$C$85:$C$126, MATCH($A25, '6_Calc_DCS_num_ISIC'!$A$85:$A$126, 0)), 0)</f>
      </c>
      <c r="C25" t="str">
        <f>IFERROR(INDEX('7_Calc_DCS_den_ISIC'!$C$85:$C$126, MATCH($A25, '7_Calc_DCS_den_ISIC'!$A$85:$A$126, 0)), 0)</f>
      </c>
      <c r="D25" t="str">
        <f>B25/MAX(C25, Keys!$C$4)</f>
      </c>
      <c r="E25" t="str">
        <f>MIN(1, MAX(0, D25))</f>
      </c>
      <c r="F25" t="str">
        <f>IFERROR(INDEX('9b_DCS_overrides'!$B$2:$B$5, MATCH($A25, '9b_DCS_overrides'!$A$2:$A$5, 0)), E25)</f>
      </c>
    </row>
    <row r="26">
      <c r="A26" t="s">
        <v>402</v>
      </c>
      <c r="B26" t="str">
        <f>IFERROR(INDEX('6_Calc_DCS_num_ISIC'!$C$85:$C$126, MATCH($A26, '6_Calc_DCS_num_ISIC'!$A$85:$A$126, 0)), 0)</f>
      </c>
      <c r="C26" t="str">
        <f>IFERROR(INDEX('7_Calc_DCS_den_ISIC'!$C$85:$C$126, MATCH($A26, '7_Calc_DCS_den_ISIC'!$A$85:$A$126, 0)), 0)</f>
      </c>
      <c r="D26" t="str">
        <f>B26/MAX(C26, Keys!$C$4)</f>
      </c>
      <c r="E26" t="str">
        <f>MIN(1, MAX(0, D26))</f>
      </c>
      <c r="F26" t="str">
        <f>IFERROR(INDEX('9b_DCS_overrides'!$B$2:$B$5, MATCH($A26, '9b_DCS_overrides'!$A$2:$A$5, 0)), E26)</f>
      </c>
    </row>
    <row r="27">
      <c r="A27" t="s">
        <v>350</v>
      </c>
      <c r="B27" t="str">
        <f>IFERROR(INDEX('6_Calc_DCS_num_ISIC'!$C$85:$C$126, MATCH($A27, '6_Calc_DCS_num_ISIC'!$A$85:$A$126, 0)), 0)</f>
      </c>
      <c r="C27" t="str">
        <f>IFERROR(INDEX('7_Calc_DCS_den_ISIC'!$C$85:$C$126, MATCH($A27, '7_Calc_DCS_den_ISIC'!$A$85:$A$126, 0)), 0)</f>
      </c>
      <c r="D27" t="str">
        <f>B27/MAX(C27, Keys!$C$4)</f>
      </c>
      <c r="E27" t="str">
        <f>MIN(1, MAX(0, D27))</f>
      </c>
      <c r="F27" t="str">
        <f>IFERROR(INDEX('9b_DCS_overrides'!$B$2:$B$5, MATCH($A27, '9b_DCS_overrides'!$A$2:$A$5, 0)), E27)</f>
      </c>
    </row>
    <row r="28">
      <c r="A28" t="s">
        <v>353</v>
      </c>
      <c r="B28" t="str">
        <f>IFERROR(INDEX('6_Calc_DCS_num_ISIC'!$C$85:$C$126, MATCH($A28, '6_Calc_DCS_num_ISIC'!$A$85:$A$126, 0)), 0)</f>
      </c>
      <c r="C28" t="str">
        <f>IFERROR(INDEX('7_Calc_DCS_den_ISIC'!$C$85:$C$126, MATCH($A28, '7_Calc_DCS_den_ISIC'!$A$85:$A$126, 0)), 0)</f>
      </c>
      <c r="D28" t="str">
        <f>B28/MAX(C28, Keys!$C$4)</f>
      </c>
      <c r="E28" t="str">
        <f>MIN(1, MAX(0, D28))</f>
      </c>
      <c r="F28" t="str">
        <f>IFERROR(INDEX('9b_DCS_overrides'!$B$2:$B$5, MATCH($A28, '9b_DCS_overrides'!$A$2:$A$5, 0)), E28)</f>
      </c>
    </row>
    <row r="29">
      <c r="A29" t="s">
        <v>356</v>
      </c>
      <c r="B29" t="str">
        <f>IFERROR(INDEX('6_Calc_DCS_num_ISIC'!$C$85:$C$126, MATCH($A29, '6_Calc_DCS_num_ISIC'!$A$85:$A$126, 0)), 0)</f>
      </c>
      <c r="C29" t="str">
        <f>IFERROR(INDEX('7_Calc_DCS_den_ISIC'!$C$85:$C$126, MATCH($A29, '7_Calc_DCS_den_ISIC'!$A$85:$A$126, 0)), 0)</f>
      </c>
      <c r="D29" t="str">
        <f>B29/MAX(C29, Keys!$C$4)</f>
      </c>
      <c r="E29" t="str">
        <f>MIN(1, MAX(0, D29))</f>
      </c>
      <c r="F29" t="str">
        <f>IFERROR(INDEX('9b_DCS_overrides'!$B$2:$B$5, MATCH($A29, '9b_DCS_overrides'!$A$2:$A$5, 0)), E29)</f>
      </c>
    </row>
    <row r="30">
      <c r="A30" t="s">
        <v>360</v>
      </c>
      <c r="B30" t="str">
        <f>IFERROR(INDEX('6_Calc_DCS_num_ISIC'!$C$85:$C$126, MATCH($A30, '6_Calc_DCS_num_ISIC'!$A$85:$A$126, 0)), 0)</f>
      </c>
      <c r="C30" t="str">
        <f>IFERROR(INDEX('7_Calc_DCS_den_ISIC'!$C$85:$C$126, MATCH($A30, '7_Calc_DCS_den_ISIC'!$A$85:$A$126, 0)), 0)</f>
      </c>
      <c r="D30" t="str">
        <f>B30/MAX(C30, Keys!$C$4)</f>
      </c>
      <c r="E30" t="str">
        <f>MIN(1, MAX(0, D30))</f>
      </c>
      <c r="F30" t="str">
        <f>IFERROR(INDEX('9b_DCS_overrides'!$B$2:$B$5, MATCH($A30, '9b_DCS_overrides'!$A$2:$A$5, 0)), E30)</f>
      </c>
    </row>
    <row r="31">
      <c r="A31" t="s">
        <v>406</v>
      </c>
      <c r="B31" t="str">
        <f>IFERROR(INDEX('6_Calc_DCS_num_ISIC'!$C$85:$C$126, MATCH($A31, '6_Calc_DCS_num_ISIC'!$A$85:$A$126, 0)), 0)</f>
      </c>
      <c r="C31" t="str">
        <f>IFERROR(INDEX('7_Calc_DCS_den_ISIC'!$C$85:$C$126, MATCH($A31, '7_Calc_DCS_den_ISIC'!$A$85:$A$126, 0)), 0)</f>
      </c>
      <c r="D31" t="str">
        <f>B31/MAX(C31, Keys!$C$4)</f>
      </c>
      <c r="E31" t="str">
        <f>MIN(1, MAX(0, D31))</f>
      </c>
      <c r="F31" t="str">
        <f>IFERROR(INDEX('9b_DCS_overrides'!$B$2:$B$5, MATCH($A31, '9b_DCS_overrides'!$A$2:$A$5, 0)), E31)</f>
      </c>
    </row>
    <row r="32">
      <c r="A32" t="s">
        <v>413</v>
      </c>
      <c r="B32" t="str">
        <f>IFERROR(INDEX('6_Calc_DCS_num_ISIC'!$C$85:$C$126, MATCH($A32, '6_Calc_DCS_num_ISIC'!$A$85:$A$126, 0)), 0)</f>
      </c>
      <c r="C32" t="str">
        <f>IFERROR(INDEX('7_Calc_DCS_den_ISIC'!$C$85:$C$126, MATCH($A32, '7_Calc_DCS_den_ISIC'!$A$85:$A$126, 0)), 0)</f>
      </c>
      <c r="D32" t="str">
        <f>B32/MAX(C32, Keys!$C$4)</f>
      </c>
      <c r="E32" t="str">
        <f>MIN(1, MAX(0, D32))</f>
      </c>
      <c r="F32" t="str">
        <f>IFERROR(INDEX('9b_DCS_overrides'!$B$2:$B$5, MATCH($A32, '9b_DCS_overrides'!$A$2:$A$5, 0)), E32)</f>
      </c>
    </row>
    <row r="33">
      <c r="A33" t="s">
        <v>470</v>
      </c>
      <c r="B33" t="str">
        <f>IFERROR(INDEX('6_Calc_DCS_num_ISIC'!$C$85:$C$126, MATCH($A33, '6_Calc_DCS_num_ISIC'!$A$85:$A$126, 0)), 0)</f>
      </c>
      <c r="C33" t="str">
        <f>IFERROR(INDEX('7_Calc_DCS_den_ISIC'!$C$85:$C$126, MATCH($A33, '7_Calc_DCS_den_ISIC'!$A$85:$A$126, 0)), 0)</f>
      </c>
      <c r="D33" t="str">
        <f>B33/MAX(C33, Keys!$C$4)</f>
      </c>
      <c r="E33" t="str">
        <f>MIN(1, MAX(0, D33))</f>
      </c>
      <c r="F33" t="str">
        <f>IFERROR(INDEX('9b_DCS_overrides'!$B$2:$B$5, MATCH($A33, '9b_DCS_overrides'!$A$2:$A$5, 0)), E33)</f>
      </c>
    </row>
    <row r="34">
      <c r="A34" t="s">
        <v>425</v>
      </c>
      <c r="B34" t="str">
        <f>IFERROR(INDEX('6_Calc_DCS_num_ISIC'!$C$85:$C$126, MATCH($A34, '6_Calc_DCS_num_ISIC'!$A$85:$A$126, 0)), 0)</f>
      </c>
      <c r="C34" t="str">
        <f>IFERROR(INDEX('7_Calc_DCS_den_ISIC'!$C$85:$C$126, MATCH($A34, '7_Calc_DCS_den_ISIC'!$A$85:$A$126, 0)), 0)</f>
      </c>
      <c r="D34" t="str">
        <f>B34/MAX(C34, Keys!$C$4)</f>
      </c>
      <c r="E34" t="str">
        <f>MIN(1, MAX(0, D34))</f>
      </c>
      <c r="F34" t="str">
        <f>IFERROR(INDEX('9b_DCS_overrides'!$B$2:$B$5, MATCH($A34, '9b_DCS_overrides'!$A$2:$A$5, 0)), E34)</f>
      </c>
    </row>
    <row r="35">
      <c r="A35" t="s">
        <v>177</v>
      </c>
      <c r="B35" t="str">
        <f>IFERROR(INDEX('6_Calc_DCS_num_ISIC'!$C$85:$C$126, MATCH($A35, '6_Calc_DCS_num_ISIC'!$A$85:$A$126, 0)), 0)</f>
      </c>
      <c r="C35" t="str">
        <f>IFERROR(INDEX('7_Calc_DCS_den_ISIC'!$C$85:$C$126, MATCH($A35, '7_Calc_DCS_den_ISIC'!$A$85:$A$126, 0)), 0)</f>
      </c>
      <c r="D35" t="str">
        <f>B35/MAX(C35, Keys!$C$4)</f>
      </c>
      <c r="E35" t="str">
        <f>MIN(1, MAX(0, D35))</f>
      </c>
      <c r="F35" t="str">
        <f>IFERROR(INDEX('9b_DCS_overrides'!$B$2:$B$5, MATCH($A35, '9b_DCS_overrides'!$A$2:$A$5, 0)), E35)</f>
      </c>
    </row>
    <row r="36">
      <c r="A36" t="s">
        <v>432</v>
      </c>
      <c r="B36" t="str">
        <f>IFERROR(INDEX('6_Calc_DCS_num_ISIC'!$C$85:$C$126, MATCH($A36, '6_Calc_DCS_num_ISIC'!$A$85:$A$126, 0)), 0)</f>
      </c>
      <c r="C36" t="str">
        <f>IFERROR(INDEX('7_Calc_DCS_den_ISIC'!$C$85:$C$126, MATCH($A36, '7_Calc_DCS_den_ISIC'!$A$85:$A$126, 0)), 0)</f>
      </c>
      <c r="D36" t="str">
        <f>B36/MAX(C36, Keys!$C$4)</f>
      </c>
      <c r="E36" t="str">
        <f>MIN(1, MAX(0, D36))</f>
      </c>
      <c r="F36" t="str">
        <f>IFERROR(INDEX('9b_DCS_overrides'!$B$2:$B$5, MATCH($A36, '9b_DCS_overrides'!$A$2:$A$5, 0)), E36)</f>
      </c>
    </row>
    <row r="37">
      <c r="A37" t="s">
        <v>435</v>
      </c>
      <c r="B37" t="str">
        <f>IFERROR(INDEX('6_Calc_DCS_num_ISIC'!$C$85:$C$126, MATCH($A37, '6_Calc_DCS_num_ISIC'!$A$85:$A$126, 0)), 0)</f>
      </c>
      <c r="C37" t="str">
        <f>IFERROR(INDEX('7_Calc_DCS_den_ISIC'!$C$85:$C$126, MATCH($A37, '7_Calc_DCS_den_ISIC'!$A$85:$A$126, 0)), 0)</f>
      </c>
      <c r="D37" t="str">
        <f>B37/MAX(C37, Keys!$C$4)</f>
      </c>
      <c r="E37" t="str">
        <f>MIN(1, MAX(0, D37))</f>
      </c>
      <c r="F37" t="str">
        <f>IFERROR(INDEX('9b_DCS_overrides'!$B$2:$B$5, MATCH($A37, '9b_DCS_overrides'!$A$2:$A$5, 0)), E37)</f>
      </c>
    </row>
    <row r="38">
      <c r="A38" t="s">
        <v>441</v>
      </c>
      <c r="B38" t="str">
        <f>IFERROR(INDEX('6_Calc_DCS_num_ISIC'!$C$85:$C$126, MATCH($A38, '6_Calc_DCS_num_ISIC'!$A$85:$A$126, 0)), 0)</f>
      </c>
      <c r="C38" t="str">
        <f>IFERROR(INDEX('7_Calc_DCS_den_ISIC'!$C$85:$C$126, MATCH($A38, '7_Calc_DCS_den_ISIC'!$A$85:$A$126, 0)), 0)</f>
      </c>
      <c r="D38" t="str">
        <f>B38/MAX(C38, Keys!$C$4)</f>
      </c>
      <c r="E38" t="str">
        <f>MIN(1, MAX(0, D38))</f>
      </c>
      <c r="F38" t="str">
        <f>IFERROR(INDEX('9b_DCS_overrides'!$B$2:$B$5, MATCH($A38, '9b_DCS_overrides'!$A$2:$A$5, 0)), E38)</f>
      </c>
    </row>
    <row r="39">
      <c r="A39" t="s">
        <v>445</v>
      </c>
      <c r="B39" t="str">
        <f>IFERROR(INDEX('6_Calc_DCS_num_ISIC'!$C$85:$C$126, MATCH($A39, '6_Calc_DCS_num_ISIC'!$A$85:$A$126, 0)), 0)</f>
      </c>
      <c r="C39" t="str">
        <f>IFERROR(INDEX('7_Calc_DCS_den_ISIC'!$C$85:$C$126, MATCH($A39, '7_Calc_DCS_den_ISIC'!$A$85:$A$126, 0)), 0)</f>
      </c>
      <c r="D39" t="str">
        <f>B39/MAX(C39, Keys!$C$4)</f>
      </c>
      <c r="E39" t="str">
        <f>MIN(1, MAX(0, D39))</f>
      </c>
      <c r="F39" t="str">
        <f>IFERROR(INDEX('9b_DCS_overrides'!$B$2:$B$5, MATCH($A39, '9b_DCS_overrides'!$A$2:$A$5, 0)), E39)</f>
      </c>
    </row>
    <row r="40">
      <c r="A40" t="s">
        <v>475</v>
      </c>
      <c r="B40" t="str">
        <f>IFERROR(INDEX('6_Calc_DCS_num_ISIC'!$C$85:$C$126, MATCH($A40, '6_Calc_DCS_num_ISIC'!$A$85:$A$126, 0)), 0)</f>
      </c>
      <c r="C40" t="str">
        <f>IFERROR(INDEX('7_Calc_DCS_den_ISIC'!$C$85:$C$126, MATCH($A40, '7_Calc_DCS_den_ISIC'!$A$85:$A$126, 0)), 0)</f>
      </c>
      <c r="D40" t="str">
        <f>B40/MAX(C40, Keys!$C$4)</f>
      </c>
      <c r="E40" t="str">
        <f>MIN(1, MAX(0, D40))</f>
      </c>
      <c r="F40" t="str">
        <f>IFERROR(INDEX('9b_DCS_overrides'!$B$2:$B$5, MATCH($A40, '9b_DCS_overrides'!$A$2:$A$5, 0)), E40)</f>
      </c>
    </row>
    <row r="41">
      <c r="A41" t="s">
        <v>457</v>
      </c>
      <c r="B41" t="str">
        <f>IFERROR(INDEX('6_Calc_DCS_num_ISIC'!$C$85:$C$126, MATCH($A41, '6_Calc_DCS_num_ISIC'!$A$85:$A$126, 0)), 0)</f>
      </c>
      <c r="C41" t="str">
        <f>IFERROR(INDEX('7_Calc_DCS_den_ISIC'!$C$85:$C$126, MATCH($A41, '7_Calc_DCS_den_ISIC'!$A$85:$A$126, 0)), 0)</f>
      </c>
      <c r="D41" t="str">
        <f>B41/MAX(C41, Keys!$C$4)</f>
      </c>
      <c r="E41" t="str">
        <f>MIN(1, MAX(0, D41))</f>
      </c>
      <c r="F41" t="str">
        <f>IFERROR(INDEX('9b_DCS_overrides'!$B$2:$B$5, MATCH($A41, '9b_DCS_overrides'!$A$2:$A$5, 0)), E41)</f>
      </c>
    </row>
    <row r="42">
      <c r="A42" t="s">
        <v>460</v>
      </c>
      <c r="B42" t="str">
        <f>IFERROR(INDEX('6_Calc_DCS_num_ISIC'!$C$85:$C$126, MATCH($A42, '6_Calc_DCS_num_ISIC'!$A$85:$A$126, 0)), 0)</f>
      </c>
      <c r="C42" t="str">
        <f>IFERROR(INDEX('7_Calc_DCS_den_ISIC'!$C$85:$C$126, MATCH($A42, '7_Calc_DCS_den_ISIC'!$A$85:$A$126, 0)), 0)</f>
      </c>
      <c r="D42" t="str">
        <f>B42/MAX(C42, Keys!$C$4)</f>
      </c>
      <c r="E42" t="str">
        <f>MIN(1, MAX(0, D42))</f>
      </c>
      <c r="F42" t="str">
        <f>IFERROR(INDEX('9b_DCS_overrides'!$B$2:$B$5, MATCH($A42, '9b_DCS_overrides'!$A$2:$A$5, 0)), E42)</f>
      </c>
    </row>
    <row r="43">
      <c r="A43" t="s">
        <v>466</v>
      </c>
      <c r="B43" t="str">
        <f>IFERROR(INDEX('6_Calc_DCS_num_ISIC'!$C$85:$C$126, MATCH($A43, '6_Calc_DCS_num_ISIC'!$A$85:$A$126, 0)), 0)</f>
      </c>
      <c r="C43" t="str">
        <f>IFERROR(INDEX('7_Calc_DCS_den_ISIC'!$C$85:$C$126, MATCH($A43, '7_Calc_DCS_den_ISIC'!$A$85:$A$126, 0)), 0)</f>
      </c>
      <c r="D43" t="str">
        <f>B43/MAX(C43, Keys!$C$4)</f>
      </c>
      <c r="E43" t="str">
        <f>MIN(1, MAX(0, D43))</f>
      </c>
      <c r="F43" t="str">
        <f>IFERROR(INDEX('9b_DCS_overrides'!$B$2:$B$5, MATCH($A43, '9b_DCS_overrides'!$A$2:$A$5, 0)), E43)</f>
      </c>
    </row>
    <row r="44">
      <c r="A44" t="s">
        <v>583</v>
      </c>
      <c r="B44" t="str">
        <f>IFERROR(INDEX('6_Calc_DCS_num_ISIC'!$C$85:$C$126, MATCH($A44, '6_Calc_DCS_num_ISIC'!$A$85:$A$126, 0)), 0)</f>
      </c>
      <c r="C44" t="str">
        <f>IFERROR(INDEX('7_Calc_DCS_den_ISIC'!$C$85:$C$126, MATCH($A44, '7_Calc_DCS_den_ISIC'!$A$85:$A$126, 0)), 0)</f>
      </c>
      <c r="D44" t="str">
        <f>B44/MAX(C44, Keys!$C$4)</f>
      </c>
      <c r="E44" t="str">
        <f>MIN(1, MAX(0, D44))</f>
      </c>
      <c r="F44" t="str">
        <f>IFERROR(INDEX('9b_DCS_overrides'!$B$2:$B$5, MATCH($A44, '9b_DCS_overrides'!$A$2:$A$5, 0)), E44)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topLeftCell="A3" activePane="bottomLeft" state="frozen"/>
      <selection pane="bottomLeft"/>
    </sheetView>
  </sheetViews>
  <sheetFormatPr defaultRowHeight="15.0" baseColWidth="10"/>
  <cols>
    <col min="1" max="1" width="14.71" hidden="0" customWidth="1"/>
    <col min="2" max="2" width="20.71" hidden="0" customWidth="1"/>
    <col min="3" max="3" width="20.71" hidden="0" customWidth="1"/>
    <col min="4" max="4" width="26.71" hidden="0" customWidth="1"/>
    <col min="5" max="5" width="16.71" hidden="0" customWidth="1"/>
    <col min="6" max="6" width="24.71" hidden="0" customWidth="1"/>
  </cols>
  <sheetData>
    <row r="1">
      <c r="A1" t="s">
        <v>609</v>
      </c>
    </row>
    <row r="2">
      <c r="A2" t="s">
        <v>334</v>
      </c>
      <c r="B2" t="s">
        <v>604</v>
      </c>
      <c r="C2" t="s">
        <v>605</v>
      </c>
      <c r="D2" t="s">
        <v>606</v>
      </c>
      <c r="E2" t="s">
        <v>607</v>
      </c>
      <c r="F2" t="s">
        <v>608</v>
      </c>
    </row>
    <row r="3">
      <c r="A3" t="s">
        <v>340</v>
      </c>
      <c r="B3" t="str">
        <f>IFERROR(INDEX('8_Calc_Exp_ISIC'!$C$85:$C$126, MATCH($A3, '8_Calc_Exp_ISIC'!$A$85:$A$126, 0)), 0)</f>
      </c>
      <c r="C3" t="str">
        <f>IFERROR(INDEX('9_Output_by_ISIC'!$B$2:$B$43, MATCH($A3, '9_Output_by_ISIC'!$A$2:$A$43, 0)), 0)</f>
      </c>
      <c r="D3" t="str">
        <f>B3/MAX(C3, Keys!$C$4)</f>
      </c>
      <c r="E3" t="str">
        <f>MIN(1, MAX(0, D3))</f>
      </c>
      <c r="F3" t="str">
        <f>IFERROR(INDEX('9c_ESoP_overrides'!$B$2:$B$3, MATCH($A3, '9c_ESoP_overrides'!$A$2:$A$3, 0)), E3)</f>
      </c>
    </row>
    <row r="4">
      <c r="A4" t="s">
        <v>482</v>
      </c>
      <c r="B4" t="str">
        <f>IFERROR(INDEX('8_Calc_Exp_ISIC'!$C$85:$C$126, MATCH($A4, '8_Calc_Exp_ISIC'!$A$85:$A$126, 0)), 0)</f>
      </c>
      <c r="C4" t="str">
        <f>IFERROR(INDEX('9_Output_by_ISIC'!$B$2:$B$43, MATCH($A4, '9_Output_by_ISIC'!$A$2:$A$43, 0)), 0)</f>
      </c>
      <c r="D4" t="str">
        <f>B4/MAX(C4, Keys!$C$4)</f>
      </c>
      <c r="E4" t="str">
        <f>MIN(1, MAX(0, D4))</f>
      </c>
      <c r="F4" t="str">
        <f>IFERROR(INDEX('9c_ESoP_overrides'!$B$2:$B$3, MATCH($A4, '9c_ESoP_overrides'!$A$2:$A$3, 0)), E4)</f>
      </c>
    </row>
    <row r="5">
      <c r="A5" t="s">
        <v>344</v>
      </c>
      <c r="B5" t="str">
        <f>IFERROR(INDEX('8_Calc_Exp_ISIC'!$C$85:$C$126, MATCH($A5, '8_Calc_Exp_ISIC'!$A$85:$A$126, 0)), 0)</f>
      </c>
      <c r="C5" t="str">
        <f>IFERROR(INDEX('9_Output_by_ISIC'!$B$2:$B$43, MATCH($A5, '9_Output_by_ISIC'!$A$2:$A$43, 0)), 0)</f>
      </c>
      <c r="D5" t="str">
        <f>B5/MAX(C5, Keys!$C$4)</f>
      </c>
      <c r="E5" t="str">
        <f>MIN(1, MAX(0, D5))</f>
      </c>
      <c r="F5" t="str">
        <f>IFERROR(INDEX('9c_ESoP_overrides'!$B$2:$B$3, MATCH($A5, '9c_ESoP_overrides'!$A$2:$A$3, 0)), E5)</f>
      </c>
    </row>
    <row r="6">
      <c r="A6" t="s">
        <v>485</v>
      </c>
      <c r="B6" t="str">
        <f>IFERROR(INDEX('8_Calc_Exp_ISIC'!$C$85:$C$126, MATCH($A6, '8_Calc_Exp_ISIC'!$A$85:$A$126, 0)), 0)</f>
      </c>
      <c r="C6" t="str">
        <f>IFERROR(INDEX('9_Output_by_ISIC'!$B$2:$B$43, MATCH($A6, '9_Output_by_ISIC'!$A$2:$A$43, 0)), 0)</f>
      </c>
      <c r="D6" t="str">
        <f>B6/MAX(C6, Keys!$C$4)</f>
      </c>
      <c r="E6" t="str">
        <f>MIN(1, MAX(0, D6))</f>
      </c>
      <c r="F6" t="str">
        <f>IFERROR(INDEX('9c_ESoP_overrides'!$B$2:$B$3, MATCH($A6, '9c_ESoP_overrides'!$A$2:$A$3, 0)), E6)</f>
      </c>
    </row>
    <row r="7">
      <c r="A7" t="s">
        <v>347</v>
      </c>
      <c r="B7" t="str">
        <f>IFERROR(INDEX('8_Calc_Exp_ISIC'!$C$85:$C$126, MATCH($A7, '8_Calc_Exp_ISIC'!$A$85:$A$126, 0)), 0)</f>
      </c>
      <c r="C7" t="str">
        <f>IFERROR(INDEX('9_Output_by_ISIC'!$B$2:$B$43, MATCH($A7, '9_Output_by_ISIC'!$A$2:$A$43, 0)), 0)</f>
      </c>
      <c r="D7" t="str">
        <f>B7/MAX(C7, Keys!$C$4)</f>
      </c>
      <c r="E7" t="str">
        <f>MIN(1, MAX(0, D7))</f>
      </c>
      <c r="F7" t="str">
        <f>IFERROR(INDEX('9c_ESoP_overrides'!$B$2:$B$3, MATCH($A7, '9c_ESoP_overrides'!$A$2:$A$3, 0)), E7)</f>
      </c>
    </row>
    <row r="8">
      <c r="A8" t="s">
        <v>362</v>
      </c>
      <c r="B8" t="str">
        <f>IFERROR(INDEX('8_Calc_Exp_ISIC'!$C$85:$C$126, MATCH($A8, '8_Calc_Exp_ISIC'!$A$85:$A$126, 0)), 0)</f>
      </c>
      <c r="C8" t="str">
        <f>IFERROR(INDEX('9_Output_by_ISIC'!$B$2:$B$43, MATCH($A8, '9_Output_by_ISIC'!$A$2:$A$43, 0)), 0)</f>
      </c>
      <c r="D8" t="str">
        <f>B8/MAX(C8, Keys!$C$4)</f>
      </c>
      <c r="E8" t="str">
        <f>MIN(1, MAX(0, D8))</f>
      </c>
      <c r="F8" t="str">
        <f>IFERROR(INDEX('9c_ESoP_overrides'!$B$2:$B$3, MATCH($A8, '9c_ESoP_overrides'!$A$2:$A$3, 0)), E8)</f>
      </c>
    </row>
    <row r="9">
      <c r="A9" t="s">
        <v>365</v>
      </c>
      <c r="B9" t="str">
        <f>IFERROR(INDEX('8_Calc_Exp_ISIC'!$C$85:$C$126, MATCH($A9, '8_Calc_Exp_ISIC'!$A$85:$A$126, 0)), 0)</f>
      </c>
      <c r="C9" t="str">
        <f>IFERROR(INDEX('9_Output_by_ISIC'!$B$2:$B$43, MATCH($A9, '9_Output_by_ISIC'!$A$2:$A$43, 0)), 0)</f>
      </c>
      <c r="D9" t="str">
        <f>B9/MAX(C9, Keys!$C$4)</f>
      </c>
      <c r="E9" t="str">
        <f>MIN(1, MAX(0, D9))</f>
      </c>
      <c r="F9" t="str">
        <f>IFERROR(INDEX('9c_ESoP_overrides'!$B$2:$B$3, MATCH($A9, '9c_ESoP_overrides'!$A$2:$A$3, 0)), E9)</f>
      </c>
    </row>
    <row r="10">
      <c r="A10" t="s">
        <v>369</v>
      </c>
      <c r="B10" t="str">
        <f>IFERROR(INDEX('8_Calc_Exp_ISIC'!$C$85:$C$126, MATCH($A10, '8_Calc_Exp_ISIC'!$A$85:$A$126, 0)), 0)</f>
      </c>
      <c r="C10" t="str">
        <f>IFERROR(INDEX('9_Output_by_ISIC'!$B$2:$B$43, MATCH($A10, '9_Output_by_ISIC'!$A$2:$A$43, 0)), 0)</f>
      </c>
      <c r="D10" t="str">
        <f>B10/MAX(C10, Keys!$C$4)</f>
      </c>
      <c r="E10" t="str">
        <f>MIN(1, MAX(0, D10))</f>
      </c>
      <c r="F10" t="str">
        <f>IFERROR(INDEX('9c_ESoP_overrides'!$B$2:$B$3, MATCH($A10, '9c_ESoP_overrides'!$A$2:$A$3, 0)), E10)</f>
      </c>
    </row>
    <row r="11">
      <c r="A11" t="s">
        <v>372</v>
      </c>
      <c r="B11" t="str">
        <f>IFERROR(INDEX('8_Calc_Exp_ISIC'!$C$85:$C$126, MATCH($A11, '8_Calc_Exp_ISIC'!$A$85:$A$126, 0)), 0)</f>
      </c>
      <c r="C11" t="str">
        <f>IFERROR(INDEX('9_Output_by_ISIC'!$B$2:$B$43, MATCH($A11, '9_Output_by_ISIC'!$A$2:$A$43, 0)), 0)</f>
      </c>
      <c r="D11" t="str">
        <f>B11/MAX(C11, Keys!$C$4)</f>
      </c>
      <c r="E11" t="str">
        <f>MIN(1, MAX(0, D11))</f>
      </c>
      <c r="F11" t="str">
        <f>IFERROR(INDEX('9c_ESoP_overrides'!$B$2:$B$3, MATCH($A11, '9c_ESoP_overrides'!$A$2:$A$3, 0)), E11)</f>
      </c>
    </row>
    <row r="12">
      <c r="A12" t="s">
        <v>376</v>
      </c>
      <c r="B12" t="str">
        <f>IFERROR(INDEX('8_Calc_Exp_ISIC'!$C$85:$C$126, MATCH($A12, '8_Calc_Exp_ISIC'!$A$85:$A$126, 0)), 0)</f>
      </c>
      <c r="C12" t="str">
        <f>IFERROR(INDEX('9_Output_by_ISIC'!$B$2:$B$43, MATCH($A12, '9_Output_by_ISIC'!$A$2:$A$43, 0)), 0)</f>
      </c>
      <c r="D12" t="str">
        <f>B12/MAX(C12, Keys!$C$4)</f>
      </c>
      <c r="E12" t="str">
        <f>MIN(1, MAX(0, D12))</f>
      </c>
      <c r="F12" t="str">
        <f>IFERROR(INDEX('9c_ESoP_overrides'!$B$2:$B$3, MATCH($A12, '9c_ESoP_overrides'!$A$2:$A$3, 0)), E12)</f>
      </c>
    </row>
    <row r="13">
      <c r="A13" t="s">
        <v>498</v>
      </c>
      <c r="B13" t="str">
        <f>IFERROR(INDEX('8_Calc_Exp_ISIC'!$C$85:$C$126, MATCH($A13, '8_Calc_Exp_ISIC'!$A$85:$A$126, 0)), 0)</f>
      </c>
      <c r="C13" t="str">
        <f>IFERROR(INDEX('9_Output_by_ISIC'!$B$2:$B$43, MATCH($A13, '9_Output_by_ISIC'!$A$2:$A$43, 0)), 0)</f>
      </c>
      <c r="D13" t="str">
        <f>B13/MAX(C13, Keys!$C$4)</f>
      </c>
      <c r="E13" t="str">
        <f>MIN(1, MAX(0, D13))</f>
      </c>
      <c r="F13" t="str">
        <f>IFERROR(INDEX('9c_ESoP_overrides'!$B$2:$B$3, MATCH($A13, '9c_ESoP_overrides'!$A$2:$A$3, 0)), E13)</f>
      </c>
    </row>
    <row r="14">
      <c r="A14" t="s">
        <v>501</v>
      </c>
      <c r="B14" t="str">
        <f>IFERROR(INDEX('8_Calc_Exp_ISIC'!$C$85:$C$126, MATCH($A14, '8_Calc_Exp_ISIC'!$A$85:$A$126, 0)), 0)</f>
      </c>
      <c r="C14" t="str">
        <f>IFERROR(INDEX('9_Output_by_ISIC'!$B$2:$B$43, MATCH($A14, '9_Output_by_ISIC'!$A$2:$A$43, 0)), 0)</f>
      </c>
      <c r="D14" t="str">
        <f>B14/MAX(C14, Keys!$C$4)</f>
      </c>
      <c r="E14" t="str">
        <f>MIN(1, MAX(0, D14))</f>
      </c>
      <c r="F14" t="str">
        <f>IFERROR(INDEX('9c_ESoP_overrides'!$B$2:$B$3, MATCH($A14, '9c_ESoP_overrides'!$A$2:$A$3, 0)), E14)</f>
      </c>
    </row>
    <row r="15">
      <c r="A15" t="s">
        <v>126</v>
      </c>
      <c r="B15" t="str">
        <f>IFERROR(INDEX('8_Calc_Exp_ISIC'!$C$85:$C$126, MATCH($A15, '8_Calc_Exp_ISIC'!$A$85:$A$126, 0)), 0)</f>
      </c>
      <c r="C15" t="str">
        <f>IFERROR(INDEX('9_Output_by_ISIC'!$B$2:$B$43, MATCH($A15, '9_Output_by_ISIC'!$A$2:$A$43, 0)), 0)</f>
      </c>
      <c r="D15" t="str">
        <f>B15/MAX(C15, Keys!$C$4)</f>
      </c>
      <c r="E15" t="str">
        <f>MIN(1, MAX(0, D15))</f>
      </c>
      <c r="F15" t="str">
        <f>IFERROR(INDEX('9c_ESoP_overrides'!$B$2:$B$3, MATCH($A15, '9c_ESoP_overrides'!$A$2:$A$3, 0)), E15)</f>
      </c>
    </row>
    <row r="16">
      <c r="A16" t="s">
        <v>488</v>
      </c>
      <c r="B16" t="str">
        <f>IFERROR(INDEX('8_Calc_Exp_ISIC'!$C$85:$C$126, MATCH($A16, '8_Calc_Exp_ISIC'!$A$85:$A$126, 0)), 0)</f>
      </c>
      <c r="C16" t="str">
        <f>IFERROR(INDEX('9_Output_by_ISIC'!$B$2:$B$43, MATCH($A16, '9_Output_by_ISIC'!$A$2:$A$43, 0)), 0)</f>
      </c>
      <c r="D16" t="str">
        <f>B16/MAX(C16, Keys!$C$4)</f>
      </c>
      <c r="E16" t="str">
        <f>MIN(1, MAX(0, D16))</f>
      </c>
      <c r="F16" t="str">
        <f>IFERROR(INDEX('9c_ESoP_overrides'!$B$2:$B$3, MATCH($A16, '9c_ESoP_overrides'!$A$2:$A$3, 0)), E16)</f>
      </c>
    </row>
    <row r="17">
      <c r="A17" t="s">
        <v>491</v>
      </c>
      <c r="B17" t="str">
        <f>IFERROR(INDEX('8_Calc_Exp_ISIC'!$C$85:$C$126, MATCH($A17, '8_Calc_Exp_ISIC'!$A$85:$A$126, 0)), 0)</f>
      </c>
      <c r="C17" t="str">
        <f>IFERROR(INDEX('9_Output_by_ISIC'!$B$2:$B$43, MATCH($A17, '9_Output_by_ISIC'!$A$2:$A$43, 0)), 0)</f>
      </c>
      <c r="D17" t="str">
        <f>B17/MAX(C17, Keys!$C$4)</f>
      </c>
      <c r="E17" t="str">
        <f>MIN(1, MAX(0, D17))</f>
      </c>
      <c r="F17" t="str">
        <f>IFERROR(INDEX('9c_ESoP_overrides'!$B$2:$B$3, MATCH($A17, '9c_ESoP_overrides'!$A$2:$A$3, 0)), E17)</f>
      </c>
    </row>
    <row r="18">
      <c r="A18" t="s">
        <v>379</v>
      </c>
      <c r="B18" t="str">
        <f>IFERROR(INDEX('8_Calc_Exp_ISIC'!$C$85:$C$126, MATCH($A18, '8_Calc_Exp_ISIC'!$A$85:$A$126, 0)), 0)</f>
      </c>
      <c r="C18" t="str">
        <f>IFERROR(INDEX('9_Output_by_ISIC'!$B$2:$B$43, MATCH($A18, '9_Output_by_ISIC'!$A$2:$A$43, 0)), 0)</f>
      </c>
      <c r="D18" t="str">
        <f>B18/MAX(C18, Keys!$C$4)</f>
      </c>
      <c r="E18" t="str">
        <f>MIN(1, MAX(0, D18))</f>
      </c>
      <c r="F18" t="str">
        <f>IFERROR(INDEX('9c_ESoP_overrides'!$B$2:$B$3, MATCH($A18, '9c_ESoP_overrides'!$A$2:$A$3, 0)), E18)</f>
      </c>
    </row>
    <row r="19">
      <c r="A19" t="s">
        <v>495</v>
      </c>
      <c r="B19" t="str">
        <f>IFERROR(INDEX('8_Calc_Exp_ISIC'!$C$85:$C$126, MATCH($A19, '8_Calc_Exp_ISIC'!$A$85:$A$126, 0)), 0)</f>
      </c>
      <c r="C19" t="str">
        <f>IFERROR(INDEX('9_Output_by_ISIC'!$B$2:$B$43, MATCH($A19, '9_Output_by_ISIC'!$A$2:$A$43, 0)), 0)</f>
      </c>
      <c r="D19" t="str">
        <f>B19/MAX(C19, Keys!$C$4)</f>
      </c>
      <c r="E19" t="str">
        <f>MIN(1, MAX(0, D19))</f>
      </c>
      <c r="F19" t="str">
        <f>IFERROR(INDEX('9c_ESoP_overrides'!$B$2:$B$3, MATCH($A19, '9c_ESoP_overrides'!$A$2:$A$3, 0)), E19)</f>
      </c>
    </row>
    <row r="20">
      <c r="A20" t="s">
        <v>385</v>
      </c>
      <c r="B20" t="str">
        <f>IFERROR(INDEX('8_Calc_Exp_ISIC'!$C$85:$C$126, MATCH($A20, '8_Calc_Exp_ISIC'!$A$85:$A$126, 0)), 0)</f>
      </c>
      <c r="C20" t="str">
        <f>IFERROR(INDEX('9_Output_by_ISIC'!$B$2:$B$43, MATCH($A20, '9_Output_by_ISIC'!$A$2:$A$43, 0)), 0)</f>
      </c>
      <c r="D20" t="str">
        <f>B20/MAX(C20, Keys!$C$4)</f>
      </c>
      <c r="E20" t="str">
        <f>MIN(1, MAX(0, D20))</f>
      </c>
      <c r="F20" t="str">
        <f>IFERROR(INDEX('9c_ESoP_overrides'!$B$2:$B$3, MATCH($A20, '9c_ESoP_overrides'!$A$2:$A$3, 0)), E20)</f>
      </c>
    </row>
    <row r="21">
      <c r="A21" t="s">
        <v>390</v>
      </c>
      <c r="B21" t="str">
        <f>IFERROR(INDEX('8_Calc_Exp_ISIC'!$C$85:$C$126, MATCH($A21, '8_Calc_Exp_ISIC'!$A$85:$A$126, 0)), 0)</f>
      </c>
      <c r="C21" t="str">
        <f>IFERROR(INDEX('9_Output_by_ISIC'!$B$2:$B$43, MATCH($A21, '9_Output_by_ISIC'!$A$2:$A$43, 0)), 0)</f>
      </c>
      <c r="D21" t="str">
        <f>B21/MAX(C21, Keys!$C$4)</f>
      </c>
      <c r="E21" t="str">
        <f>MIN(1, MAX(0, D21))</f>
      </c>
      <c r="F21" t="str">
        <f>IFERROR(INDEX('9c_ESoP_overrides'!$B$2:$B$3, MATCH($A21, '9c_ESoP_overrides'!$A$2:$A$3, 0)), E21)</f>
      </c>
    </row>
    <row r="22">
      <c r="A22" t="s">
        <v>393</v>
      </c>
      <c r="B22" t="str">
        <f>IFERROR(INDEX('8_Calc_Exp_ISIC'!$C$85:$C$126, MATCH($A22, '8_Calc_Exp_ISIC'!$A$85:$A$126, 0)), 0)</f>
      </c>
      <c r="C22" t="str">
        <f>IFERROR(INDEX('9_Output_by_ISIC'!$B$2:$B$43, MATCH($A22, '9_Output_by_ISIC'!$A$2:$A$43, 0)), 0)</f>
      </c>
      <c r="D22" t="str">
        <f>B22/MAX(C22, Keys!$C$4)</f>
      </c>
      <c r="E22" t="str">
        <f>MIN(1, MAX(0, D22))</f>
      </c>
      <c r="F22" t="str">
        <f>IFERROR(INDEX('9c_ESoP_overrides'!$B$2:$B$3, MATCH($A22, '9c_ESoP_overrides'!$A$2:$A$3, 0)), E22)</f>
      </c>
    </row>
    <row r="23">
      <c r="A23" t="s">
        <v>387</v>
      </c>
      <c r="B23" t="str">
        <f>IFERROR(INDEX('8_Calc_Exp_ISIC'!$C$85:$C$126, MATCH($A23, '8_Calc_Exp_ISIC'!$A$85:$A$126, 0)), 0)</f>
      </c>
      <c r="C23" t="str">
        <f>IFERROR(INDEX('9_Output_by_ISIC'!$B$2:$B$43, MATCH($A23, '9_Output_by_ISIC'!$A$2:$A$43, 0)), 0)</f>
      </c>
      <c r="D23" t="str">
        <f>B23/MAX(C23, Keys!$C$4)</f>
      </c>
      <c r="E23" t="str">
        <f>MIN(1, MAX(0, D23))</f>
      </c>
      <c r="F23" t="str">
        <f>IFERROR(INDEX('9c_ESoP_overrides'!$B$2:$B$3, MATCH($A23, '9c_ESoP_overrides'!$A$2:$A$3, 0)), E23)</f>
      </c>
    </row>
    <row r="24">
      <c r="A24" t="s">
        <v>396</v>
      </c>
      <c r="B24" t="str">
        <f>IFERROR(INDEX('8_Calc_Exp_ISIC'!$C$85:$C$126, MATCH($A24, '8_Calc_Exp_ISIC'!$A$85:$A$126, 0)), 0)</f>
      </c>
      <c r="C24" t="str">
        <f>IFERROR(INDEX('9_Output_by_ISIC'!$B$2:$B$43, MATCH($A24, '9_Output_by_ISIC'!$A$2:$A$43, 0)), 0)</f>
      </c>
      <c r="D24" t="str">
        <f>B24/MAX(C24, Keys!$C$4)</f>
      </c>
      <c r="E24" t="str">
        <f>MIN(1, MAX(0, D24))</f>
      </c>
      <c r="F24" t="str">
        <f>IFERROR(INDEX('9c_ESoP_overrides'!$B$2:$B$3, MATCH($A24, '9c_ESoP_overrides'!$A$2:$A$3, 0)), E24)</f>
      </c>
    </row>
    <row r="25">
      <c r="A25" t="s">
        <v>399</v>
      </c>
      <c r="B25" t="str">
        <f>IFERROR(INDEX('8_Calc_Exp_ISIC'!$C$85:$C$126, MATCH($A25, '8_Calc_Exp_ISIC'!$A$85:$A$126, 0)), 0)</f>
      </c>
      <c r="C25" t="str">
        <f>IFERROR(INDEX('9_Output_by_ISIC'!$B$2:$B$43, MATCH($A25, '9_Output_by_ISIC'!$A$2:$A$43, 0)), 0)</f>
      </c>
      <c r="D25" t="str">
        <f>B25/MAX(C25, Keys!$C$4)</f>
      </c>
      <c r="E25" t="str">
        <f>MIN(1, MAX(0, D25))</f>
      </c>
      <c r="F25" t="str">
        <f>IFERROR(INDEX('9c_ESoP_overrides'!$B$2:$B$3, MATCH($A25, '9c_ESoP_overrides'!$A$2:$A$3, 0)), E25)</f>
      </c>
    </row>
    <row r="26">
      <c r="A26" t="s">
        <v>402</v>
      </c>
      <c r="B26" t="str">
        <f>IFERROR(INDEX('8_Calc_Exp_ISIC'!$C$85:$C$126, MATCH($A26, '8_Calc_Exp_ISIC'!$A$85:$A$126, 0)), 0)</f>
      </c>
      <c r="C26" t="str">
        <f>IFERROR(INDEX('9_Output_by_ISIC'!$B$2:$B$43, MATCH($A26, '9_Output_by_ISIC'!$A$2:$A$43, 0)), 0)</f>
      </c>
      <c r="D26" t="str">
        <f>B26/MAX(C26, Keys!$C$4)</f>
      </c>
      <c r="E26" t="str">
        <f>MIN(1, MAX(0, D26))</f>
      </c>
      <c r="F26" t="str">
        <f>IFERROR(INDEX('9c_ESoP_overrides'!$B$2:$B$3, MATCH($A26, '9c_ESoP_overrides'!$A$2:$A$3, 0)), E26)</f>
      </c>
    </row>
    <row r="27">
      <c r="A27" t="s">
        <v>350</v>
      </c>
      <c r="B27" t="str">
        <f>IFERROR(INDEX('8_Calc_Exp_ISIC'!$C$85:$C$126, MATCH($A27, '8_Calc_Exp_ISIC'!$A$85:$A$126, 0)), 0)</f>
      </c>
      <c r="C27" t="str">
        <f>IFERROR(INDEX('9_Output_by_ISIC'!$B$2:$B$43, MATCH($A27, '9_Output_by_ISIC'!$A$2:$A$43, 0)), 0)</f>
      </c>
      <c r="D27" t="str">
        <f>B27/MAX(C27, Keys!$C$4)</f>
      </c>
      <c r="E27" t="str">
        <f>MIN(1, MAX(0, D27))</f>
      </c>
      <c r="F27" t="str">
        <f>IFERROR(INDEX('9c_ESoP_overrides'!$B$2:$B$3, MATCH($A27, '9c_ESoP_overrides'!$A$2:$A$3, 0)), E27)</f>
      </c>
    </row>
    <row r="28">
      <c r="A28" t="s">
        <v>353</v>
      </c>
      <c r="B28" t="str">
        <f>IFERROR(INDEX('8_Calc_Exp_ISIC'!$C$85:$C$126, MATCH($A28, '8_Calc_Exp_ISIC'!$A$85:$A$126, 0)), 0)</f>
      </c>
      <c r="C28" t="str">
        <f>IFERROR(INDEX('9_Output_by_ISIC'!$B$2:$B$43, MATCH($A28, '9_Output_by_ISIC'!$A$2:$A$43, 0)), 0)</f>
      </c>
      <c r="D28" t="str">
        <f>B28/MAX(C28, Keys!$C$4)</f>
      </c>
      <c r="E28" t="str">
        <f>MIN(1, MAX(0, D28))</f>
      </c>
      <c r="F28" t="str">
        <f>IFERROR(INDEX('9c_ESoP_overrides'!$B$2:$B$3, MATCH($A28, '9c_ESoP_overrides'!$A$2:$A$3, 0)), E28)</f>
      </c>
    </row>
    <row r="29">
      <c r="A29" t="s">
        <v>356</v>
      </c>
      <c r="B29" t="str">
        <f>IFERROR(INDEX('8_Calc_Exp_ISIC'!$C$85:$C$126, MATCH($A29, '8_Calc_Exp_ISIC'!$A$85:$A$126, 0)), 0)</f>
      </c>
      <c r="C29" t="str">
        <f>IFERROR(INDEX('9_Output_by_ISIC'!$B$2:$B$43, MATCH($A29, '9_Output_by_ISIC'!$A$2:$A$43, 0)), 0)</f>
      </c>
      <c r="D29" t="str">
        <f>B29/MAX(C29, Keys!$C$4)</f>
      </c>
      <c r="E29" t="str">
        <f>MIN(1, MAX(0, D29))</f>
      </c>
      <c r="F29" t="str">
        <f>IFERROR(INDEX('9c_ESoP_overrides'!$B$2:$B$3, MATCH($A29, '9c_ESoP_overrides'!$A$2:$A$3, 0)), E29)</f>
      </c>
    </row>
    <row r="30">
      <c r="A30" t="s">
        <v>360</v>
      </c>
      <c r="B30" t="str">
        <f>IFERROR(INDEX('8_Calc_Exp_ISIC'!$C$85:$C$126, MATCH($A30, '8_Calc_Exp_ISIC'!$A$85:$A$126, 0)), 0)</f>
      </c>
      <c r="C30" t="str">
        <f>IFERROR(INDEX('9_Output_by_ISIC'!$B$2:$B$43, MATCH($A30, '9_Output_by_ISIC'!$A$2:$A$43, 0)), 0)</f>
      </c>
      <c r="D30" t="str">
        <f>B30/MAX(C30, Keys!$C$4)</f>
      </c>
      <c r="E30" t="str">
        <f>MIN(1, MAX(0, D30))</f>
      </c>
      <c r="F30" t="str">
        <f>IFERROR(INDEX('9c_ESoP_overrides'!$B$2:$B$3, MATCH($A30, '9c_ESoP_overrides'!$A$2:$A$3, 0)), E30)</f>
      </c>
    </row>
    <row r="31">
      <c r="A31" t="s">
        <v>406</v>
      </c>
      <c r="B31" t="str">
        <f>IFERROR(INDEX('8_Calc_Exp_ISIC'!$C$85:$C$126, MATCH($A31, '8_Calc_Exp_ISIC'!$A$85:$A$126, 0)), 0)</f>
      </c>
      <c r="C31" t="str">
        <f>IFERROR(INDEX('9_Output_by_ISIC'!$B$2:$B$43, MATCH($A31, '9_Output_by_ISIC'!$A$2:$A$43, 0)), 0)</f>
      </c>
      <c r="D31" t="str">
        <f>B31/MAX(C31, Keys!$C$4)</f>
      </c>
      <c r="E31" t="str">
        <f>MIN(1, MAX(0, D31))</f>
      </c>
      <c r="F31" t="str">
        <f>IFERROR(INDEX('9c_ESoP_overrides'!$B$2:$B$3, MATCH($A31, '9c_ESoP_overrides'!$A$2:$A$3, 0)), E31)</f>
      </c>
    </row>
    <row r="32">
      <c r="A32" t="s">
        <v>413</v>
      </c>
      <c r="B32" t="str">
        <f>IFERROR(INDEX('8_Calc_Exp_ISIC'!$C$85:$C$126, MATCH($A32, '8_Calc_Exp_ISIC'!$A$85:$A$126, 0)), 0)</f>
      </c>
      <c r="C32" t="str">
        <f>IFERROR(INDEX('9_Output_by_ISIC'!$B$2:$B$43, MATCH($A32, '9_Output_by_ISIC'!$A$2:$A$43, 0)), 0)</f>
      </c>
      <c r="D32" t="str">
        <f>B32/MAX(C32, Keys!$C$4)</f>
      </c>
      <c r="E32" t="str">
        <f>MIN(1, MAX(0, D32))</f>
      </c>
      <c r="F32" t="str">
        <f>IFERROR(INDEX('9c_ESoP_overrides'!$B$2:$B$3, MATCH($A32, '9c_ESoP_overrides'!$A$2:$A$3, 0)), E32)</f>
      </c>
    </row>
    <row r="33">
      <c r="A33" t="s">
        <v>470</v>
      </c>
      <c r="B33" t="str">
        <f>IFERROR(INDEX('8_Calc_Exp_ISIC'!$C$85:$C$126, MATCH($A33, '8_Calc_Exp_ISIC'!$A$85:$A$126, 0)), 0)</f>
      </c>
      <c r="C33" t="str">
        <f>IFERROR(INDEX('9_Output_by_ISIC'!$B$2:$B$43, MATCH($A33, '9_Output_by_ISIC'!$A$2:$A$43, 0)), 0)</f>
      </c>
      <c r="D33" t="str">
        <f>B33/MAX(C33, Keys!$C$4)</f>
      </c>
      <c r="E33" t="str">
        <f>MIN(1, MAX(0, D33))</f>
      </c>
      <c r="F33" t="str">
        <f>IFERROR(INDEX('9c_ESoP_overrides'!$B$2:$B$3, MATCH($A33, '9c_ESoP_overrides'!$A$2:$A$3, 0)), E33)</f>
      </c>
    </row>
    <row r="34">
      <c r="A34" t="s">
        <v>425</v>
      </c>
      <c r="B34" t="str">
        <f>IFERROR(INDEX('8_Calc_Exp_ISIC'!$C$85:$C$126, MATCH($A34, '8_Calc_Exp_ISIC'!$A$85:$A$126, 0)), 0)</f>
      </c>
      <c r="C34" t="str">
        <f>IFERROR(INDEX('9_Output_by_ISIC'!$B$2:$B$43, MATCH($A34, '9_Output_by_ISIC'!$A$2:$A$43, 0)), 0)</f>
      </c>
      <c r="D34" t="str">
        <f>B34/MAX(C34, Keys!$C$4)</f>
      </c>
      <c r="E34" t="str">
        <f>MIN(1, MAX(0, D34))</f>
      </c>
      <c r="F34" t="str">
        <f>IFERROR(INDEX('9c_ESoP_overrides'!$B$2:$B$3, MATCH($A34, '9c_ESoP_overrides'!$A$2:$A$3, 0)), E34)</f>
      </c>
    </row>
    <row r="35">
      <c r="A35" t="s">
        <v>177</v>
      </c>
      <c r="B35" t="str">
        <f>IFERROR(INDEX('8_Calc_Exp_ISIC'!$C$85:$C$126, MATCH($A35, '8_Calc_Exp_ISIC'!$A$85:$A$126, 0)), 0)</f>
      </c>
      <c r="C35" t="str">
        <f>IFERROR(INDEX('9_Output_by_ISIC'!$B$2:$B$43, MATCH($A35, '9_Output_by_ISIC'!$A$2:$A$43, 0)), 0)</f>
      </c>
      <c r="D35" t="str">
        <f>B35/MAX(C35, Keys!$C$4)</f>
      </c>
      <c r="E35" t="str">
        <f>MIN(1, MAX(0, D35))</f>
      </c>
      <c r="F35" t="str">
        <f>IFERROR(INDEX('9c_ESoP_overrides'!$B$2:$B$3, MATCH($A35, '9c_ESoP_overrides'!$A$2:$A$3, 0)), E35)</f>
      </c>
    </row>
    <row r="36">
      <c r="A36" t="s">
        <v>432</v>
      </c>
      <c r="B36" t="str">
        <f>IFERROR(INDEX('8_Calc_Exp_ISIC'!$C$85:$C$126, MATCH($A36, '8_Calc_Exp_ISIC'!$A$85:$A$126, 0)), 0)</f>
      </c>
      <c r="C36" t="str">
        <f>IFERROR(INDEX('9_Output_by_ISIC'!$B$2:$B$43, MATCH($A36, '9_Output_by_ISIC'!$A$2:$A$43, 0)), 0)</f>
      </c>
      <c r="D36" t="str">
        <f>B36/MAX(C36, Keys!$C$4)</f>
      </c>
      <c r="E36" t="str">
        <f>MIN(1, MAX(0, D36))</f>
      </c>
      <c r="F36" t="str">
        <f>IFERROR(INDEX('9c_ESoP_overrides'!$B$2:$B$3, MATCH($A36, '9c_ESoP_overrides'!$A$2:$A$3, 0)), E36)</f>
      </c>
    </row>
    <row r="37">
      <c r="A37" t="s">
        <v>435</v>
      </c>
      <c r="B37" t="str">
        <f>IFERROR(INDEX('8_Calc_Exp_ISIC'!$C$85:$C$126, MATCH($A37, '8_Calc_Exp_ISIC'!$A$85:$A$126, 0)), 0)</f>
      </c>
      <c r="C37" t="str">
        <f>IFERROR(INDEX('9_Output_by_ISIC'!$B$2:$B$43, MATCH($A37, '9_Output_by_ISIC'!$A$2:$A$43, 0)), 0)</f>
      </c>
      <c r="D37" t="str">
        <f>B37/MAX(C37, Keys!$C$4)</f>
      </c>
      <c r="E37" t="str">
        <f>MIN(1, MAX(0, D37))</f>
      </c>
      <c r="F37" t="str">
        <f>IFERROR(INDEX('9c_ESoP_overrides'!$B$2:$B$3, MATCH($A37, '9c_ESoP_overrides'!$A$2:$A$3, 0)), E37)</f>
      </c>
    </row>
    <row r="38">
      <c r="A38" t="s">
        <v>441</v>
      </c>
      <c r="B38" t="str">
        <f>IFERROR(INDEX('8_Calc_Exp_ISIC'!$C$85:$C$126, MATCH($A38, '8_Calc_Exp_ISIC'!$A$85:$A$126, 0)), 0)</f>
      </c>
      <c r="C38" t="str">
        <f>IFERROR(INDEX('9_Output_by_ISIC'!$B$2:$B$43, MATCH($A38, '9_Output_by_ISIC'!$A$2:$A$43, 0)), 0)</f>
      </c>
      <c r="D38" t="str">
        <f>B38/MAX(C38, Keys!$C$4)</f>
      </c>
      <c r="E38" t="str">
        <f>MIN(1, MAX(0, D38))</f>
      </c>
      <c r="F38" t="str">
        <f>IFERROR(INDEX('9c_ESoP_overrides'!$B$2:$B$3, MATCH($A38, '9c_ESoP_overrides'!$A$2:$A$3, 0)), E38)</f>
      </c>
    </row>
    <row r="39">
      <c r="A39" t="s">
        <v>445</v>
      </c>
      <c r="B39" t="str">
        <f>IFERROR(INDEX('8_Calc_Exp_ISIC'!$C$85:$C$126, MATCH($A39, '8_Calc_Exp_ISIC'!$A$85:$A$126, 0)), 0)</f>
      </c>
      <c r="C39" t="str">
        <f>IFERROR(INDEX('9_Output_by_ISIC'!$B$2:$B$43, MATCH($A39, '9_Output_by_ISIC'!$A$2:$A$43, 0)), 0)</f>
      </c>
      <c r="D39" t="str">
        <f>B39/MAX(C39, Keys!$C$4)</f>
      </c>
      <c r="E39" t="str">
        <f>MIN(1, MAX(0, D39))</f>
      </c>
      <c r="F39" t="str">
        <f>IFERROR(INDEX('9c_ESoP_overrides'!$B$2:$B$3, MATCH($A39, '9c_ESoP_overrides'!$A$2:$A$3, 0)), E39)</f>
      </c>
    </row>
    <row r="40">
      <c r="A40" t="s">
        <v>475</v>
      </c>
      <c r="B40" t="str">
        <f>IFERROR(INDEX('8_Calc_Exp_ISIC'!$C$85:$C$126, MATCH($A40, '8_Calc_Exp_ISIC'!$A$85:$A$126, 0)), 0)</f>
      </c>
      <c r="C40" t="str">
        <f>IFERROR(INDEX('9_Output_by_ISIC'!$B$2:$B$43, MATCH($A40, '9_Output_by_ISIC'!$A$2:$A$43, 0)), 0)</f>
      </c>
      <c r="D40" t="str">
        <f>B40/MAX(C40, Keys!$C$4)</f>
      </c>
      <c r="E40" t="str">
        <f>MIN(1, MAX(0, D40))</f>
      </c>
      <c r="F40" t="str">
        <f>IFERROR(INDEX('9c_ESoP_overrides'!$B$2:$B$3, MATCH($A40, '9c_ESoP_overrides'!$A$2:$A$3, 0)), E40)</f>
      </c>
    </row>
    <row r="41">
      <c r="A41" t="s">
        <v>457</v>
      </c>
      <c r="B41" t="str">
        <f>IFERROR(INDEX('8_Calc_Exp_ISIC'!$C$85:$C$126, MATCH($A41, '8_Calc_Exp_ISIC'!$A$85:$A$126, 0)), 0)</f>
      </c>
      <c r="C41" t="str">
        <f>IFERROR(INDEX('9_Output_by_ISIC'!$B$2:$B$43, MATCH($A41, '9_Output_by_ISIC'!$A$2:$A$43, 0)), 0)</f>
      </c>
      <c r="D41" t="str">
        <f>B41/MAX(C41, Keys!$C$4)</f>
      </c>
      <c r="E41" t="str">
        <f>MIN(1, MAX(0, D41))</f>
      </c>
      <c r="F41" t="str">
        <f>IFERROR(INDEX('9c_ESoP_overrides'!$B$2:$B$3, MATCH($A41, '9c_ESoP_overrides'!$A$2:$A$3, 0)), E41)</f>
      </c>
    </row>
    <row r="42">
      <c r="A42" t="s">
        <v>460</v>
      </c>
      <c r="B42" t="str">
        <f>IFERROR(INDEX('8_Calc_Exp_ISIC'!$C$85:$C$126, MATCH($A42, '8_Calc_Exp_ISIC'!$A$85:$A$126, 0)), 0)</f>
      </c>
      <c r="C42" t="str">
        <f>IFERROR(INDEX('9_Output_by_ISIC'!$B$2:$B$43, MATCH($A42, '9_Output_by_ISIC'!$A$2:$A$43, 0)), 0)</f>
      </c>
      <c r="D42" t="str">
        <f>B42/MAX(C42, Keys!$C$4)</f>
      </c>
      <c r="E42" t="str">
        <f>MIN(1, MAX(0, D42))</f>
      </c>
      <c r="F42" t="str">
        <f>IFERROR(INDEX('9c_ESoP_overrides'!$B$2:$B$3, MATCH($A42, '9c_ESoP_overrides'!$A$2:$A$3, 0)), E42)</f>
      </c>
    </row>
    <row r="43">
      <c r="A43" t="s">
        <v>466</v>
      </c>
      <c r="B43" t="str">
        <f>IFERROR(INDEX('8_Calc_Exp_ISIC'!$C$85:$C$126, MATCH($A43, '8_Calc_Exp_ISIC'!$A$85:$A$126, 0)), 0)</f>
      </c>
      <c r="C43" t="str">
        <f>IFERROR(INDEX('9_Output_by_ISIC'!$B$2:$B$43, MATCH($A43, '9_Output_by_ISIC'!$A$2:$A$43, 0)), 0)</f>
      </c>
      <c r="D43" t="str">
        <f>B43/MAX(C43, Keys!$C$4)</f>
      </c>
      <c r="E43" t="str">
        <f>MIN(1, MAX(0, D43))</f>
      </c>
      <c r="F43" t="str">
        <f>IFERROR(INDEX('9c_ESoP_overrides'!$B$2:$B$3, MATCH($A43, '9c_ESoP_overrides'!$A$2:$A$3, 0)), E43)</f>
      </c>
    </row>
    <row r="44">
      <c r="A44" t="s">
        <v>583</v>
      </c>
      <c r="B44" t="str">
        <f>IFERROR(INDEX('8_Calc_Exp_ISIC'!$C$85:$C$126, MATCH($A44, '8_Calc_Exp_ISIC'!$A$85:$A$126, 0)), 0)</f>
      </c>
      <c r="C44" t="str">
        <f>IFERROR(INDEX('9_Output_by_ISIC'!$B$2:$B$43, MATCH($A44, '9_Output_by_ISIC'!$A$2:$A$43, 0)), 0)</f>
      </c>
      <c r="D44" t="str">
        <f>B44/MAX(C44, Keys!$C$4)</f>
      </c>
      <c r="E44" t="str">
        <f>MIN(1, MAX(0, D44))</f>
      </c>
      <c r="F44" t="str">
        <f>IFERROR(INDEX('9c_ESoP_overrides'!$B$2:$B$3, MATCH($A44, '9c_ESoP_overrides'!$A$2:$A$3, 0)), E44)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">
        <v>610</v>
      </c>
      <c r="B1" t="s">
        <v>340</v>
      </c>
      <c r="C1" t="s">
        <v>482</v>
      </c>
      <c r="D1" t="s">
        <v>344</v>
      </c>
      <c r="E1" t="s">
        <v>485</v>
      </c>
      <c r="F1" t="s">
        <v>347</v>
      </c>
      <c r="G1" t="s">
        <v>362</v>
      </c>
      <c r="H1" t="s">
        <v>365</v>
      </c>
      <c r="I1" t="s">
        <v>369</v>
      </c>
      <c r="J1" t="s">
        <v>372</v>
      </c>
      <c r="K1" t="s">
        <v>376</v>
      </c>
      <c r="L1" t="s">
        <v>498</v>
      </c>
      <c r="M1" t="s">
        <v>501</v>
      </c>
      <c r="N1" t="s">
        <v>126</v>
      </c>
      <c r="O1" t="s">
        <v>488</v>
      </c>
      <c r="P1" t="s">
        <v>491</v>
      </c>
      <c r="Q1" t="s">
        <v>379</v>
      </c>
      <c r="R1" t="s">
        <v>495</v>
      </c>
      <c r="S1" t="s">
        <v>385</v>
      </c>
      <c r="T1" t="s">
        <v>390</v>
      </c>
      <c r="U1" t="s">
        <v>393</v>
      </c>
      <c r="V1" t="s">
        <v>387</v>
      </c>
      <c r="W1" t="s">
        <v>396</v>
      </c>
      <c r="X1" t="s">
        <v>399</v>
      </c>
      <c r="Y1" t="s">
        <v>402</v>
      </c>
      <c r="Z1" t="s">
        <v>350</v>
      </c>
      <c r="AA1" t="s">
        <v>353</v>
      </c>
      <c r="AB1" t="s">
        <v>356</v>
      </c>
      <c r="AC1" t="s">
        <v>360</v>
      </c>
      <c r="AD1" t="s">
        <v>406</v>
      </c>
      <c r="AE1" t="s">
        <v>413</v>
      </c>
      <c r="AF1" t="s">
        <v>470</v>
      </c>
      <c r="AG1" t="s">
        <v>425</v>
      </c>
      <c r="AH1" t="s">
        <v>177</v>
      </c>
      <c r="AI1" t="s">
        <v>432</v>
      </c>
      <c r="AJ1" t="s">
        <v>435</v>
      </c>
      <c r="AK1" t="s">
        <v>441</v>
      </c>
      <c r="AL1" t="s">
        <v>445</v>
      </c>
      <c r="AM1" t="s">
        <v>475</v>
      </c>
      <c r="AN1" t="s">
        <v>457</v>
      </c>
      <c r="AO1" t="s">
        <v>460</v>
      </c>
      <c r="AP1" t="s">
        <v>466</v>
      </c>
      <c r="AQ1" t="s">
        <v>583</v>
      </c>
    </row>
    <row r="2">
      <c r="A2" t="s">
        <v>611</v>
      </c>
      <c r="B2" t="str">
        <f>INDEX('10_Calc_DCS_ratio'!$F$3:$F$44, MATCH(B$1, '10_Calc_DCS_ratio'!$A$3:$A$44, 0))</f>
      </c>
      <c r="C2" t="str">
        <f>INDEX('10_Calc_DCS_ratio'!$F$3:$F$44, MATCH(C$1, '10_Calc_DCS_ratio'!$A$3:$A$44, 0))</f>
      </c>
      <c r="D2" t="str">
        <f>INDEX('10_Calc_DCS_ratio'!$F$3:$F$44, MATCH(D$1, '10_Calc_DCS_ratio'!$A$3:$A$44, 0))</f>
      </c>
      <c r="E2" t="str">
        <f>INDEX('10_Calc_DCS_ratio'!$F$3:$F$44, MATCH(E$1, '10_Calc_DCS_ratio'!$A$3:$A$44, 0))</f>
      </c>
      <c r="F2" t="str">
        <f>INDEX('10_Calc_DCS_ratio'!$F$3:$F$44, MATCH(F$1, '10_Calc_DCS_ratio'!$A$3:$A$44, 0))</f>
      </c>
      <c r="G2" t="str">
        <f>INDEX('10_Calc_DCS_ratio'!$F$3:$F$44, MATCH(G$1, '10_Calc_DCS_ratio'!$A$3:$A$44, 0))</f>
      </c>
      <c r="H2" t="str">
        <f>INDEX('10_Calc_DCS_ratio'!$F$3:$F$44, MATCH(H$1, '10_Calc_DCS_ratio'!$A$3:$A$44, 0))</f>
      </c>
      <c r="I2" t="str">
        <f>INDEX('10_Calc_DCS_ratio'!$F$3:$F$44, MATCH(I$1, '10_Calc_DCS_ratio'!$A$3:$A$44, 0))</f>
      </c>
      <c r="J2" t="str">
        <f>INDEX('10_Calc_DCS_ratio'!$F$3:$F$44, MATCH(J$1, '10_Calc_DCS_ratio'!$A$3:$A$44, 0))</f>
      </c>
      <c r="K2" t="str">
        <f>INDEX('10_Calc_DCS_ratio'!$F$3:$F$44, MATCH(K$1, '10_Calc_DCS_ratio'!$A$3:$A$44, 0))</f>
      </c>
      <c r="L2" t="str">
        <f>INDEX('10_Calc_DCS_ratio'!$F$3:$F$44, MATCH(L$1, '10_Calc_DCS_ratio'!$A$3:$A$44, 0))</f>
      </c>
      <c r="M2" t="str">
        <f>INDEX('10_Calc_DCS_ratio'!$F$3:$F$44, MATCH(M$1, '10_Calc_DCS_ratio'!$A$3:$A$44, 0))</f>
      </c>
      <c r="N2" t="str">
        <f>INDEX('10_Calc_DCS_ratio'!$F$3:$F$44, MATCH(N$1, '10_Calc_DCS_ratio'!$A$3:$A$44, 0))</f>
      </c>
      <c r="O2" t="str">
        <f>INDEX('10_Calc_DCS_ratio'!$F$3:$F$44, MATCH(O$1, '10_Calc_DCS_ratio'!$A$3:$A$44, 0))</f>
      </c>
      <c r="P2" t="str">
        <f>INDEX('10_Calc_DCS_ratio'!$F$3:$F$44, MATCH(P$1, '10_Calc_DCS_ratio'!$A$3:$A$44, 0))</f>
      </c>
      <c r="Q2" t="str">
        <f>INDEX('10_Calc_DCS_ratio'!$F$3:$F$44, MATCH(Q$1, '10_Calc_DCS_ratio'!$A$3:$A$44, 0))</f>
      </c>
      <c r="R2" t="str">
        <f>INDEX('10_Calc_DCS_ratio'!$F$3:$F$44, MATCH(R$1, '10_Calc_DCS_ratio'!$A$3:$A$44, 0))</f>
      </c>
      <c r="S2" t="str">
        <f>INDEX('10_Calc_DCS_ratio'!$F$3:$F$44, MATCH(S$1, '10_Calc_DCS_ratio'!$A$3:$A$44, 0))</f>
      </c>
      <c r="T2" t="str">
        <f>INDEX('10_Calc_DCS_ratio'!$F$3:$F$44, MATCH(T$1, '10_Calc_DCS_ratio'!$A$3:$A$44, 0))</f>
      </c>
      <c r="U2" t="str">
        <f>INDEX('10_Calc_DCS_ratio'!$F$3:$F$44, MATCH(U$1, '10_Calc_DCS_ratio'!$A$3:$A$44, 0))</f>
      </c>
      <c r="V2" t="str">
        <f>INDEX('10_Calc_DCS_ratio'!$F$3:$F$44, MATCH(V$1, '10_Calc_DCS_ratio'!$A$3:$A$44, 0))</f>
      </c>
      <c r="W2" t="str">
        <f>INDEX('10_Calc_DCS_ratio'!$F$3:$F$44, MATCH(W$1, '10_Calc_DCS_ratio'!$A$3:$A$44, 0))</f>
      </c>
      <c r="X2" t="str">
        <f>INDEX('10_Calc_DCS_ratio'!$F$3:$F$44, MATCH(X$1, '10_Calc_DCS_ratio'!$A$3:$A$44, 0))</f>
      </c>
      <c r="Y2" t="str">
        <f>INDEX('10_Calc_DCS_ratio'!$F$3:$F$44, MATCH(Y$1, '10_Calc_DCS_ratio'!$A$3:$A$44, 0))</f>
      </c>
      <c r="Z2" t="str">
        <f>INDEX('10_Calc_DCS_ratio'!$F$3:$F$44, MATCH(Z$1, '10_Calc_DCS_ratio'!$A$3:$A$44, 0))</f>
      </c>
      <c r="AA2" t="str">
        <f>INDEX('10_Calc_DCS_ratio'!$F$3:$F$44, MATCH(AA$1, '10_Calc_DCS_ratio'!$A$3:$A$44, 0))</f>
      </c>
      <c r="AB2" t="str">
        <f>INDEX('10_Calc_DCS_ratio'!$F$3:$F$44, MATCH(AB$1, '10_Calc_DCS_ratio'!$A$3:$A$44, 0))</f>
      </c>
      <c r="AC2" t="str">
        <f>INDEX('10_Calc_DCS_ratio'!$F$3:$F$44, MATCH(AC$1, '10_Calc_DCS_ratio'!$A$3:$A$44, 0))</f>
      </c>
      <c r="AD2" t="str">
        <f>INDEX('10_Calc_DCS_ratio'!$F$3:$F$44, MATCH(AD$1, '10_Calc_DCS_ratio'!$A$3:$A$44, 0))</f>
      </c>
      <c r="AE2" t="str">
        <f>INDEX('10_Calc_DCS_ratio'!$F$3:$F$44, MATCH(AE$1, '10_Calc_DCS_ratio'!$A$3:$A$44, 0))</f>
      </c>
      <c r="AF2" t="str">
        <f>INDEX('10_Calc_DCS_ratio'!$F$3:$F$44, MATCH(AF$1, '10_Calc_DCS_ratio'!$A$3:$A$44, 0))</f>
      </c>
      <c r="AG2" t="str">
        <f>INDEX('10_Calc_DCS_ratio'!$F$3:$F$44, MATCH(AG$1, '10_Calc_DCS_ratio'!$A$3:$A$44, 0))</f>
      </c>
      <c r="AH2" t="str">
        <f>INDEX('10_Calc_DCS_ratio'!$F$3:$F$44, MATCH(AH$1, '10_Calc_DCS_ratio'!$A$3:$A$44, 0))</f>
      </c>
      <c r="AI2" t="str">
        <f>INDEX('10_Calc_DCS_ratio'!$F$3:$F$44, MATCH(AI$1, '10_Calc_DCS_ratio'!$A$3:$A$44, 0))</f>
      </c>
      <c r="AJ2" t="str">
        <f>INDEX('10_Calc_DCS_ratio'!$F$3:$F$44, MATCH(AJ$1, '10_Calc_DCS_ratio'!$A$3:$A$44, 0))</f>
      </c>
      <c r="AK2" t="str">
        <f>INDEX('10_Calc_DCS_ratio'!$F$3:$F$44, MATCH(AK$1, '10_Calc_DCS_ratio'!$A$3:$A$44, 0))</f>
      </c>
      <c r="AL2" t="str">
        <f>INDEX('10_Calc_DCS_ratio'!$F$3:$F$44, MATCH(AL$1, '10_Calc_DCS_ratio'!$A$3:$A$44, 0))</f>
      </c>
      <c r="AM2" t="str">
        <f>INDEX('10_Calc_DCS_ratio'!$F$3:$F$44, MATCH(AM$1, '10_Calc_DCS_ratio'!$A$3:$A$44, 0))</f>
      </c>
      <c r="AN2" t="str">
        <f>INDEX('10_Calc_DCS_ratio'!$F$3:$F$44, MATCH(AN$1, '10_Calc_DCS_ratio'!$A$3:$A$44, 0))</f>
      </c>
      <c r="AO2" t="str">
        <f>INDEX('10_Calc_DCS_ratio'!$F$3:$F$44, MATCH(AO$1, '10_Calc_DCS_ratio'!$A$3:$A$44, 0))</f>
      </c>
      <c r="AP2" t="str">
        <f>INDEX('10_Calc_DCS_ratio'!$F$3:$F$44, MATCH(AP$1, '10_Calc_DCS_ratio'!$A$3:$A$44, 0))</f>
      </c>
      <c r="AQ2" t="str">
        <f>INDEX('10_Calc_DCS_ratio'!$F$3:$F$44, MATCH(AQ$1, '10_Calc_DCS_ratio'!$A$3:$A$44, 0))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">
        <v>610</v>
      </c>
      <c r="B1" t="s">
        <v>340</v>
      </c>
      <c r="C1" t="s">
        <v>482</v>
      </c>
      <c r="D1" t="s">
        <v>344</v>
      </c>
      <c r="E1" t="s">
        <v>485</v>
      </c>
      <c r="F1" t="s">
        <v>347</v>
      </c>
      <c r="G1" t="s">
        <v>362</v>
      </c>
      <c r="H1" t="s">
        <v>365</v>
      </c>
      <c r="I1" t="s">
        <v>369</v>
      </c>
      <c r="J1" t="s">
        <v>372</v>
      </c>
      <c r="K1" t="s">
        <v>376</v>
      </c>
      <c r="L1" t="s">
        <v>498</v>
      </c>
      <c r="M1" t="s">
        <v>501</v>
      </c>
      <c r="N1" t="s">
        <v>126</v>
      </c>
      <c r="O1" t="s">
        <v>488</v>
      </c>
      <c r="P1" t="s">
        <v>491</v>
      </c>
      <c r="Q1" t="s">
        <v>379</v>
      </c>
      <c r="R1" t="s">
        <v>495</v>
      </c>
      <c r="S1" t="s">
        <v>385</v>
      </c>
      <c r="T1" t="s">
        <v>390</v>
      </c>
      <c r="U1" t="s">
        <v>393</v>
      </c>
      <c r="V1" t="s">
        <v>387</v>
      </c>
      <c r="W1" t="s">
        <v>396</v>
      </c>
      <c r="X1" t="s">
        <v>399</v>
      </c>
      <c r="Y1" t="s">
        <v>402</v>
      </c>
      <c r="Z1" t="s">
        <v>350</v>
      </c>
      <c r="AA1" t="s">
        <v>353</v>
      </c>
      <c r="AB1" t="s">
        <v>356</v>
      </c>
      <c r="AC1" t="s">
        <v>360</v>
      </c>
      <c r="AD1" t="s">
        <v>406</v>
      </c>
      <c r="AE1" t="s">
        <v>413</v>
      </c>
      <c r="AF1" t="s">
        <v>470</v>
      </c>
      <c r="AG1" t="s">
        <v>425</v>
      </c>
      <c r="AH1" t="s">
        <v>177</v>
      </c>
      <c r="AI1" t="s">
        <v>432</v>
      </c>
      <c r="AJ1" t="s">
        <v>435</v>
      </c>
      <c r="AK1" t="s">
        <v>441</v>
      </c>
      <c r="AL1" t="s">
        <v>445</v>
      </c>
      <c r="AM1" t="s">
        <v>475</v>
      </c>
      <c r="AN1" t="s">
        <v>457</v>
      </c>
      <c r="AO1" t="s">
        <v>460</v>
      </c>
      <c r="AP1" t="s">
        <v>466</v>
      </c>
      <c r="AQ1" t="s">
        <v>583</v>
      </c>
    </row>
    <row r="2">
      <c r="A2" t="s">
        <v>612</v>
      </c>
      <c r="B2" t="str">
        <f>INDEX('11_Calc_ESoP_ratio'!$F$3:$F$44, MATCH(B$1, '11_Calc_ESoP_ratio'!$A$3:$A$44, 0))</f>
      </c>
      <c r="C2" t="str">
        <f>INDEX('11_Calc_ESoP_ratio'!$F$3:$F$44, MATCH(C$1, '11_Calc_ESoP_ratio'!$A$3:$A$44, 0))</f>
      </c>
      <c r="D2" t="str">
        <f>INDEX('11_Calc_ESoP_ratio'!$F$3:$F$44, MATCH(D$1, '11_Calc_ESoP_ratio'!$A$3:$A$44, 0))</f>
      </c>
      <c r="E2" t="str">
        <f>INDEX('11_Calc_ESoP_ratio'!$F$3:$F$44, MATCH(E$1, '11_Calc_ESoP_ratio'!$A$3:$A$44, 0))</f>
      </c>
      <c r="F2" t="str">
        <f>INDEX('11_Calc_ESoP_ratio'!$F$3:$F$44, MATCH(F$1, '11_Calc_ESoP_ratio'!$A$3:$A$44, 0))</f>
      </c>
      <c r="G2" t="str">
        <f>INDEX('11_Calc_ESoP_ratio'!$F$3:$F$44, MATCH(G$1, '11_Calc_ESoP_ratio'!$A$3:$A$44, 0))</f>
      </c>
      <c r="H2" t="str">
        <f>INDEX('11_Calc_ESoP_ratio'!$F$3:$F$44, MATCH(H$1, '11_Calc_ESoP_ratio'!$A$3:$A$44, 0))</f>
      </c>
      <c r="I2" t="str">
        <f>INDEX('11_Calc_ESoP_ratio'!$F$3:$F$44, MATCH(I$1, '11_Calc_ESoP_ratio'!$A$3:$A$44, 0))</f>
      </c>
      <c r="J2" t="str">
        <f>INDEX('11_Calc_ESoP_ratio'!$F$3:$F$44, MATCH(J$1, '11_Calc_ESoP_ratio'!$A$3:$A$44, 0))</f>
      </c>
      <c r="K2" t="str">
        <f>INDEX('11_Calc_ESoP_ratio'!$F$3:$F$44, MATCH(K$1, '11_Calc_ESoP_ratio'!$A$3:$A$44, 0))</f>
      </c>
      <c r="L2" t="str">
        <f>INDEX('11_Calc_ESoP_ratio'!$F$3:$F$44, MATCH(L$1, '11_Calc_ESoP_ratio'!$A$3:$A$44, 0))</f>
      </c>
      <c r="M2" t="str">
        <f>INDEX('11_Calc_ESoP_ratio'!$F$3:$F$44, MATCH(M$1, '11_Calc_ESoP_ratio'!$A$3:$A$44, 0))</f>
      </c>
      <c r="N2" t="str">
        <f>INDEX('11_Calc_ESoP_ratio'!$F$3:$F$44, MATCH(N$1, '11_Calc_ESoP_ratio'!$A$3:$A$44, 0))</f>
      </c>
      <c r="O2" t="str">
        <f>INDEX('11_Calc_ESoP_ratio'!$F$3:$F$44, MATCH(O$1, '11_Calc_ESoP_ratio'!$A$3:$A$44, 0))</f>
      </c>
      <c r="P2" t="str">
        <f>INDEX('11_Calc_ESoP_ratio'!$F$3:$F$44, MATCH(P$1, '11_Calc_ESoP_ratio'!$A$3:$A$44, 0))</f>
      </c>
      <c r="Q2" t="str">
        <f>INDEX('11_Calc_ESoP_ratio'!$F$3:$F$44, MATCH(Q$1, '11_Calc_ESoP_ratio'!$A$3:$A$44, 0))</f>
      </c>
      <c r="R2" t="str">
        <f>INDEX('11_Calc_ESoP_ratio'!$F$3:$F$44, MATCH(R$1, '11_Calc_ESoP_ratio'!$A$3:$A$44, 0))</f>
      </c>
      <c r="S2" t="str">
        <f>INDEX('11_Calc_ESoP_ratio'!$F$3:$F$44, MATCH(S$1, '11_Calc_ESoP_ratio'!$A$3:$A$44, 0))</f>
      </c>
      <c r="T2" t="str">
        <f>INDEX('11_Calc_ESoP_ratio'!$F$3:$F$44, MATCH(T$1, '11_Calc_ESoP_ratio'!$A$3:$A$44, 0))</f>
      </c>
      <c r="U2" t="str">
        <f>INDEX('11_Calc_ESoP_ratio'!$F$3:$F$44, MATCH(U$1, '11_Calc_ESoP_ratio'!$A$3:$A$44, 0))</f>
      </c>
      <c r="V2" t="str">
        <f>INDEX('11_Calc_ESoP_ratio'!$F$3:$F$44, MATCH(V$1, '11_Calc_ESoP_ratio'!$A$3:$A$44, 0))</f>
      </c>
      <c r="W2" t="str">
        <f>INDEX('11_Calc_ESoP_ratio'!$F$3:$F$44, MATCH(W$1, '11_Calc_ESoP_ratio'!$A$3:$A$44, 0))</f>
      </c>
      <c r="X2" t="str">
        <f>INDEX('11_Calc_ESoP_ratio'!$F$3:$F$44, MATCH(X$1, '11_Calc_ESoP_ratio'!$A$3:$A$44, 0))</f>
      </c>
      <c r="Y2" t="str">
        <f>INDEX('11_Calc_ESoP_ratio'!$F$3:$F$44, MATCH(Y$1, '11_Calc_ESoP_ratio'!$A$3:$A$44, 0))</f>
      </c>
      <c r="Z2" t="str">
        <f>INDEX('11_Calc_ESoP_ratio'!$F$3:$F$44, MATCH(Z$1, '11_Calc_ESoP_ratio'!$A$3:$A$44, 0))</f>
      </c>
      <c r="AA2" t="str">
        <f>INDEX('11_Calc_ESoP_ratio'!$F$3:$F$44, MATCH(AA$1, '11_Calc_ESoP_ratio'!$A$3:$A$44, 0))</f>
      </c>
      <c r="AB2" t="str">
        <f>INDEX('11_Calc_ESoP_ratio'!$F$3:$F$44, MATCH(AB$1, '11_Calc_ESoP_ratio'!$A$3:$A$44, 0))</f>
      </c>
      <c r="AC2" t="str">
        <f>INDEX('11_Calc_ESoP_ratio'!$F$3:$F$44, MATCH(AC$1, '11_Calc_ESoP_ratio'!$A$3:$A$44, 0))</f>
      </c>
      <c r="AD2" t="str">
        <f>INDEX('11_Calc_ESoP_ratio'!$F$3:$F$44, MATCH(AD$1, '11_Calc_ESoP_ratio'!$A$3:$A$44, 0))</f>
      </c>
      <c r="AE2" t="str">
        <f>INDEX('11_Calc_ESoP_ratio'!$F$3:$F$44, MATCH(AE$1, '11_Calc_ESoP_ratio'!$A$3:$A$44, 0))</f>
      </c>
      <c r="AF2" t="str">
        <f>INDEX('11_Calc_ESoP_ratio'!$F$3:$F$44, MATCH(AF$1, '11_Calc_ESoP_ratio'!$A$3:$A$44, 0))</f>
      </c>
      <c r="AG2" t="str">
        <f>INDEX('11_Calc_ESoP_ratio'!$F$3:$F$44, MATCH(AG$1, '11_Calc_ESoP_ratio'!$A$3:$A$44, 0))</f>
      </c>
      <c r="AH2" t="str">
        <f>INDEX('11_Calc_ESoP_ratio'!$F$3:$F$44, MATCH(AH$1, '11_Calc_ESoP_ratio'!$A$3:$A$44, 0))</f>
      </c>
      <c r="AI2" t="str">
        <f>INDEX('11_Calc_ESoP_ratio'!$F$3:$F$44, MATCH(AI$1, '11_Calc_ESoP_ratio'!$A$3:$A$44, 0))</f>
      </c>
      <c r="AJ2" t="str">
        <f>INDEX('11_Calc_ESoP_ratio'!$F$3:$F$44, MATCH(AJ$1, '11_Calc_ESoP_ratio'!$A$3:$A$44, 0))</f>
      </c>
      <c r="AK2" t="str">
        <f>INDEX('11_Calc_ESoP_ratio'!$F$3:$F$44, MATCH(AK$1, '11_Calc_ESoP_ratio'!$A$3:$A$44, 0))</f>
      </c>
      <c r="AL2" t="str">
        <f>INDEX('11_Calc_ESoP_ratio'!$F$3:$F$44, MATCH(AL$1, '11_Calc_ESoP_ratio'!$A$3:$A$44, 0))</f>
      </c>
      <c r="AM2" t="str">
        <f>INDEX('11_Calc_ESoP_ratio'!$F$3:$F$44, MATCH(AM$1, '11_Calc_ESoP_ratio'!$A$3:$A$44, 0))</f>
      </c>
      <c r="AN2" t="str">
        <f>INDEX('11_Calc_ESoP_ratio'!$F$3:$F$44, MATCH(AN$1, '11_Calc_ESoP_ratio'!$A$3:$A$44, 0))</f>
      </c>
      <c r="AO2" t="str">
        <f>INDEX('11_Calc_ESoP_ratio'!$F$3:$F$44, MATCH(AO$1, '11_Calc_ESoP_ratio'!$A$3:$A$44, 0))</f>
      </c>
      <c r="AP2" t="str">
        <f>INDEX('11_Calc_ESoP_ratio'!$F$3:$F$44, MATCH(AP$1, '11_Calc_ESoP_ratio'!$A$3:$A$44, 0))</f>
      </c>
      <c r="AQ2" t="str">
        <f>INDEX('11_Calc_ESoP_ratio'!$F$3:$F$44, MATCH(AQ$1, '11_Calc_ESoP_ratio'!$A$3:$A$44, 0))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OliviaAshmoore</dc:creator>
  <cp:lastModifiedBy>OliviaAshmoore</cp:lastModifiedBy>
  <dcterms:created xsi:type="dcterms:W3CDTF">2026-07-17T19:18:32Z</dcterms:created>
</coreProperties>
</file>