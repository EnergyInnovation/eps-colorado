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CO\add-outputs\NoH\"/>
    </mc:Choice>
  </mc:AlternateContent>
  <xr:revisionPtr revIDLastSave="0" documentId="8_{74E6BDC8-2182-4A44-B9AC-258A19FF9010}"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X2" i="3"/>
  <c r="D2" i="3"/>
  <c r="Z2" i="3"/>
  <c r="E2" i="3"/>
  <c r="AA2" i="3"/>
  <c r="S2" i="3"/>
  <c r="U2" i="3"/>
  <c r="F2" i="3"/>
  <c r="AB2" i="3"/>
  <c r="AE2" i="3"/>
  <c r="T2" i="3"/>
  <c r="G2" i="3"/>
  <c r="AC2" i="3"/>
  <c r="O2" i="3"/>
  <c r="Q2" i="3"/>
  <c r="H2" i="3"/>
  <c r="AD2" i="3"/>
  <c r="I2" i="3"/>
  <c r="N2" i="3"/>
  <c r="P2" i="3"/>
  <c r="J2" i="3"/>
  <c r="B2" i="3"/>
  <c r="L2" i="3"/>
  <c r="R2" i="3"/>
  <c r="V2" i="3"/>
  <c r="K2" i="3"/>
  <c r="M2" i="3"/>
  <c r="W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<sst xmlns="http://schemas.openxmlformats.org/spreadsheetml/2006/main" count="1069" uniqueCount="448">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</sst>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336</v>
      </c>
      <c r="C1" s="68">
        <v>46185</v>
      </c>
      <c r="H1" t="s">
        <v>324</v>
      </c>
      <c r="I1" t="s">
        <v>325</v>
      </c>
    </row>
    <row r="2" spans="1:9" x14ac:dyDescent="0.25">
      <c r="B2" t="str">
        <f>VLOOKUP(B1,H2:I52,2)</f>
        <v>CO</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2221890.8183834921</v>
      </c>
      <c r="C2">
        <f>SUMIFS('state calcs'!C62:C112,'state calcs'!$A$62:$A$112,About!$B$2)</f>
        <v>2268017.6609642482</v>
      </c>
      <c r="D2">
        <f>SUMIFS('state calcs'!D62:D112,'state calcs'!$A$62:$A$112,About!$B$2)</f>
        <v>2300896.1793735009</v>
      </c>
      <c r="E2">
        <f>SUMIFS('state calcs'!E62:E112,'state calcs'!$A$62:$A$112,About!$B$2)</f>
        <v>2333904.0809383434</v>
      </c>
      <c r="F2">
        <f>SUMIFS('state calcs'!F62:F112,'state calcs'!$A$62:$A$112,About!$B$2)</f>
        <v>2367491.582704396</v>
      </c>
      <c r="G2">
        <f>SUMIFS('state calcs'!G62:G112,'state calcs'!$A$62:$A$112,About!$B$2)</f>
        <v>2401110.2290389054</v>
      </c>
      <c r="H2">
        <f>SUMIFS('state calcs'!H62:H112,'state calcs'!$A$62:$A$112,About!$B$2)</f>
        <v>2434930.1058270708</v>
      </c>
      <c r="I2">
        <f>SUMIFS('state calcs'!I62:I112,'state calcs'!$A$62:$A$112,About!$B$2)</f>
        <v>2468996.3934278898</v>
      </c>
      <c r="J2">
        <f>SUMIFS('state calcs'!J62:J112,'state calcs'!$A$62:$A$112,About!$B$2)</f>
        <v>2502979.2608254827</v>
      </c>
      <c r="K2">
        <f>SUMIFS('state calcs'!K62:K112,'state calcs'!$A$62:$A$112,About!$B$2)</f>
        <v>2536471.5818212763</v>
      </c>
      <c r="L2">
        <f>SUMIFS('state calcs'!L62:L112,'state calcs'!$A$62:$A$112,About!$B$2)</f>
        <v>2575770.3415138787</v>
      </c>
      <c r="M2">
        <f>SUMIFS('state calcs'!M62:M112,'state calcs'!$A$62:$A$112,About!$B$2)</f>
        <v>2615082.0618099272</v>
      </c>
      <c r="N2">
        <f>SUMIFS('state calcs'!N62:N112,'state calcs'!$A$62:$A$112,About!$B$2)</f>
        <v>2654087.3187466296</v>
      </c>
      <c r="O2">
        <f>SUMIFS('state calcs'!O62:O112,'state calcs'!$A$62:$A$112,About!$B$2)</f>
        <v>2692579.3754644622</v>
      </c>
      <c r="P2">
        <f>SUMIFS('state calcs'!P62:P112,'state calcs'!$A$62:$A$112,About!$B$2)</f>
        <v>2730934.5199427907</v>
      </c>
      <c r="Q2">
        <f>SUMIFS('state calcs'!Q62:Q112,'state calcs'!$A$62:$A$112,About!$B$2)</f>
        <v>2769465.0199322887</v>
      </c>
      <c r="R2">
        <f>SUMIFS('state calcs'!R62:R112,'state calcs'!$A$62:$A$112,About!$B$2)</f>
        <v>2808004.4437640901</v>
      </c>
      <c r="S2">
        <f>SUMIFS('state calcs'!S62:S112,'state calcs'!$A$62:$A$112,About!$B$2)</f>
        <v>2846595.7584275543</v>
      </c>
      <c r="T2">
        <f>SUMIFS('state calcs'!T62:T112,'state calcs'!$A$62:$A$112,About!$B$2)</f>
        <v>2885170.4601984816</v>
      </c>
      <c r="U2">
        <f>SUMIFS('state calcs'!U62:U112,'state calcs'!$A$62:$A$112,About!$B$2)</f>
        <v>2924119.7599154757</v>
      </c>
      <c r="V2">
        <f>SUMIFS('state calcs'!V62:V112,'state calcs'!$A$62:$A$112,About!$B$2)</f>
        <v>2964845.3757340419</v>
      </c>
      <c r="W2">
        <f>SUMIFS('state calcs'!W62:W112,'state calcs'!$A$62:$A$112,About!$B$2)</f>
        <v>3005426.6608710289</v>
      </c>
      <c r="X2">
        <f>SUMIFS('state calcs'!X62:X112,'state calcs'!$A$62:$A$112,About!$B$2)</f>
        <v>3046019.1092505208</v>
      </c>
      <c r="Y2">
        <f>SUMIFS('state calcs'!Y62:Y112,'state calcs'!$A$62:$A$112,About!$B$2)</f>
        <v>3086634.0636813859</v>
      </c>
      <c r="Z2">
        <f>SUMIFS('state calcs'!Z62:Z112,'state calcs'!$A$62:$A$112,About!$B$2)</f>
        <v>3127289.6601001001</v>
      </c>
      <c r="AA2">
        <f>SUMIFS('state calcs'!AA62:AA112,'state calcs'!$A$62:$A$112,About!$B$2)</f>
        <v>3167903.2092161812</v>
      </c>
      <c r="AB2">
        <f>SUMIFS('state calcs'!AB62:AB112,'state calcs'!$A$62:$A$112,About!$B$2)</f>
        <v>3208604.1799432002</v>
      </c>
      <c r="AC2">
        <f>SUMIFS('state calcs'!AC62:AC112,'state calcs'!$A$62:$A$112,About!$B$2)</f>
        <v>3249238.7084851861</v>
      </c>
      <c r="AD2">
        <f>SUMIFS('state calcs'!AD62:AD112,'state calcs'!$A$62:$A$112,About!$B$2)</f>
        <v>3289779.0518791131</v>
      </c>
      <c r="AE2">
        <f>SUMIFS('state calcs'!AE62:AE112,'state calcs'!$A$62:$A$112,About!$B$2)</f>
        <v>3330284.7367474656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2026-06-12T19:28:06Z</dcterms:modified>
</cp:coreProperties>
</file>