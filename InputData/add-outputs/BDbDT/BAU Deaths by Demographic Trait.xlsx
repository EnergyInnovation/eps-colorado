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3D43200F-202C-4AC6-8AB3-B33567917C6B}"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W25" i="9"/>
  <c r="V25" i="9"/>
  <c r="U25" i="9"/>
  <c r="T25" i="9"/>
  <c r="S25" i="9"/>
  <c r="R25" i="9"/>
  <c r="Q25" i="9"/>
  <c r="P25" i="9"/>
  <c r="O25" i="9"/>
  <c r="N25" i="9"/>
  <c r="M25" i="9"/>
  <c r="L25" i="9"/>
  <c r="K25" i="9"/>
  <c r="J25" i="9"/>
  <c r="I25" i="9"/>
  <c r="H25" i="9"/>
  <c r="G25" i="9"/>
  <c r="F25" i="9"/>
  <c r="F45" i="9" s="1"/>
  <c r="E25" i="9"/>
  <c r="E45" i="9" s="1"/>
  <c r="D25" i="9"/>
  <c r="D45" i="9" s="1"/>
  <c r="C25" i="9"/>
  <c r="C45" i="9" s="1"/>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M15" i="9" s="1"/>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K45" i="9" l="1"/>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AA61" i="9" s="1"/>
  <c r="AA5" i="11" s="1"/>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S51" i="9" s="1"/>
  <c r="S5" i="10" s="1"/>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C50" i="9" s="1"/>
  <c r="F10" i="9"/>
  <c r="F11" i="9"/>
  <c r="D55" i="9" s="1"/>
  <c r="D9" i="10" s="1"/>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G53" i="9" s="1"/>
  <c r="G7" i="10" s="1"/>
  <c r="N15" i="9"/>
  <c r="O15" i="9"/>
  <c r="P15" i="9"/>
  <c r="F5" i="9"/>
  <c r="G49" i="9" s="1"/>
  <c r="G3" i="10" s="1"/>
  <c r="G51" i="9" l="1"/>
  <c r="G5" i="10" s="1"/>
  <c r="Y55" i="9"/>
  <c r="Y9" i="10" s="1"/>
  <c r="L48" i="9"/>
  <c r="W58" i="9"/>
  <c r="W2" i="11" s="1"/>
  <c r="I53" i="9"/>
  <c r="I7" i="10" s="1"/>
  <c r="L53" i="9"/>
  <c r="L7" i="10" s="1"/>
  <c r="M63" i="9"/>
  <c r="M7" i="11" s="1"/>
  <c r="T58" i="9"/>
  <c r="T2" i="11" s="1"/>
  <c r="T59" i="9"/>
  <c r="T3" i="11" s="1"/>
  <c r="S59" i="9"/>
  <c r="S3" i="11" s="1"/>
  <c r="T63" i="9"/>
  <c r="T7" i="11" s="1"/>
  <c r="K48" i="9"/>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B64" i="9"/>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R68" i="9" s="1"/>
  <c r="Y50" i="9"/>
  <c r="Y4" i="10" s="1"/>
  <c r="Y53" i="9"/>
  <c r="Y7" i="10" s="1"/>
  <c r="G58" i="9"/>
  <c r="G2" i="11" s="1"/>
  <c r="J50" i="9"/>
  <c r="J4" i="10" s="1"/>
  <c r="AA58" i="9"/>
  <c r="K53" i="9"/>
  <c r="K7" i="10" s="1"/>
  <c r="Z50" i="9"/>
  <c r="Z4" i="10" s="1"/>
  <c r="L54" i="9"/>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Z49" i="9"/>
  <c r="Z3" i="10" s="1"/>
  <c r="C64" i="9"/>
  <c r="C8" i="11" s="1"/>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V73" i="9" s="1"/>
  <c r="AB51" i="9"/>
  <c r="AB5" i="10" s="1"/>
  <c r="W65" i="9"/>
  <c r="W9" i="11" s="1"/>
  <c r="Q50" i="9"/>
  <c r="Q4" i="10" s="1"/>
  <c r="Z61" i="9"/>
  <c r="Z5" i="11" s="1"/>
  <c r="J64" i="9"/>
  <c r="J73" i="9" s="1"/>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I4" i="11"/>
  <c r="S62" i="9"/>
  <c r="S6" i="11" s="1"/>
  <c r="AB62" i="9"/>
  <c r="AB6" i="11" s="1"/>
  <c r="AA49" i="9"/>
  <c r="AA3" i="10" s="1"/>
  <c r="H53" i="9"/>
  <c r="H7" i="10" s="1"/>
  <c r="R62" i="9"/>
  <c r="R6" i="11" s="1"/>
  <c r="AA4" i="11"/>
  <c r="AB49" i="9"/>
  <c r="AB3" i="10" s="1"/>
  <c r="S52" i="9"/>
  <c r="S6" i="10" s="1"/>
  <c r="L2" i="10"/>
  <c r="G62" i="9"/>
  <c r="G6" i="11" s="1"/>
  <c r="Z62" i="9"/>
  <c r="Z6" i="11" s="1"/>
  <c r="O4" i="10"/>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K2" i="10"/>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B8" i="11"/>
  <c r="D62" i="9"/>
  <c r="D6" i="11" s="1"/>
  <c r="D8" i="11"/>
  <c r="Q62" i="9"/>
  <c r="Q6" i="11" s="1"/>
  <c r="M62" i="9"/>
  <c r="M6" i="11" s="1"/>
  <c r="V2" i="11"/>
  <c r="L8" i="10"/>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2" i="10"/>
  <c r="Z68" i="9"/>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AA2" i="11"/>
  <c r="P63" i="9"/>
  <c r="P7" i="11" s="1"/>
  <c r="S53" i="9"/>
  <c r="S7" i="10" s="1"/>
  <c r="W52" i="9"/>
  <c r="W6" i="10" s="1"/>
  <c r="F2" i="11"/>
  <c r="O59" i="9"/>
  <c r="O3" i="11" s="1"/>
  <c r="V8" i="11" l="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<sst xmlns="http://schemas.openxmlformats.org/spreadsheetml/2006/main" count="5677" uniqueCount="335">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</sst>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54</v>
      </c>
    </row>
    <row r="2" spans="1:2" x14ac:dyDescent="0.25">
      <c r="A2" s="3" t="s">
        <v>2</v>
      </c>
      <c r="B2" s="4" t="str">
        <f>IFERROR(INDEX(Geography!B:B, MATCH($B$1, Geography!C:C, 0)), "")</f>
        <v>CO</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3016911</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1.0214785265996316</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2940582</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0.9788828564943366</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5088948</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1.1367149517638131</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295736</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0.36337370318907891</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243833</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0.63386076293873195</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328976</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1.166325797666794</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1382939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1.1895806530118211</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4574554</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5957493</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0.95403586519152983</v>
      </c>
    </row>
    <row r="12" spans="1:28" x14ac:dyDescent="0.25">
      <c r="A12" s="4" t="s">
        <v>319</v>
      </c>
    </row>
    <row r="13" spans="1:28" x14ac:dyDescent="0.25">
      <c r="A13" s="4" t="s">
        <v>320</v>
      </c>
      <c r="B13" s="37">
        <f>INDEX(Census_pop_2020_2025!G:G, MATCH("."&amp;About!$B$1, Census_pop_2020_2025!A:A, 0))</f>
        <v>5988502</v>
      </c>
      <c r="C13" s="37">
        <f>INDEX(Census_pop_2020_2025!H:H, MATCH("."&amp;About!$B$1, Census_pop_2020_2025!A:A, 0))</f>
        <v>6012561</v>
      </c>
      <c r="D13" s="37">
        <f>INDEX(Census_pop_2020_2025!H:H, MATCH("."&amp;About!$B$1, Census_pop_2020_2025!A:A, 0))+0.2*(INDEX(Cooper_pop_2030_2050!D:D, MATCH(About!$B$1, Cooper_pop_2030_2050!B:B, 0))-INDEX(Census_pop_2020_2025!H:H, MATCH("."&amp;About!$B$1, Census_pop_2020_2025!A:A, 0)))</f>
        <v>6087491.0826532114</v>
      </c>
      <c r="E13" s="37">
        <f>INDEX(Census_pop_2020_2025!H:H, MATCH("."&amp;About!$B$1, Census_pop_2020_2025!A:A, 0))+0.4*(INDEX(Cooper_pop_2030_2050!D:D, MATCH(About!$B$1, Cooper_pop_2030_2050!B:B, 0))-INDEX(Census_pop_2020_2025!H:H, MATCH("."&amp;About!$B$1, Census_pop_2020_2025!A:A, 0)))</f>
        <v>6162421.1653064229</v>
      </c>
      <c r="F13" s="37">
        <f>INDEX(Census_pop_2020_2025!H:H, MATCH("."&amp;About!$B$1, Census_pop_2020_2025!A:A, 0))+0.6*(INDEX(Cooper_pop_2030_2050!D:D, MATCH(About!$B$1, Cooper_pop_2030_2050!B:B, 0))-INDEX(Census_pop_2020_2025!H:H, MATCH("."&amp;About!$B$1, Census_pop_2020_2025!A:A, 0)))</f>
        <v>6237351.2479596343</v>
      </c>
      <c r="G13" s="37">
        <f>INDEX(Census_pop_2020_2025!H:H, MATCH("."&amp;About!$B$1, Census_pop_2020_2025!A:A, 0))+0.8*(INDEX(Cooper_pop_2030_2050!D:D, MATCH(About!$B$1, Cooper_pop_2030_2050!B:B, 0))-INDEX(Census_pop_2020_2025!H:H, MATCH("."&amp;About!$B$1, Census_pop_2020_2025!A:A, 0)))</f>
        <v>6312281.3306128457</v>
      </c>
      <c r="H13" s="37">
        <f>INDEX(Cooper_pop_2030_2050!D:D, MATCH(About!$B$1, Cooper_pop_2030_2050!B:B, 0))</f>
        <v>6387211.4132660571</v>
      </c>
      <c r="I13" s="37">
        <f>INDEX(Cooper_pop_2030_2050!D:D, MATCH(About!$B$1, Cooper_pop_2030_2050!B:B, 0))+0.1*(INDEX(Cooper_pop_2030_2050!E:E, MATCH(About!$B$1, Cooper_pop_2030_2050!B:B, 0))-INDEX(Cooper_pop_2030_2050!D:D, MATCH(About!$B$1, Cooper_pop_2030_2050!B:B, 0)))</f>
        <v>6453498.3973099124</v>
      </c>
      <c r="J13" s="37">
        <f>INDEX(Cooper_pop_2030_2050!D:D, MATCH(About!$B$1, Cooper_pop_2030_2050!B:B, 0))+0.2*(INDEX(Cooper_pop_2030_2050!E:E, MATCH(About!$B$1, Cooper_pop_2030_2050!B:B, 0))-INDEX(Cooper_pop_2030_2050!D:D, MATCH(About!$B$1, Cooper_pop_2030_2050!B:B, 0)))</f>
        <v>6519785.3813537685</v>
      </c>
      <c r="K13" s="37">
        <f>INDEX(Cooper_pop_2030_2050!D:D, MATCH(About!$B$1, Cooper_pop_2030_2050!B:B, 0))+0.3*(INDEX(Cooper_pop_2030_2050!E:E, MATCH(About!$B$1, Cooper_pop_2030_2050!B:B, 0))-INDEX(Cooper_pop_2030_2050!D:D, MATCH(About!$B$1, Cooper_pop_2030_2050!B:B, 0)))</f>
        <v>6586072.3653976237</v>
      </c>
      <c r="L13" s="37">
        <f>INDEX(Cooper_pop_2030_2050!D:D, MATCH(About!$B$1, Cooper_pop_2030_2050!B:B, 0))+0.4*(INDEX(Cooper_pop_2030_2050!E:E, MATCH(About!$B$1, Cooper_pop_2030_2050!B:B, 0))-INDEX(Cooper_pop_2030_2050!D:D, MATCH(About!$B$1, Cooper_pop_2030_2050!B:B, 0)))</f>
        <v>6652359.3494414799</v>
      </c>
      <c r="M13" s="37">
        <f>INDEX(Cooper_pop_2030_2050!D:D, MATCH(About!$B$1, Cooper_pop_2030_2050!B:B, 0))+0.5*(INDEX(Cooper_pop_2030_2050!E:E, MATCH(About!$B$1, Cooper_pop_2030_2050!B:B, 0))-INDEX(Cooper_pop_2030_2050!D:D, MATCH(About!$B$1, Cooper_pop_2030_2050!B:B, 0)))</f>
        <v>6718646.3334853351</v>
      </c>
      <c r="N13" s="37">
        <f>INDEX(Cooper_pop_2030_2050!D:D, MATCH(About!$B$1, Cooper_pop_2030_2050!B:B, 0))+0.6*(INDEX(Cooper_pop_2030_2050!E:E, MATCH(About!$B$1, Cooper_pop_2030_2050!B:B, 0))-INDEX(Cooper_pop_2030_2050!D:D, MATCH(About!$B$1, Cooper_pop_2030_2050!B:B, 0)))</f>
        <v>6784933.3175291903</v>
      </c>
      <c r="O13" s="37">
        <f>INDEX(Cooper_pop_2030_2050!D:D, MATCH(About!$B$1, Cooper_pop_2030_2050!B:B, 0))+0.7*(INDEX(Cooper_pop_2030_2050!E:E, MATCH(About!$B$1, Cooper_pop_2030_2050!B:B, 0))-INDEX(Cooper_pop_2030_2050!D:D, MATCH(About!$B$1, Cooper_pop_2030_2050!B:B, 0)))</f>
        <v>6851220.3015730465</v>
      </c>
      <c r="P13" s="37">
        <f>INDEX(Cooper_pop_2030_2050!D:D, MATCH(About!$B$1, Cooper_pop_2030_2050!B:B, 0))+0.8*(INDEX(Cooper_pop_2030_2050!E:E, MATCH(About!$B$1, Cooper_pop_2030_2050!B:B, 0))-INDEX(Cooper_pop_2030_2050!D:D, MATCH(About!$B$1, Cooper_pop_2030_2050!B:B, 0)))</f>
        <v>6917507.2856169017</v>
      </c>
      <c r="Q13" s="37">
        <f>INDEX(Cooper_pop_2030_2050!D:D, MATCH(About!$B$1, Cooper_pop_2030_2050!B:B, 0))+0.9*(INDEX(Cooper_pop_2030_2050!E:E, MATCH(About!$B$1, Cooper_pop_2030_2050!B:B, 0))-INDEX(Cooper_pop_2030_2050!D:D, MATCH(About!$B$1, Cooper_pop_2030_2050!B:B, 0)))</f>
        <v>6983794.2696607579</v>
      </c>
      <c r="R13" s="37">
        <f>INDEX(Cooper_pop_2030_2050!E:E, MATCH(About!$B$1, Cooper_pop_2030_2050!B:B, 0))</f>
        <v>7050081.2537046131</v>
      </c>
      <c r="S13" s="37">
        <f>INDEX(Cooper_pop_2030_2050!E:E, MATCH(About!$B$1, Cooper_pop_2030_2050!B:B, 0))+0.1*(INDEX(Cooper_pop_2030_2050!F:F, MATCH(About!$B$1, Cooper_pop_2030_2050!B:B, 0))-INDEX(Cooper_pop_2030_2050!E:E, MATCH(About!$B$1, Cooper_pop_2030_2050!B:B, 0)))</f>
        <v>7114128.9853758961</v>
      </c>
      <c r="T13" s="37">
        <f>INDEX(Cooper_pop_2030_2050!E:E, MATCH(About!$B$1, Cooper_pop_2030_2050!B:B, 0))+0.2*(INDEX(Cooper_pop_2030_2050!F:F, MATCH(About!$B$1, Cooper_pop_2030_2050!B:B, 0))-INDEX(Cooper_pop_2030_2050!E:E, MATCH(About!$B$1, Cooper_pop_2030_2050!B:B, 0)))</f>
        <v>7178176.7170471791</v>
      </c>
      <c r="U13" s="37">
        <f>INDEX(Cooper_pop_2030_2050!E:E, MATCH(About!$B$1, Cooper_pop_2030_2050!B:B, 0))+0.3*(INDEX(Cooper_pop_2030_2050!F:F, MATCH(About!$B$1, Cooper_pop_2030_2050!B:B, 0))-INDEX(Cooper_pop_2030_2050!E:E, MATCH(About!$B$1, Cooper_pop_2030_2050!B:B, 0)))</f>
        <v>7242224.4487184612</v>
      </c>
      <c r="V13" s="37">
        <f>INDEX(Cooper_pop_2030_2050!E:E, MATCH(About!$B$1, Cooper_pop_2030_2050!B:B, 0))+0.4*(INDEX(Cooper_pop_2030_2050!F:F, MATCH(About!$B$1, Cooper_pop_2030_2050!B:B, 0))-INDEX(Cooper_pop_2030_2050!E:E, MATCH(About!$B$1, Cooper_pop_2030_2050!B:B, 0)))</f>
        <v>7306272.1803897442</v>
      </c>
      <c r="W13" s="37">
        <f>INDEX(Cooper_pop_2030_2050!E:E, MATCH(About!$B$1, Cooper_pop_2030_2050!B:B, 0))+0.5*(INDEX(Cooper_pop_2030_2050!F:F, MATCH(About!$B$1, Cooper_pop_2030_2050!B:B, 0))-INDEX(Cooper_pop_2030_2050!E:E, MATCH(About!$B$1, Cooper_pop_2030_2050!B:B, 0)))</f>
        <v>7370319.9120610273</v>
      </c>
      <c r="X13" s="37">
        <f>INDEX(Cooper_pop_2030_2050!E:E, MATCH(About!$B$1, Cooper_pop_2030_2050!B:B, 0))+0.6*(INDEX(Cooper_pop_2030_2050!F:F, MATCH(About!$B$1, Cooper_pop_2030_2050!B:B, 0))-INDEX(Cooper_pop_2030_2050!E:E, MATCH(About!$B$1, Cooper_pop_2030_2050!B:B, 0)))</f>
        <v>7434367.6437323103</v>
      </c>
      <c r="Y13" s="37">
        <f>INDEX(Cooper_pop_2030_2050!E:E, MATCH(About!$B$1, Cooper_pop_2030_2050!B:B, 0))+0.7*(INDEX(Cooper_pop_2030_2050!F:F, MATCH(About!$B$1, Cooper_pop_2030_2050!B:B, 0))-INDEX(Cooper_pop_2030_2050!E:E, MATCH(About!$B$1, Cooper_pop_2030_2050!B:B, 0)))</f>
        <v>7498415.3754035933</v>
      </c>
      <c r="Z13" s="37">
        <f>INDEX(Cooper_pop_2030_2050!E:E, MATCH(About!$B$1, Cooper_pop_2030_2050!B:B, 0))+0.8*(INDEX(Cooper_pop_2030_2050!F:F, MATCH(About!$B$1, Cooper_pop_2030_2050!B:B, 0))-INDEX(Cooper_pop_2030_2050!E:E, MATCH(About!$B$1, Cooper_pop_2030_2050!B:B, 0)))</f>
        <v>7562463.1070748754</v>
      </c>
      <c r="AA13" s="37">
        <f>INDEX(Cooper_pop_2030_2050!E:E, MATCH(About!$B$1, Cooper_pop_2030_2050!B:B, 0))+0.9*(INDEX(Cooper_pop_2030_2050!F:F, MATCH(About!$B$1, Cooper_pop_2030_2050!B:B, 0))-INDEX(Cooper_pop_2030_2050!E:E, MATCH(About!$B$1, Cooper_pop_2030_2050!B:B, 0)))</f>
        <v>7626510.8387461584</v>
      </c>
      <c r="AB13" s="37">
        <f>INDEX(Cooper_pop_2030_2050!F:F, MATCH(About!$B$1, Cooper_pop_2030_2050!B:B, 0))</f>
        <v>7690558.5704174414</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1.7797382950766057E-2</v>
      </c>
      <c r="C15" s="39">
        <f t="shared" si="1"/>
        <v>1.7787786356158686E-2</v>
      </c>
      <c r="D15" s="39">
        <f t="shared" si="1"/>
        <v>1.7930065345952206E-2</v>
      </c>
      <c r="E15" s="39">
        <f t="shared" si="1"/>
        <v>1.8073180048124818E-2</v>
      </c>
      <c r="F15" s="39">
        <f t="shared" si="1"/>
        <v>1.821737316305869E-2</v>
      </c>
      <c r="G15" s="39">
        <f t="shared" si="1"/>
        <v>1.8362797722899428E-2</v>
      </c>
      <c r="H15" s="39">
        <f t="shared" si="1"/>
        <v>1.8509709410125513E-2</v>
      </c>
      <c r="I15" s="39">
        <f t="shared" si="1"/>
        <v>1.8633458773273572E-2</v>
      </c>
      <c r="J15" s="39">
        <f t="shared" si="1"/>
        <v>1.8759537737326304E-2</v>
      </c>
      <c r="K15" s="39">
        <f t="shared" si="1"/>
        <v>1.8887405051389937E-2</v>
      </c>
      <c r="L15" s="39">
        <f t="shared" si="1"/>
        <v>1.9017192467040263E-2</v>
      </c>
      <c r="M15" s="39">
        <f t="shared" si="1"/>
        <v>1.9149021193485612E-2</v>
      </c>
      <c r="N15" s="39">
        <f t="shared" si="1"/>
        <v>1.92829964030597E-2</v>
      </c>
      <c r="O15" s="39">
        <f t="shared" si="1"/>
        <v>1.9419225831957033E-2</v>
      </c>
      <c r="P15" s="39">
        <f t="shared" si="1"/>
        <v>1.9557794437759794E-2</v>
      </c>
      <c r="Q15" s="39">
        <f t="shared" si="1"/>
        <v>1.9698748104185058E-2</v>
      </c>
      <c r="R15" s="39">
        <f t="shared" si="1"/>
        <v>1.9842109328764075E-2</v>
      </c>
      <c r="S15" s="39">
        <f t="shared" si="1"/>
        <v>1.9981625678948726E-2</v>
      </c>
      <c r="T15" s="39">
        <f t="shared" si="1"/>
        <v>2.012354175945533E-2</v>
      </c>
      <c r="U15" s="39">
        <f t="shared" si="1"/>
        <v>2.0267755191201862E-2</v>
      </c>
      <c r="V15" s="39">
        <f t="shared" si="1"/>
        <v>2.041409023461159E-2</v>
      </c>
      <c r="W15" s="39">
        <f t="shared" si="1"/>
        <v>2.0562330074500861E-2</v>
      </c>
      <c r="X15" s="39">
        <f t="shared" si="1"/>
        <v>2.0712240978590198E-2</v>
      </c>
      <c r="Y15" s="39">
        <f t="shared" si="1"/>
        <v>2.0863685572358882E-2</v>
      </c>
      <c r="Z15" s="39">
        <f t="shared" si="1"/>
        <v>2.1016429951335534E-2</v>
      </c>
      <c r="AA15" s="39">
        <f t="shared" si="1"/>
        <v>2.1170227319274312E-2</v>
      </c>
      <c r="AB15" s="39">
        <f t="shared" si="1"/>
        <v>2.1324826884561551E-2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171.08863452010505</v>
      </c>
      <c r="C48" s="37">
        <f t="shared" si="10"/>
        <v>169.70632239853174</v>
      </c>
      <c r="D48" s="37">
        <f t="shared" si="10"/>
        <v>169.74505794678549</v>
      </c>
      <c r="E48" s="37">
        <f t="shared" si="10"/>
        <v>169.77071554275514</v>
      </c>
      <c r="F48" s="37">
        <f t="shared" si="10"/>
        <v>169.74815544469999</v>
      </c>
      <c r="G48" s="37">
        <f t="shared" si="10"/>
        <v>169.67766342397218</v>
      </c>
      <c r="H48" s="37">
        <f t="shared" si="10"/>
        <v>169.56040360210775</v>
      </c>
      <c r="I48" s="37">
        <f t="shared" si="10"/>
        <v>169.26649857119611</v>
      </c>
      <c r="J48" s="37">
        <f t="shared" si="10"/>
        <v>168.84047882964921</v>
      </c>
      <c r="K48" s="37">
        <f t="shared" si="10"/>
        <v>168.42857690419834</v>
      </c>
      <c r="L48" s="37">
        <f t="shared" si="10"/>
        <v>167.89592528600318</v>
      </c>
      <c r="M48" s="37">
        <f t="shared" si="10"/>
        <v>167.37760650905699</v>
      </c>
      <c r="N48" s="37">
        <f t="shared" si="10"/>
        <v>166.89409390853501</v>
      </c>
      <c r="O48" s="37">
        <f t="shared" si="10"/>
        <v>166.16887099009472</v>
      </c>
      <c r="P48" s="37">
        <f t="shared" si="10"/>
        <v>165.49665060758403</v>
      </c>
      <c r="Q48" s="37">
        <f t="shared" si="10"/>
        <v>164.69732742958615</v>
      </c>
      <c r="R48" s="37">
        <f t="shared" si="10"/>
        <v>163.86911334534869</v>
      </c>
      <c r="S48" s="37">
        <f t="shared" si="10"/>
        <v>162.91901803274652</v>
      </c>
      <c r="T48" s="37">
        <f t="shared" si="10"/>
        <v>161.95887863116056</v>
      </c>
      <c r="U48" s="37">
        <f t="shared" si="10"/>
        <v>160.98712449844453</v>
      </c>
      <c r="V48" s="37">
        <f t="shared" si="10"/>
        <v>160.00165309336938</v>
      </c>
      <c r="W48" s="37">
        <f t="shared" si="10"/>
        <v>159.02112219225816</v>
      </c>
      <c r="X48" s="37">
        <f t="shared" si="10"/>
        <v>158.1917069642613</v>
      </c>
      <c r="Y48" s="37">
        <f t="shared" si="10"/>
        <v>157.34506958883031</v>
      </c>
      <c r="Z48" s="37">
        <f t="shared" si="10"/>
        <v>156.58636588643805</v>
      </c>
      <c r="AA48" s="37">
        <f t="shared" si="10"/>
        <v>155.82926438673468</v>
      </c>
      <c r="AB48" s="37">
        <f t="shared" si="10"/>
        <v>155.05034584627103</v>
      </c>
    </row>
    <row r="49" spans="1:28" x14ac:dyDescent="0.25">
      <c r="A49" s="4" t="s">
        <v>216</v>
      </c>
      <c r="B49" s="37">
        <f t="shared" ref="B49:AB49" si="11">B29*B15*$F$5</f>
        <v>130.73133416951501</v>
      </c>
      <c r="C49" s="37">
        <f t="shared" si="11"/>
        <v>129.94694350530298</v>
      </c>
      <c r="D49" s="37">
        <f t="shared" si="11"/>
        <v>130.26674005284647</v>
      </c>
      <c r="E49" s="37">
        <f t="shared" si="11"/>
        <v>130.56346270246317</v>
      </c>
      <c r="F49" s="37">
        <f t="shared" si="11"/>
        <v>130.82049851571898</v>
      </c>
      <c r="G49" s="37">
        <f t="shared" si="11"/>
        <v>131.07390336089654</v>
      </c>
      <c r="H49" s="37">
        <f t="shared" si="11"/>
        <v>131.3072133352515</v>
      </c>
      <c r="I49" s="37">
        <f t="shared" si="11"/>
        <v>131.27308820247967</v>
      </c>
      <c r="J49" s="37">
        <f t="shared" si="11"/>
        <v>131.29823769081503</v>
      </c>
      <c r="K49" s="37">
        <f t="shared" si="11"/>
        <v>131.21328908911261</v>
      </c>
      <c r="L49" s="37">
        <f t="shared" si="11"/>
        <v>131.16554356196608</v>
      </c>
      <c r="M49" s="37">
        <f t="shared" si="11"/>
        <v>131.00634882043406</v>
      </c>
      <c r="N49" s="37">
        <f t="shared" si="11"/>
        <v>130.7526291997215</v>
      </c>
      <c r="O49" s="37">
        <f t="shared" si="11"/>
        <v>130.59284163013464</v>
      </c>
      <c r="P49" s="37">
        <f t="shared" si="11"/>
        <v>130.2420042336087</v>
      </c>
      <c r="Q49" s="37">
        <f t="shared" si="11"/>
        <v>129.92728278994966</v>
      </c>
      <c r="R49" s="37">
        <f t="shared" si="11"/>
        <v>129.51323519163483</v>
      </c>
      <c r="S49" s="37">
        <f t="shared" si="11"/>
        <v>129.05470808362145</v>
      </c>
      <c r="T49" s="37">
        <f t="shared" si="11"/>
        <v>128.55299860285882</v>
      </c>
      <c r="U49" s="37">
        <f t="shared" si="11"/>
        <v>128.04579875346599</v>
      </c>
      <c r="V49" s="37">
        <f t="shared" si="11"/>
        <v>127.57149090678887</v>
      </c>
      <c r="W49" s="37">
        <f t="shared" si="11"/>
        <v>127.10902980288547</v>
      </c>
      <c r="X49" s="37">
        <f t="shared" si="11"/>
        <v>126.61648579644132</v>
      </c>
      <c r="Y49" s="37">
        <f t="shared" si="11"/>
        <v>126.19436041970464</v>
      </c>
      <c r="Z49" s="37">
        <f t="shared" si="11"/>
        <v>125.73987167867531</v>
      </c>
      <c r="AA49" s="37">
        <f t="shared" si="11"/>
        <v>125.33374782991852</v>
      </c>
      <c r="AB49" s="37">
        <f t="shared" si="11"/>
        <v>125.03829965549095</v>
      </c>
    </row>
    <row r="50" spans="1:28" x14ac:dyDescent="0.25">
      <c r="A50" s="4" t="s">
        <v>217</v>
      </c>
      <c r="B50" s="37">
        <f t="shared" ref="B50:AB50" si="12">B30*B15*$F$6</f>
        <v>199.43277473908037</v>
      </c>
      <c r="C50" s="37">
        <f t="shared" si="12"/>
        <v>198.01096105732537</v>
      </c>
      <c r="D50" s="37">
        <f t="shared" si="12"/>
        <v>198.29038146658749</v>
      </c>
      <c r="E50" s="37">
        <f t="shared" si="12"/>
        <v>198.51719367273719</v>
      </c>
      <c r="F50" s="37">
        <f t="shared" si="12"/>
        <v>198.71358853874733</v>
      </c>
      <c r="G50" s="37">
        <f t="shared" si="12"/>
        <v>198.90135864953285</v>
      </c>
      <c r="H50" s="37">
        <f t="shared" si="12"/>
        <v>198.99881160883336</v>
      </c>
      <c r="I50" s="37">
        <f t="shared" si="12"/>
        <v>198.84658201786604</v>
      </c>
      <c r="J50" s="37">
        <f t="shared" si="12"/>
        <v>198.59271262947016</v>
      </c>
      <c r="K50" s="37">
        <f t="shared" si="12"/>
        <v>198.25024689634142</v>
      </c>
      <c r="L50" s="37">
        <f t="shared" si="12"/>
        <v>197.79671221337162</v>
      </c>
      <c r="M50" s="37">
        <f t="shared" si="12"/>
        <v>197.23059402133399</v>
      </c>
      <c r="N50" s="37">
        <f t="shared" si="12"/>
        <v>196.55009701472864</v>
      </c>
      <c r="O50" s="37">
        <f t="shared" si="12"/>
        <v>195.68711240586609</v>
      </c>
      <c r="P50" s="37">
        <f t="shared" si="12"/>
        <v>194.72691164433942</v>
      </c>
      <c r="Q50" s="37">
        <f t="shared" si="12"/>
        <v>193.64481826113422</v>
      </c>
      <c r="R50" s="37">
        <f t="shared" si="12"/>
        <v>192.43774427772931</v>
      </c>
      <c r="S50" s="37">
        <f t="shared" si="12"/>
        <v>191.08794079110118</v>
      </c>
      <c r="T50" s="37">
        <f t="shared" si="12"/>
        <v>189.72301725865316</v>
      </c>
      <c r="U50" s="37">
        <f t="shared" si="12"/>
        <v>188.34104848001473</v>
      </c>
      <c r="V50" s="37">
        <f t="shared" si="12"/>
        <v>186.96269786170043</v>
      </c>
      <c r="W50" s="37">
        <f t="shared" si="12"/>
        <v>185.63240084405308</v>
      </c>
      <c r="X50" s="37">
        <f t="shared" si="12"/>
        <v>184.37239057236118</v>
      </c>
      <c r="Y50" s="37">
        <f t="shared" si="12"/>
        <v>183.13544110375253</v>
      </c>
      <c r="Z50" s="37">
        <f t="shared" si="12"/>
        <v>181.94388024622154</v>
      </c>
      <c r="AA50" s="37">
        <f t="shared" si="12"/>
        <v>180.84482215432479</v>
      </c>
      <c r="AB50" s="37">
        <f t="shared" si="12"/>
        <v>179.78993101215349</v>
      </c>
    </row>
    <row r="51" spans="1:28" x14ac:dyDescent="0.25">
      <c r="A51" s="4" t="s">
        <v>218</v>
      </c>
      <c r="B51" s="37">
        <f t="shared" ref="B51:AB51" si="13">B31*B15*$F$7</f>
        <v>30.253098243604313</v>
      </c>
      <c r="C51" s="37">
        <f t="shared" si="13"/>
        <v>29.829577685954948</v>
      </c>
      <c r="D51" s="37">
        <f t="shared" si="13"/>
        <v>29.664225749202302</v>
      </c>
      <c r="E51" s="37">
        <f t="shared" si="13"/>
        <v>29.480692129218017</v>
      </c>
      <c r="F51" s="37">
        <f t="shared" si="13"/>
        <v>29.278996564025785</v>
      </c>
      <c r="G51" s="37">
        <f t="shared" si="13"/>
        <v>29.07233437591286</v>
      </c>
      <c r="H51" s="37">
        <f t="shared" si="13"/>
        <v>28.840837809397776</v>
      </c>
      <c r="I51" s="37">
        <f t="shared" si="13"/>
        <v>28.573235632548197</v>
      </c>
      <c r="J51" s="37">
        <f t="shared" si="13"/>
        <v>28.303032640964716</v>
      </c>
      <c r="K51" s="37">
        <f t="shared" si="13"/>
        <v>28.029252919263783</v>
      </c>
      <c r="L51" s="37">
        <f t="shared" si="13"/>
        <v>27.765776861749647</v>
      </c>
      <c r="M51" s="37">
        <f t="shared" si="13"/>
        <v>27.51988169063355</v>
      </c>
      <c r="N51" s="37">
        <f t="shared" si="13"/>
        <v>27.270986394597323</v>
      </c>
      <c r="O51" s="37">
        <f t="shared" si="13"/>
        <v>27.04026276588429</v>
      </c>
      <c r="P51" s="37">
        <f t="shared" si="13"/>
        <v>26.806805056676605</v>
      </c>
      <c r="Q51" s="37">
        <f t="shared" si="13"/>
        <v>26.584838171839611</v>
      </c>
      <c r="R51" s="37">
        <f t="shared" si="13"/>
        <v>26.367338427666965</v>
      </c>
      <c r="S51" s="37">
        <f t="shared" si="13"/>
        <v>26.138870347311332</v>
      </c>
      <c r="T51" s="37">
        <f t="shared" si="13"/>
        <v>25.915024715624934</v>
      </c>
      <c r="U51" s="37">
        <f t="shared" si="13"/>
        <v>25.688315175938563</v>
      </c>
      <c r="V51" s="37">
        <f t="shared" si="13"/>
        <v>25.473218204911962</v>
      </c>
      <c r="W51" s="37">
        <f t="shared" si="13"/>
        <v>25.247246075716941</v>
      </c>
      <c r="X51" s="37">
        <f t="shared" si="13"/>
        <v>25.032419605274317</v>
      </c>
      <c r="Y51" s="37">
        <f t="shared" si="13"/>
        <v>24.836386919855581</v>
      </c>
      <c r="Z51" s="37">
        <f t="shared" si="13"/>
        <v>24.636374800998134</v>
      </c>
      <c r="AA51" s="37">
        <f t="shared" si="13"/>
        <v>24.447412988985899</v>
      </c>
      <c r="AB51" s="37">
        <f t="shared" si="13"/>
        <v>24.253998515665668</v>
      </c>
    </row>
    <row r="52" spans="1:28" x14ac:dyDescent="0.25">
      <c r="A52" s="4" t="s">
        <v>219</v>
      </c>
      <c r="B52" s="37">
        <f t="shared" ref="B52:AB52" si="14">B32*B15*$F$8</f>
        <v>9.7129950152528881</v>
      </c>
      <c r="C52" s="37">
        <f t="shared" si="14"/>
        <v>9.7415825737299073</v>
      </c>
      <c r="D52" s="37">
        <f t="shared" si="14"/>
        <v>9.8535979680629495</v>
      </c>
      <c r="E52" s="37">
        <f t="shared" si="14"/>
        <v>9.9780712135031493</v>
      </c>
      <c r="F52" s="37">
        <f t="shared" si="14"/>
        <v>10.103868295391466</v>
      </c>
      <c r="G52" s="37">
        <f t="shared" si="14"/>
        <v>10.231082680433117</v>
      </c>
      <c r="H52" s="37">
        <f t="shared" si="14"/>
        <v>10.359866840644646</v>
      </c>
      <c r="I52" s="37">
        <f t="shared" si="14"/>
        <v>10.476373315668345</v>
      </c>
      <c r="J52" s="37">
        <f t="shared" si="14"/>
        <v>10.594822998180589</v>
      </c>
      <c r="K52" s="37">
        <f t="shared" si="14"/>
        <v>10.738870523298775</v>
      </c>
      <c r="L52" s="37">
        <f t="shared" si="14"/>
        <v>10.860881165625873</v>
      </c>
      <c r="M52" s="37">
        <f t="shared" si="14"/>
        <v>10.984720930825628</v>
      </c>
      <c r="N52" s="37">
        <f t="shared" si="14"/>
        <v>11.110465943915514</v>
      </c>
      <c r="O52" s="37">
        <f t="shared" si="14"/>
        <v>11.238194880291244</v>
      </c>
      <c r="P52" s="37">
        <f t="shared" si="14"/>
        <v>11.355577349405058</v>
      </c>
      <c r="Q52" s="37">
        <f t="shared" si="14"/>
        <v>11.48736242207611</v>
      </c>
      <c r="R52" s="37">
        <f t="shared" si="14"/>
        <v>11.596118061963486</v>
      </c>
      <c r="S52" s="37">
        <f t="shared" si="14"/>
        <v>11.715650860293502</v>
      </c>
      <c r="T52" s="37">
        <f t="shared" si="14"/>
        <v>11.849881361857665</v>
      </c>
      <c r="U52" s="37">
        <f t="shared" si="14"/>
        <v>11.960496269520663</v>
      </c>
      <c r="V52" s="37">
        <f t="shared" si="14"/>
        <v>12.085671217297493</v>
      </c>
      <c r="W52" s="37">
        <f t="shared" si="14"/>
        <v>12.212534012405415</v>
      </c>
      <c r="X52" s="37">
        <f t="shared" si="14"/>
        <v>12.327827579859587</v>
      </c>
      <c r="Y52" s="37">
        <f t="shared" si="14"/>
        <v>12.470865370296492</v>
      </c>
      <c r="Z52" s="37">
        <f t="shared" si="14"/>
        <v>12.588808355425851</v>
      </c>
      <c r="AA52" s="37">
        <f t="shared" si="14"/>
        <v>12.707770688851976</v>
      </c>
      <c r="AB52" s="37">
        <f t="shared" si="14"/>
        <v>12.827605515616753</v>
      </c>
    </row>
    <row r="53" spans="1:28" x14ac:dyDescent="0.25">
      <c r="A53" s="4" t="s">
        <v>220</v>
      </c>
      <c r="B53" s="37">
        <f t="shared" ref="B53:AB53" si="15">B33*B15*$F$9</f>
        <v>31.509956143246235</v>
      </c>
      <c r="C53" s="37">
        <f t="shared" si="15"/>
        <v>31.762668143287716</v>
      </c>
      <c r="D53" s="37">
        <f t="shared" si="15"/>
        <v>32.225850858693427</v>
      </c>
      <c r="E53" s="37">
        <f t="shared" si="15"/>
        <v>32.736022659215401</v>
      </c>
      <c r="F53" s="37">
        <f t="shared" si="15"/>
        <v>33.230921534988184</v>
      </c>
      <c r="G53" s="37">
        <f t="shared" si="15"/>
        <v>33.688948395545488</v>
      </c>
      <c r="H53" s="37">
        <f t="shared" si="15"/>
        <v>34.239125625459494</v>
      </c>
      <c r="I53" s="37">
        <f t="shared" si="15"/>
        <v>34.663630448912244</v>
      </c>
      <c r="J53" s="37">
        <f t="shared" si="15"/>
        <v>35.116971168632617</v>
      </c>
      <c r="K53" s="37">
        <f t="shared" si="15"/>
        <v>35.510534833018141</v>
      </c>
      <c r="L53" s="37">
        <f t="shared" si="15"/>
        <v>35.931992321075967</v>
      </c>
      <c r="M53" s="37">
        <f t="shared" si="15"/>
        <v>36.292745804299486</v>
      </c>
      <c r="N53" s="37">
        <f t="shared" si="15"/>
        <v>36.704098055085787</v>
      </c>
      <c r="O53" s="37">
        <f t="shared" si="15"/>
        <v>37.076648823811809</v>
      </c>
      <c r="P53" s="37">
        <f t="shared" si="15"/>
        <v>37.40964672508634</v>
      </c>
      <c r="Q53" s="37">
        <f t="shared" si="15"/>
        <v>37.702234434963096</v>
      </c>
      <c r="R53" s="37">
        <f t="shared" si="15"/>
        <v>37.999761672011019</v>
      </c>
      <c r="S53" s="37">
        <f t="shared" si="15"/>
        <v>38.266950405251194</v>
      </c>
      <c r="T53" s="37">
        <f t="shared" si="15"/>
        <v>38.444852455154596</v>
      </c>
      <c r="U53" s="37">
        <f t="shared" si="15"/>
        <v>38.673086191120689</v>
      </c>
      <c r="V53" s="37">
        <f t="shared" si="15"/>
        <v>38.857071484889239</v>
      </c>
      <c r="W53" s="37">
        <f t="shared" si="15"/>
        <v>39.043308170377038</v>
      </c>
      <c r="X53" s="37">
        <f t="shared" si="15"/>
        <v>39.279641314815059</v>
      </c>
      <c r="Y53" s="37">
        <f t="shared" si="15"/>
        <v>39.445178496987516</v>
      </c>
      <c r="Z53" s="37">
        <f t="shared" si="15"/>
        <v>39.68493516747445</v>
      </c>
      <c r="AA53" s="37">
        <f t="shared" si="15"/>
        <v>39.851890975613102</v>
      </c>
      <c r="AB53" s="37">
        <f t="shared" si="15"/>
        <v>40.093173510702982</v>
      </c>
    </row>
    <row r="54" spans="1:28" x14ac:dyDescent="0.25">
      <c r="A54" s="4" t="s">
        <v>221</v>
      </c>
      <c r="B54" s="37">
        <f t="shared" ref="B54:AB54" si="16">B34*B15*$F$10</f>
        <v>81.319433563131625</v>
      </c>
      <c r="C54" s="37">
        <f t="shared" si="16"/>
        <v>81.614145105961299</v>
      </c>
      <c r="D54" s="37">
        <f t="shared" si="16"/>
        <v>82.650878015781998</v>
      </c>
      <c r="E54" s="37">
        <f t="shared" si="16"/>
        <v>83.719073730287406</v>
      </c>
      <c r="F54" s="37">
        <f t="shared" si="16"/>
        <v>84.863771742153943</v>
      </c>
      <c r="G54" s="37">
        <f t="shared" si="16"/>
        <v>85.934409717504906</v>
      </c>
      <c r="H54" s="37">
        <f t="shared" si="16"/>
        <v>86.996248010473991</v>
      </c>
      <c r="I54" s="37">
        <f t="shared" si="16"/>
        <v>87.932530153690976</v>
      </c>
      <c r="J54" s="37">
        <f t="shared" si="16"/>
        <v>88.839928927190499</v>
      </c>
      <c r="K54" s="37">
        <f t="shared" si="16"/>
        <v>89.715089897481732</v>
      </c>
      <c r="L54" s="37">
        <f t="shared" si="16"/>
        <v>90.535181902039753</v>
      </c>
      <c r="M54" s="37">
        <f t="shared" si="16"/>
        <v>91.299454984622329</v>
      </c>
      <c r="N54" s="37">
        <f t="shared" si="16"/>
        <v>92.007043286690376</v>
      </c>
      <c r="O54" s="37">
        <f t="shared" si="16"/>
        <v>92.657049473461683</v>
      </c>
      <c r="P54" s="37">
        <f t="shared" si="16"/>
        <v>93.178623384358744</v>
      </c>
      <c r="Q54" s="37">
        <f t="shared" si="16"/>
        <v>93.639265534634177</v>
      </c>
      <c r="R54" s="37">
        <f t="shared" si="16"/>
        <v>93.96668549169604</v>
      </c>
      <c r="S54" s="37">
        <f t="shared" si="16"/>
        <v>94.270849612610746</v>
      </c>
      <c r="T54" s="37">
        <f t="shared" si="16"/>
        <v>94.485559263296551</v>
      </c>
      <c r="U54" s="37">
        <f t="shared" si="16"/>
        <v>94.608147983121597</v>
      </c>
      <c r="V54" s="37">
        <f t="shared" si="16"/>
        <v>94.732690695324763</v>
      </c>
      <c r="W54" s="37">
        <f t="shared" si="16"/>
        <v>94.735710295118764</v>
      </c>
      <c r="X54" s="37">
        <f t="shared" si="16"/>
        <v>94.859692422300682</v>
      </c>
      <c r="Y54" s="37">
        <f t="shared" si="16"/>
        <v>94.957634442512372</v>
      </c>
      <c r="Z54" s="37">
        <f t="shared" si="16"/>
        <v>95.052807645781272</v>
      </c>
      <c r="AA54" s="37">
        <f t="shared" si="16"/>
        <v>95.169175238093629</v>
      </c>
      <c r="AB54" s="37">
        <f t="shared" si="16"/>
        <v>95.331446402053487</v>
      </c>
    </row>
    <row r="55" spans="1:28" x14ac:dyDescent="0.25">
      <c r="A55" s="4" t="s">
        <v>222</v>
      </c>
      <c r="B55" s="37">
        <f t="shared" ref="B55:AB55" si="17">B35*B15*$F$11</f>
        <v>221.98791262200487</v>
      </c>
      <c r="C55" s="37">
        <f t="shared" si="17"/>
        <v>219.69602984792769</v>
      </c>
      <c r="D55" s="37">
        <f t="shared" si="17"/>
        <v>219.21243406848609</v>
      </c>
      <c r="E55" s="37">
        <f t="shared" si="17"/>
        <v>218.66890262713164</v>
      </c>
      <c r="F55" s="37">
        <f t="shared" si="17"/>
        <v>217.98030323861536</v>
      </c>
      <c r="G55" s="37">
        <f t="shared" si="17"/>
        <v>217.30279347045388</v>
      </c>
      <c r="H55" s="37">
        <f t="shared" si="17"/>
        <v>216.5690762091194</v>
      </c>
      <c r="I55" s="37">
        <f t="shared" si="17"/>
        <v>215.51042506660838</v>
      </c>
      <c r="J55" s="37">
        <f t="shared" si="17"/>
        <v>214.40931635356259</v>
      </c>
      <c r="K55" s="37">
        <f t="shared" si="17"/>
        <v>213.23994437108337</v>
      </c>
      <c r="L55" s="37">
        <f t="shared" si="17"/>
        <v>212.03821883734273</v>
      </c>
      <c r="M55" s="37">
        <f t="shared" si="17"/>
        <v>210.78602593589895</v>
      </c>
      <c r="N55" s="37">
        <f t="shared" si="17"/>
        <v>209.51967641668602</v>
      </c>
      <c r="O55" s="37">
        <f t="shared" si="17"/>
        <v>208.16530364598322</v>
      </c>
      <c r="P55" s="37">
        <f t="shared" si="17"/>
        <v>206.77723537601744</v>
      </c>
      <c r="Q55" s="37">
        <f t="shared" si="17"/>
        <v>205.35452230850228</v>
      </c>
      <c r="R55" s="37">
        <f t="shared" si="17"/>
        <v>203.9148642091381</v>
      </c>
      <c r="S55" s="37">
        <f t="shared" si="17"/>
        <v>202.33667257661654</v>
      </c>
      <c r="T55" s="37">
        <f t="shared" si="17"/>
        <v>200.778755634524</v>
      </c>
      <c r="U55" s="37">
        <f t="shared" si="17"/>
        <v>199.27852019323836</v>
      </c>
      <c r="V55" s="37">
        <f t="shared" si="17"/>
        <v>197.79596317205207</v>
      </c>
      <c r="W55" s="37">
        <f t="shared" si="17"/>
        <v>196.42702723452118</v>
      </c>
      <c r="X55" s="37">
        <f t="shared" si="17"/>
        <v>195.0728991656633</v>
      </c>
      <c r="Y55" s="37">
        <f t="shared" si="17"/>
        <v>193.79220122164156</v>
      </c>
      <c r="Z55" s="37">
        <f t="shared" si="17"/>
        <v>192.56430985757939</v>
      </c>
      <c r="AA55" s="37">
        <f t="shared" si="17"/>
        <v>191.36805439660853</v>
      </c>
      <c r="AB55" s="37">
        <f t="shared" si="17"/>
        <v>190.22247438525577</v>
      </c>
    </row>
    <row r="57" spans="1:28" x14ac:dyDescent="0.25">
      <c r="A57" s="4" t="s">
        <v>327</v>
      </c>
    </row>
    <row r="58" spans="1:28" x14ac:dyDescent="0.25">
      <c r="A58" s="4" t="s">
        <v>215</v>
      </c>
      <c r="B58" s="37">
        <f t="shared" ref="B58:AB58" si="18">B38*B15*$F$4</f>
        <v>27130.174334551542</v>
      </c>
      <c r="C58" s="37">
        <f t="shared" si="18"/>
        <v>27609.456179586658</v>
      </c>
      <c r="D58" s="37">
        <f t="shared" si="18"/>
        <v>28324.036196427151</v>
      </c>
      <c r="E58" s="37">
        <f t="shared" si="18"/>
        <v>29045.764525090945</v>
      </c>
      <c r="F58" s="37">
        <f t="shared" si="18"/>
        <v>29777.123918754467</v>
      </c>
      <c r="G58" s="37">
        <f t="shared" si="18"/>
        <v>30519.039356358378</v>
      </c>
      <c r="H58" s="37">
        <f t="shared" si="18"/>
        <v>31269.468217047801</v>
      </c>
      <c r="I58" s="37">
        <f t="shared" si="18"/>
        <v>31983.773792428809</v>
      </c>
      <c r="J58" s="37">
        <f t="shared" si="18"/>
        <v>32699.251794966258</v>
      </c>
      <c r="K58" s="37">
        <f t="shared" si="18"/>
        <v>33415.207124622742</v>
      </c>
      <c r="L58" s="37">
        <f t="shared" si="18"/>
        <v>34128.659098926873</v>
      </c>
      <c r="M58" s="37">
        <f t="shared" si="18"/>
        <v>34838.836063815397</v>
      </c>
      <c r="N58" s="37">
        <f t="shared" si="18"/>
        <v>35541.941937489064</v>
      </c>
      <c r="O58" s="37">
        <f t="shared" si="18"/>
        <v>36236.338779033351</v>
      </c>
      <c r="P58" s="37">
        <f t="shared" si="18"/>
        <v>36917.020602505079</v>
      </c>
      <c r="Q58" s="37">
        <f t="shared" si="18"/>
        <v>37582.803295932958</v>
      </c>
      <c r="R58" s="37">
        <f t="shared" si="18"/>
        <v>38227.492156303677</v>
      </c>
      <c r="S58" s="37">
        <f t="shared" si="18"/>
        <v>38838.693743875185</v>
      </c>
      <c r="T58" s="37">
        <f t="shared" si="18"/>
        <v>39425.773776451097</v>
      </c>
      <c r="U58" s="37">
        <f t="shared" si="18"/>
        <v>39990.166488788316</v>
      </c>
      <c r="V58" s="37">
        <f t="shared" si="18"/>
        <v>40521.51861816227</v>
      </c>
      <c r="W58" s="37">
        <f t="shared" si="18"/>
        <v>41021.316363843238</v>
      </c>
      <c r="X58" s="37">
        <f t="shared" si="18"/>
        <v>41486.404575382097</v>
      </c>
      <c r="Y58" s="37">
        <f t="shared" si="18"/>
        <v>41933.089743723809</v>
      </c>
      <c r="Z58" s="37">
        <f t="shared" si="18"/>
        <v>42345.384296197233</v>
      </c>
      <c r="AA58" s="37">
        <f t="shared" si="18"/>
        <v>42724.984855436378</v>
      </c>
      <c r="AB58" s="37">
        <f t="shared" si="18"/>
        <v>43074.916036847389</v>
      </c>
    </row>
    <row r="59" spans="1:28" x14ac:dyDescent="0.25">
      <c r="A59" s="4" t="s">
        <v>216</v>
      </c>
      <c r="B59" s="37">
        <f t="shared" ref="B59:AB59" si="19">B39*B15*$F$5</f>
        <v>24430.557445352606</v>
      </c>
      <c r="C59" s="37">
        <f t="shared" si="19"/>
        <v>24797.752767431706</v>
      </c>
      <c r="D59" s="37">
        <f t="shared" si="19"/>
        <v>25377.617817624727</v>
      </c>
      <c r="E59" s="37">
        <f t="shared" si="19"/>
        <v>25976.060884333943</v>
      </c>
      <c r="F59" s="37">
        <f t="shared" si="19"/>
        <v>26600.821896253114</v>
      </c>
      <c r="G59" s="37">
        <f t="shared" si="19"/>
        <v>27253.845134285722</v>
      </c>
      <c r="H59" s="37">
        <f t="shared" si="19"/>
        <v>27938.232338762387</v>
      </c>
      <c r="I59" s="37">
        <f t="shared" si="19"/>
        <v>28613.666353790297</v>
      </c>
      <c r="J59" s="37">
        <f t="shared" si="19"/>
        <v>29316.637779402914</v>
      </c>
      <c r="K59" s="37">
        <f t="shared" si="19"/>
        <v>30040.078007463231</v>
      </c>
      <c r="L59" s="37">
        <f t="shared" si="19"/>
        <v>30783.674417499518</v>
      </c>
      <c r="M59" s="37">
        <f t="shared" si="19"/>
        <v>31545.837686168121</v>
      </c>
      <c r="N59" s="37">
        <f t="shared" si="19"/>
        <v>32320.041553625626</v>
      </c>
      <c r="O59" s="37">
        <f t="shared" si="19"/>
        <v>33099.886755419204</v>
      </c>
      <c r="P59" s="37">
        <f t="shared" si="19"/>
        <v>33883.884645444392</v>
      </c>
      <c r="Q59" s="37">
        <f t="shared" si="19"/>
        <v>34662.56664473642</v>
      </c>
      <c r="R59" s="37">
        <f t="shared" si="19"/>
        <v>35432.99926158951</v>
      </c>
      <c r="S59" s="37">
        <f t="shared" si="19"/>
        <v>36177.039041277349</v>
      </c>
      <c r="T59" s="37">
        <f t="shared" si="19"/>
        <v>36902.668829396753</v>
      </c>
      <c r="U59" s="37">
        <f t="shared" si="19"/>
        <v>37605.864676358797</v>
      </c>
      <c r="V59" s="37">
        <f t="shared" si="19"/>
        <v>38277.362240913295</v>
      </c>
      <c r="W59" s="37">
        <f t="shared" si="19"/>
        <v>38908.486648967439</v>
      </c>
      <c r="X59" s="37">
        <f t="shared" si="19"/>
        <v>39500.207497536532</v>
      </c>
      <c r="Y59" s="37">
        <f t="shared" si="19"/>
        <v>40069.987341469103</v>
      </c>
      <c r="Z59" s="37">
        <f t="shared" si="19"/>
        <v>40599.783442353117</v>
      </c>
      <c r="AA59" s="37">
        <f t="shared" si="19"/>
        <v>41082.197593083612</v>
      </c>
      <c r="AB59" s="37">
        <f t="shared" si="19"/>
        <v>41516.681642039439</v>
      </c>
    </row>
    <row r="60" spans="1:28" x14ac:dyDescent="0.25">
      <c r="A60" s="4" t="s">
        <v>217</v>
      </c>
      <c r="B60" s="37">
        <f t="shared" ref="B60:AB60" si="20">B40*B15*$F$6</f>
        <v>47424.579746398929</v>
      </c>
      <c r="C60" s="37">
        <f t="shared" si="20"/>
        <v>48192.082804237711</v>
      </c>
      <c r="D60" s="37">
        <f t="shared" si="20"/>
        <v>49367.477225103066</v>
      </c>
      <c r="E60" s="37">
        <f t="shared" si="20"/>
        <v>50561.834116745085</v>
      </c>
      <c r="F60" s="37">
        <f t="shared" si="20"/>
        <v>51785.784146444093</v>
      </c>
      <c r="G60" s="37">
        <f t="shared" si="20"/>
        <v>53040.014418763298</v>
      </c>
      <c r="H60" s="37">
        <f t="shared" si="20"/>
        <v>54326.970132899667</v>
      </c>
      <c r="I60" s="37">
        <f t="shared" si="20"/>
        <v>55567.51636981561</v>
      </c>
      <c r="J60" s="37">
        <f t="shared" si="20"/>
        <v>56830.099261496718</v>
      </c>
      <c r="K60" s="37">
        <f t="shared" si="20"/>
        <v>58104.863000332858</v>
      </c>
      <c r="L60" s="37">
        <f t="shared" si="20"/>
        <v>59388.754673279567</v>
      </c>
      <c r="M60" s="37">
        <f t="shared" si="20"/>
        <v>60679.436489700303</v>
      </c>
      <c r="N60" s="37">
        <f t="shared" si="20"/>
        <v>61965.755292800357</v>
      </c>
      <c r="O60" s="37">
        <f t="shared" si="20"/>
        <v>63241.196348093494</v>
      </c>
      <c r="P60" s="37">
        <f t="shared" si="20"/>
        <v>64497.092413273072</v>
      </c>
      <c r="Q60" s="37">
        <f t="shared" si="20"/>
        <v>65724.054473224198</v>
      </c>
      <c r="R60" s="37">
        <f t="shared" si="20"/>
        <v>66912.759926383005</v>
      </c>
      <c r="S60" s="37">
        <f t="shared" si="20"/>
        <v>68035.052195352429</v>
      </c>
      <c r="T60" s="37">
        <f t="shared" si="20"/>
        <v>69106.78059694542</v>
      </c>
      <c r="U60" s="37">
        <f t="shared" si="20"/>
        <v>70126.364582530121</v>
      </c>
      <c r="V60" s="37">
        <f t="shared" si="20"/>
        <v>71073.462344347412</v>
      </c>
      <c r="W60" s="37">
        <f t="shared" si="20"/>
        <v>71940.689307868073</v>
      </c>
      <c r="X60" s="37">
        <f t="shared" si="20"/>
        <v>72727.432888099938</v>
      </c>
      <c r="Y60" s="37">
        <f t="shared" si="20"/>
        <v>73468.972827162317</v>
      </c>
      <c r="Z60" s="37">
        <f t="shared" si="20"/>
        <v>74130.879156270676</v>
      </c>
      <c r="AA60" s="37">
        <f t="shared" si="20"/>
        <v>74706.45458038825</v>
      </c>
      <c r="AB60" s="37">
        <f t="shared" si="20"/>
        <v>75199.920214470621</v>
      </c>
    </row>
    <row r="61" spans="1:28" x14ac:dyDescent="0.25">
      <c r="A61" s="4" t="s">
        <v>218</v>
      </c>
      <c r="B61" s="37">
        <f t="shared" ref="B61:AB61" si="21">B41*B15*$F$7</f>
        <v>2338.9175979424776</v>
      </c>
      <c r="C61" s="37">
        <f t="shared" si="21"/>
        <v>2372.9218981728673</v>
      </c>
      <c r="D61" s="37">
        <f t="shared" si="21"/>
        <v>2427.3715356964217</v>
      </c>
      <c r="E61" s="37">
        <f t="shared" si="21"/>
        <v>2482.5973893435912</v>
      </c>
      <c r="F61" s="37">
        <f t="shared" si="21"/>
        <v>2539.4283395671073</v>
      </c>
      <c r="G61" s="37">
        <f t="shared" si="21"/>
        <v>2597.9670556796068</v>
      </c>
      <c r="H61" s="37">
        <f t="shared" si="21"/>
        <v>2658.1863045716727</v>
      </c>
      <c r="I61" s="37">
        <f t="shared" si="21"/>
        <v>2716.6037632189787</v>
      </c>
      <c r="J61" s="37">
        <f t="shared" si="21"/>
        <v>2776.6488397426583</v>
      </c>
      <c r="K61" s="37">
        <f t="shared" si="21"/>
        <v>2838.17461685129</v>
      </c>
      <c r="L61" s="37">
        <f t="shared" si="21"/>
        <v>2901.2127164085423</v>
      </c>
      <c r="M61" s="37">
        <f t="shared" si="21"/>
        <v>2965.6412581432296</v>
      </c>
      <c r="N61" s="37">
        <f t="shared" si="21"/>
        <v>3031.6269898440064</v>
      </c>
      <c r="O61" s="37">
        <f t="shared" si="21"/>
        <v>3098.4245977029395</v>
      </c>
      <c r="P61" s="37">
        <f t="shared" si="21"/>
        <v>3166.3868377974341</v>
      </c>
      <c r="Q61" s="37">
        <f t="shared" si="21"/>
        <v>3234.8823346280601</v>
      </c>
      <c r="R61" s="37">
        <f t="shared" si="21"/>
        <v>3303.8339940773417</v>
      </c>
      <c r="S61" s="37">
        <f t="shared" si="21"/>
        <v>3372.1974458985906</v>
      </c>
      <c r="T61" s="37">
        <f t="shared" si="21"/>
        <v>3440.3438412193468</v>
      </c>
      <c r="U61" s="37">
        <f t="shared" si="21"/>
        <v>3508.3035785996626</v>
      </c>
      <c r="V61" s="37">
        <f t="shared" si="21"/>
        <v>3575.6416652419607</v>
      </c>
      <c r="W61" s="37">
        <f t="shared" si="21"/>
        <v>3641.6556010237869</v>
      </c>
      <c r="X61" s="37">
        <f t="shared" si="21"/>
        <v>3706.0474646757511</v>
      </c>
      <c r="Y61" s="37">
        <f t="shared" si="21"/>
        <v>3769.70259050101</v>
      </c>
      <c r="Z61" s="37">
        <f t="shared" si="21"/>
        <v>3831.5366797216307</v>
      </c>
      <c r="AA61" s="37">
        <f t="shared" si="21"/>
        <v>3891.4542721357375</v>
      </c>
      <c r="AB61" s="37">
        <f t="shared" si="21"/>
        <v>3948.9848957040053</v>
      </c>
    </row>
    <row r="62" spans="1:28" x14ac:dyDescent="0.25">
      <c r="A62" s="4" t="s">
        <v>219</v>
      </c>
      <c r="B62" s="37">
        <f t="shared" ref="B62:AB62" si="22">B42*B15*$F$8</f>
        <v>1374.6313375070968</v>
      </c>
      <c r="C62" s="37">
        <f t="shared" si="22"/>
        <v>1406.2380344453027</v>
      </c>
      <c r="D62" s="37">
        <f t="shared" si="22"/>
        <v>1451.081524067291</v>
      </c>
      <c r="E62" s="37">
        <f t="shared" si="22"/>
        <v>1498.6696374531518</v>
      </c>
      <c r="F62" s="37">
        <f t="shared" si="22"/>
        <v>1549.5061472251316</v>
      </c>
      <c r="G62" s="37">
        <f t="shared" si="22"/>
        <v>1603.6378240948275</v>
      </c>
      <c r="H62" s="37">
        <f t="shared" si="22"/>
        <v>1661.2509915825567</v>
      </c>
      <c r="I62" s="37">
        <f t="shared" si="22"/>
        <v>1720.1449079150193</v>
      </c>
      <c r="J62" s="37">
        <f t="shared" si="22"/>
        <v>1781.6901220599177</v>
      </c>
      <c r="K62" s="37">
        <f t="shared" si="22"/>
        <v>1845.5772599004376</v>
      </c>
      <c r="L62" s="37">
        <f t="shared" si="22"/>
        <v>1912.3227200426031</v>
      </c>
      <c r="M62" s="37">
        <f t="shared" si="22"/>
        <v>1981.6072424813935</v>
      </c>
      <c r="N62" s="37">
        <f t="shared" si="22"/>
        <v>2053.2238846234368</v>
      </c>
      <c r="O62" s="37">
        <f t="shared" si="22"/>
        <v>2126.8499219943956</v>
      </c>
      <c r="P62" s="37">
        <f t="shared" si="22"/>
        <v>2202.3249691038836</v>
      </c>
      <c r="Q62" s="37">
        <f t="shared" si="22"/>
        <v>2279.2550259654295</v>
      </c>
      <c r="R62" s="37">
        <f t="shared" si="22"/>
        <v>2357.4455243127695</v>
      </c>
      <c r="S62" s="37">
        <f t="shared" si="22"/>
        <v>2435.7408089132587</v>
      </c>
      <c r="T62" s="37">
        <f t="shared" si="22"/>
        <v>2514.9045307498182</v>
      </c>
      <c r="U62" s="37">
        <f t="shared" si="22"/>
        <v>2594.3870887697308</v>
      </c>
      <c r="V62" s="37">
        <f t="shared" si="22"/>
        <v>2674.2588395611242</v>
      </c>
      <c r="W62" s="37">
        <f t="shared" si="22"/>
        <v>2754.3239462514002</v>
      </c>
      <c r="X62" s="37">
        <f t="shared" si="22"/>
        <v>2834.7964242317375</v>
      </c>
      <c r="Y62" s="37">
        <f t="shared" si="22"/>
        <v>2915.4714389601841</v>
      </c>
      <c r="Z62" s="37">
        <f t="shared" si="22"/>
        <v>2996.4161398881402</v>
      </c>
      <c r="AA62" s="37">
        <f t="shared" si="22"/>
        <v>3077.5751516734495</v>
      </c>
      <c r="AB62" s="37">
        <f t="shared" si="22"/>
        <v>3158.6998601805963</v>
      </c>
    </row>
    <row r="63" spans="1:28" x14ac:dyDescent="0.25">
      <c r="A63" s="4" t="s">
        <v>220</v>
      </c>
      <c r="B63" s="37">
        <f t="shared" ref="B63:AB63" si="23">B43*B15*$F$9</f>
        <v>1389.3648844110016</v>
      </c>
      <c r="C63" s="37">
        <f t="shared" si="23"/>
        <v>1419.3203237666507</v>
      </c>
      <c r="D63" s="37">
        <f t="shared" si="23"/>
        <v>1462.8361410879065</v>
      </c>
      <c r="E63" s="37">
        <f t="shared" si="23"/>
        <v>1509.6513012283892</v>
      </c>
      <c r="F63" s="37">
        <f t="shared" si="23"/>
        <v>1557.3276175875696</v>
      </c>
      <c r="G63" s="37">
        <f t="shared" si="23"/>
        <v>1608.1172150209334</v>
      </c>
      <c r="H63" s="37">
        <f t="shared" si="23"/>
        <v>1660.6191811863775</v>
      </c>
      <c r="I63" s="37">
        <f t="shared" si="23"/>
        <v>1712.2529480742626</v>
      </c>
      <c r="J63" s="37">
        <f t="shared" si="23"/>
        <v>1765.3224827406764</v>
      </c>
      <c r="K63" s="37">
        <f t="shared" si="23"/>
        <v>1821.7653350842229</v>
      </c>
      <c r="L63" s="37">
        <f t="shared" si="23"/>
        <v>1879.8864254153045</v>
      </c>
      <c r="M63" s="37">
        <f t="shared" si="23"/>
        <v>1940.2883596888132</v>
      </c>
      <c r="N63" s="37">
        <f t="shared" si="23"/>
        <v>2002.1500742389103</v>
      </c>
      <c r="O63" s="37">
        <f t="shared" si="23"/>
        <v>2065.6472364259525</v>
      </c>
      <c r="P63" s="37">
        <f t="shared" si="23"/>
        <v>2131.3461898811997</v>
      </c>
      <c r="Q63" s="37">
        <f t="shared" si="23"/>
        <v>2198.9983316509374</v>
      </c>
      <c r="R63" s="37">
        <f t="shared" si="23"/>
        <v>2268.2062370496174</v>
      </c>
      <c r="S63" s="37">
        <f t="shared" si="23"/>
        <v>2337.5699917770467</v>
      </c>
      <c r="T63" s="37">
        <f t="shared" si="23"/>
        <v>2408.4362238618373</v>
      </c>
      <c r="U63" s="37">
        <f t="shared" si="23"/>
        <v>2480.1834982716273</v>
      </c>
      <c r="V63" s="37">
        <f t="shared" si="23"/>
        <v>2552.0905504425905</v>
      </c>
      <c r="W63" s="37">
        <f t="shared" si="23"/>
        <v>2625.7104392099081</v>
      </c>
      <c r="X63" s="37">
        <f t="shared" si="23"/>
        <v>2699.786859595582</v>
      </c>
      <c r="Y63" s="37">
        <f t="shared" si="23"/>
        <v>2775.0814596875075</v>
      </c>
      <c r="Z63" s="37">
        <f t="shared" si="23"/>
        <v>2850.5255068318534</v>
      </c>
      <c r="AA63" s="37">
        <f t="shared" si="23"/>
        <v>2926.5213915697441</v>
      </c>
      <c r="AB63" s="37">
        <f t="shared" si="23"/>
        <v>3003.5059759010496</v>
      </c>
    </row>
    <row r="64" spans="1:28" x14ac:dyDescent="0.25">
      <c r="A64" s="4" t="s">
        <v>221</v>
      </c>
      <c r="B64" s="37">
        <f t="shared" ref="B64:AB64" si="24">B44*B15*$F$10</f>
        <v>5294.7610361373572</v>
      </c>
      <c r="C64" s="37">
        <f t="shared" si="24"/>
        <v>5478.5161252889129</v>
      </c>
      <c r="D64" s="37">
        <f t="shared" si="24"/>
        <v>5714.0444562048897</v>
      </c>
      <c r="E64" s="37">
        <f t="shared" si="24"/>
        <v>5957.3839281510682</v>
      </c>
      <c r="F64" s="37">
        <f t="shared" si="24"/>
        <v>6208.7297600498878</v>
      </c>
      <c r="G64" s="37">
        <f t="shared" si="24"/>
        <v>6468.9780964363945</v>
      </c>
      <c r="H64" s="37">
        <f t="shared" si="24"/>
        <v>6740.4146892468507</v>
      </c>
      <c r="I64" s="37">
        <f t="shared" si="24"/>
        <v>7013.9436983796631</v>
      </c>
      <c r="J64" s="37">
        <f t="shared" si="24"/>
        <v>7296.790907032665</v>
      </c>
      <c r="K64" s="37">
        <f t="shared" si="24"/>
        <v>7590.7998226106702</v>
      </c>
      <c r="L64" s="37">
        <f t="shared" si="24"/>
        <v>7897.4640009091145</v>
      </c>
      <c r="M64" s="37">
        <f t="shared" si="24"/>
        <v>8215.0602662897327</v>
      </c>
      <c r="N64" s="37">
        <f t="shared" si="24"/>
        <v>8545.9197236781165</v>
      </c>
      <c r="O64" s="37">
        <f t="shared" si="24"/>
        <v>8888.8395509088587</v>
      </c>
      <c r="P64" s="37">
        <f t="shared" si="24"/>
        <v>9243.6218921888103</v>
      </c>
      <c r="Q64" s="37">
        <f t="shared" si="24"/>
        <v>9610.866138099047</v>
      </c>
      <c r="R64" s="37">
        <f t="shared" si="24"/>
        <v>9988.8168131560851</v>
      </c>
      <c r="S64" s="37">
        <f t="shared" si="24"/>
        <v>10374.357250409275</v>
      </c>
      <c r="T64" s="37">
        <f t="shared" si="24"/>
        <v>10770.49196728171</v>
      </c>
      <c r="U64" s="37">
        <f t="shared" si="24"/>
        <v>11176.636271137551</v>
      </c>
      <c r="V64" s="37">
        <f t="shared" si="24"/>
        <v>11591.410438545117</v>
      </c>
      <c r="W64" s="37">
        <f t="shared" si="24"/>
        <v>12013.285479352282</v>
      </c>
      <c r="X64" s="37">
        <f t="shared" si="24"/>
        <v>12443.768368600849</v>
      </c>
      <c r="Y64" s="37">
        <f t="shared" si="24"/>
        <v>12880.409937149496</v>
      </c>
      <c r="Z64" s="37">
        <f t="shared" si="24"/>
        <v>13323.043532688773</v>
      </c>
      <c r="AA64" s="37">
        <f t="shared" si="24"/>
        <v>13768.655202103118</v>
      </c>
      <c r="AB64" s="37">
        <f t="shared" si="24"/>
        <v>14216.790271034923</v>
      </c>
    </row>
    <row r="65" spans="1:28" x14ac:dyDescent="0.25">
      <c r="A65" s="4" t="s">
        <v>222</v>
      </c>
      <c r="B65" s="37">
        <f t="shared" ref="B65:AB65" si="25">B45*B15*$F$11</f>
        <v>44902.989607704214</v>
      </c>
      <c r="C65" s="37">
        <f t="shared" si="25"/>
        <v>45561.131510502855</v>
      </c>
      <c r="D65" s="37">
        <f t="shared" si="25"/>
        <v>46604.785859990414</v>
      </c>
      <c r="E65" s="37">
        <f t="shared" si="25"/>
        <v>47666.958524028676</v>
      </c>
      <c r="F65" s="37">
        <f t="shared" si="25"/>
        <v>48757.355234859249</v>
      </c>
      <c r="G65" s="37">
        <f t="shared" si="25"/>
        <v>49878.016127281939</v>
      </c>
      <c r="H65" s="37">
        <f t="shared" si="25"/>
        <v>51028.223294368821</v>
      </c>
      <c r="I65" s="37">
        <f t="shared" si="25"/>
        <v>52134.28816514404</v>
      </c>
      <c r="J65" s="37">
        <f t="shared" si="25"/>
        <v>53260.813347601106</v>
      </c>
      <c r="K65" s="37">
        <f t="shared" si="25"/>
        <v>54398.78196894782</v>
      </c>
      <c r="L65" s="37">
        <f t="shared" si="25"/>
        <v>55543.90763778027</v>
      </c>
      <c r="M65" s="37">
        <f t="shared" si="25"/>
        <v>56695.302642148185</v>
      </c>
      <c r="N65" s="37">
        <f t="shared" si="25"/>
        <v>57841.191400282696</v>
      </c>
      <c r="O65" s="37">
        <f t="shared" si="25"/>
        <v>58974.77193918181</v>
      </c>
      <c r="P65" s="37">
        <f t="shared" si="25"/>
        <v>60090.076610135344</v>
      </c>
      <c r="Q65" s="37">
        <f t="shared" si="25"/>
        <v>61176.290536377193</v>
      </c>
      <c r="R65" s="37">
        <f t="shared" si="25"/>
        <v>62226.176866318419</v>
      </c>
      <c r="S65" s="37">
        <f t="shared" si="25"/>
        <v>63212.977058654214</v>
      </c>
      <c r="T65" s="37">
        <f t="shared" si="25"/>
        <v>64150.809077610036</v>
      </c>
      <c r="U65" s="37">
        <f t="shared" si="25"/>
        <v>65037.559573242856</v>
      </c>
      <c r="V65" s="37">
        <f t="shared" si="25"/>
        <v>65855.636197075437</v>
      </c>
      <c r="W65" s="37">
        <f t="shared" si="25"/>
        <v>66599.198583095771</v>
      </c>
      <c r="X65" s="37">
        <f t="shared" si="25"/>
        <v>67265.03629989519</v>
      </c>
      <c r="Y65" s="37">
        <f t="shared" si="25"/>
        <v>67887.362729904882</v>
      </c>
      <c r="Z65" s="37">
        <f t="shared" si="25"/>
        <v>68433.79476738302</v>
      </c>
      <c r="AA65" s="37">
        <f t="shared" si="25"/>
        <v>68901.123768449514</v>
      </c>
      <c r="AB65" s="37">
        <f t="shared" si="25"/>
        <v>69292.005057597606</v>
      </c>
    </row>
    <row r="67" spans="1:28" x14ac:dyDescent="0.25">
      <c r="A67" s="4" t="s">
        <v>328</v>
      </c>
    </row>
    <row r="68" spans="1:28" x14ac:dyDescent="0.25">
      <c r="A68" s="4" t="s">
        <v>329</v>
      </c>
      <c r="B68" s="40">
        <f t="shared" ref="B68:AB68" si="26">B48+B49</f>
        <v>301.81996868962005</v>
      </c>
      <c r="C68" s="40">
        <f t="shared" si="26"/>
        <v>299.65326590383472</v>
      </c>
      <c r="D68" s="40">
        <f t="shared" si="26"/>
        <v>300.01179799963199</v>
      </c>
      <c r="E68" s="40">
        <f t="shared" si="26"/>
        <v>300.33417824521831</v>
      </c>
      <c r="F68" s="40">
        <f t="shared" si="26"/>
        <v>300.56865396041894</v>
      </c>
      <c r="G68" s="40">
        <f t="shared" si="26"/>
        <v>300.75156678486871</v>
      </c>
      <c r="H68" s="40">
        <f t="shared" si="26"/>
        <v>300.86761693735923</v>
      </c>
      <c r="I68" s="40">
        <f t="shared" si="26"/>
        <v>300.53958677367575</v>
      </c>
      <c r="J68" s="40">
        <f t="shared" si="26"/>
        <v>300.13871652046424</v>
      </c>
      <c r="K68" s="40">
        <f t="shared" si="26"/>
        <v>299.64186599331094</v>
      </c>
      <c r="L68" s="40">
        <f t="shared" si="26"/>
        <v>299.06146884796925</v>
      </c>
      <c r="M68" s="40">
        <f t="shared" si="26"/>
        <v>298.38395532949107</v>
      </c>
      <c r="N68" s="40">
        <f t="shared" si="26"/>
        <v>297.64672310825654</v>
      </c>
      <c r="O68" s="40">
        <f t="shared" si="26"/>
        <v>296.76171262022933</v>
      </c>
      <c r="P68" s="40">
        <f t="shared" si="26"/>
        <v>295.73865484119273</v>
      </c>
      <c r="Q68" s="40">
        <f t="shared" si="26"/>
        <v>294.62461021953584</v>
      </c>
      <c r="R68" s="40">
        <f t="shared" si="26"/>
        <v>293.3823485369835</v>
      </c>
      <c r="S68" s="40">
        <f t="shared" si="26"/>
        <v>291.97372611636797</v>
      </c>
      <c r="T68" s="40">
        <f t="shared" si="26"/>
        <v>290.51187723401938</v>
      </c>
      <c r="U68" s="40">
        <f t="shared" si="26"/>
        <v>289.03292325191052</v>
      </c>
      <c r="V68" s="40">
        <f t="shared" si="26"/>
        <v>287.57314400015827</v>
      </c>
      <c r="W68" s="40">
        <f t="shared" si="26"/>
        <v>286.13015199514365</v>
      </c>
      <c r="X68" s="40">
        <f t="shared" si="26"/>
        <v>284.80819276070264</v>
      </c>
      <c r="Y68" s="40">
        <f t="shared" si="26"/>
        <v>283.53943000853496</v>
      </c>
      <c r="Z68" s="40">
        <f t="shared" si="26"/>
        <v>282.32623756511339</v>
      </c>
      <c r="AA68" s="40">
        <f t="shared" si="26"/>
        <v>281.16301221665321</v>
      </c>
      <c r="AB68" s="40">
        <f t="shared" si="26"/>
        <v>280.08864550176196</v>
      </c>
    </row>
    <row r="69" spans="1:28" x14ac:dyDescent="0.25">
      <c r="A69" s="4" t="s">
        <v>330</v>
      </c>
      <c r="B69" s="40">
        <f t="shared" ref="B69:AB69" si="27">B50+B51+B52+B53</f>
        <v>270.9088241411838</v>
      </c>
      <c r="C69" s="40">
        <f t="shared" si="27"/>
        <v>269.34478946029793</v>
      </c>
      <c r="D69" s="40">
        <f t="shared" si="27"/>
        <v>270.03405604254618</v>
      </c>
      <c r="E69" s="40">
        <f t="shared" si="27"/>
        <v>270.71197967467378</v>
      </c>
      <c r="F69" s="40">
        <f t="shared" si="27"/>
        <v>271.32737493315278</v>
      </c>
      <c r="G69" s="40">
        <f t="shared" si="27"/>
        <v>271.89372410142431</v>
      </c>
      <c r="H69" s="40">
        <f t="shared" si="27"/>
        <v>272.43864188433531</v>
      </c>
      <c r="I69" s="40">
        <f t="shared" si="27"/>
        <v>272.55982141499487</v>
      </c>
      <c r="J69" s="40">
        <f t="shared" si="27"/>
        <v>272.60753943724808</v>
      </c>
      <c r="K69" s="40">
        <f t="shared" si="27"/>
        <v>272.52890517192213</v>
      </c>
      <c r="L69" s="40">
        <f t="shared" si="27"/>
        <v>272.35536256182309</v>
      </c>
      <c r="M69" s="40">
        <f t="shared" si="27"/>
        <v>272.02794244709264</v>
      </c>
      <c r="N69" s="40">
        <f t="shared" si="27"/>
        <v>271.63564740832726</v>
      </c>
      <c r="O69" s="40">
        <f t="shared" si="27"/>
        <v>271.04221887585345</v>
      </c>
      <c r="P69" s="40">
        <f t="shared" si="27"/>
        <v>270.29894077550745</v>
      </c>
      <c r="Q69" s="40">
        <f t="shared" si="27"/>
        <v>269.41925329001305</v>
      </c>
      <c r="R69" s="40">
        <f t="shared" si="27"/>
        <v>268.4009624393708</v>
      </c>
      <c r="S69" s="40">
        <f t="shared" si="27"/>
        <v>267.20941240395717</v>
      </c>
      <c r="T69" s="40">
        <f t="shared" si="27"/>
        <v>265.93277579129034</v>
      </c>
      <c r="U69" s="40">
        <f t="shared" si="27"/>
        <v>264.66294611659464</v>
      </c>
      <c r="V69" s="40">
        <f t="shared" si="27"/>
        <v>263.37865876879914</v>
      </c>
      <c r="W69" s="40">
        <f t="shared" si="27"/>
        <v>262.13548910255247</v>
      </c>
      <c r="X69" s="40">
        <f t="shared" si="27"/>
        <v>261.01227907231015</v>
      </c>
      <c r="Y69" s="40">
        <f t="shared" si="27"/>
        <v>259.88787189089209</v>
      </c>
      <c r="Z69" s="40">
        <f t="shared" si="27"/>
        <v>258.85399857011998</v>
      </c>
      <c r="AA69" s="40">
        <f t="shared" si="27"/>
        <v>257.85189680777574</v>
      </c>
      <c r="AB69" s="40">
        <f t="shared" si="27"/>
        <v>256.96470855413889</v>
      </c>
    </row>
    <row r="70" spans="1:28" x14ac:dyDescent="0.25">
      <c r="A70" s="4" t="s">
        <v>331</v>
      </c>
      <c r="B70" s="40">
        <f t="shared" ref="B70:AB70" si="28">B54+B55</f>
        <v>303.30734618513651</v>
      </c>
      <c r="C70" s="40">
        <f t="shared" si="28"/>
        <v>301.31017495388897</v>
      </c>
      <c r="D70" s="40">
        <f t="shared" si="28"/>
        <v>301.8633120842681</v>
      </c>
      <c r="E70" s="40">
        <f t="shared" si="28"/>
        <v>302.38797635741906</v>
      </c>
      <c r="F70" s="40">
        <f t="shared" si="28"/>
        <v>302.84407498076928</v>
      </c>
      <c r="G70" s="40">
        <f t="shared" si="28"/>
        <v>303.23720318795881</v>
      </c>
      <c r="H70" s="40">
        <f t="shared" si="28"/>
        <v>303.56532421959338</v>
      </c>
      <c r="I70" s="40">
        <f t="shared" si="28"/>
        <v>303.44295522029938</v>
      </c>
      <c r="J70" s="40">
        <f t="shared" si="28"/>
        <v>303.24924528075309</v>
      </c>
      <c r="K70" s="40">
        <f t="shared" si="28"/>
        <v>302.9550342685651</v>
      </c>
      <c r="L70" s="40">
        <f t="shared" si="28"/>
        <v>302.57340073938246</v>
      </c>
      <c r="M70" s="40">
        <f t="shared" si="28"/>
        <v>302.08548092052126</v>
      </c>
      <c r="N70" s="40">
        <f t="shared" si="28"/>
        <v>301.52671970337639</v>
      </c>
      <c r="O70" s="40">
        <f t="shared" si="28"/>
        <v>300.82235311944487</v>
      </c>
      <c r="P70" s="40">
        <f t="shared" si="28"/>
        <v>299.9558587603762</v>
      </c>
      <c r="Q70" s="40">
        <f t="shared" si="28"/>
        <v>298.99378784313649</v>
      </c>
      <c r="R70" s="40">
        <f t="shared" si="28"/>
        <v>297.88154970083417</v>
      </c>
      <c r="S70" s="40">
        <f t="shared" si="28"/>
        <v>296.60752218922727</v>
      </c>
      <c r="T70" s="40">
        <f t="shared" si="28"/>
        <v>295.26431489782055</v>
      </c>
      <c r="U70" s="40">
        <f t="shared" si="28"/>
        <v>293.88666817635999</v>
      </c>
      <c r="V70" s="40">
        <f t="shared" si="28"/>
        <v>292.52865386737682</v>
      </c>
      <c r="W70" s="40">
        <f t="shared" si="28"/>
        <v>291.16273752963991</v>
      </c>
      <c r="X70" s="40">
        <f t="shared" si="28"/>
        <v>289.932591587964</v>
      </c>
      <c r="Y70" s="40">
        <f t="shared" si="28"/>
        <v>288.74983566415392</v>
      </c>
      <c r="Z70" s="40">
        <f t="shared" si="28"/>
        <v>287.61711750336065</v>
      </c>
      <c r="AA70" s="40">
        <f t="shared" si="28"/>
        <v>286.53722963470216</v>
      </c>
      <c r="AB70" s="40">
        <f t="shared" si="28"/>
        <v>285.55392078730927</v>
      </c>
    </row>
    <row r="71" spans="1:28" x14ac:dyDescent="0.25">
      <c r="A71" s="4" t="s">
        <v>332</v>
      </c>
      <c r="B71" s="40">
        <f t="shared" ref="B71:AB71" si="29">B58+B59</f>
        <v>51560.731779904148</v>
      </c>
      <c r="C71" s="40">
        <f t="shared" si="29"/>
        <v>52407.208947018364</v>
      </c>
      <c r="D71" s="40">
        <f t="shared" si="29"/>
        <v>53701.654014051877</v>
      </c>
      <c r="E71" s="40">
        <f t="shared" si="29"/>
        <v>55021.825409424884</v>
      </c>
      <c r="F71" s="40">
        <f t="shared" si="29"/>
        <v>56377.945815007581</v>
      </c>
      <c r="G71" s="40">
        <f t="shared" si="29"/>
        <v>57772.884490644101</v>
      </c>
      <c r="H71" s="40">
        <f t="shared" si="29"/>
        <v>59207.700555810188</v>
      </c>
      <c r="I71" s="40">
        <f t="shared" si="29"/>
        <v>60597.440146219102</v>
      </c>
      <c r="J71" s="40">
        <f t="shared" si="29"/>
        <v>62015.889574369168</v>
      </c>
      <c r="K71" s="40">
        <f t="shared" si="29"/>
        <v>63455.285132085977</v>
      </c>
      <c r="L71" s="40">
        <f t="shared" si="29"/>
        <v>64912.333516426392</v>
      </c>
      <c r="M71" s="40">
        <f t="shared" si="29"/>
        <v>66384.673749983514</v>
      </c>
      <c r="N71" s="40">
        <f t="shared" si="29"/>
        <v>67861.98349111469</v>
      </c>
      <c r="O71" s="40">
        <f t="shared" si="29"/>
        <v>69336.225534452562</v>
      </c>
      <c r="P71" s="40">
        <f t="shared" si="29"/>
        <v>70800.905247949471</v>
      </c>
      <c r="Q71" s="40">
        <f t="shared" si="29"/>
        <v>72245.369940669378</v>
      </c>
      <c r="R71" s="40">
        <f t="shared" si="29"/>
        <v>73660.491417893179</v>
      </c>
      <c r="S71" s="40">
        <f t="shared" si="29"/>
        <v>75015.732785152533</v>
      </c>
      <c r="T71" s="40">
        <f t="shared" si="29"/>
        <v>76328.442605847842</v>
      </c>
      <c r="U71" s="40">
        <f t="shared" si="29"/>
        <v>77596.031165147113</v>
      </c>
      <c r="V71" s="40">
        <f t="shared" si="29"/>
        <v>78798.880859075565</v>
      </c>
      <c r="W71" s="40">
        <f t="shared" si="29"/>
        <v>79929.803012810677</v>
      </c>
      <c r="X71" s="40">
        <f t="shared" si="29"/>
        <v>80986.612072918622</v>
      </c>
      <c r="Y71" s="40">
        <f t="shared" si="29"/>
        <v>82003.077085192912</v>
      </c>
      <c r="Z71" s="40">
        <f t="shared" si="29"/>
        <v>82945.167738550343</v>
      </c>
      <c r="AA71" s="40">
        <f t="shared" si="29"/>
        <v>83807.18244851999</v>
      </c>
      <c r="AB71" s="40">
        <f t="shared" si="29"/>
        <v>84591.597678886828</v>
      </c>
    </row>
    <row r="72" spans="1:28" x14ac:dyDescent="0.25">
      <c r="A72" s="4" t="s">
        <v>333</v>
      </c>
      <c r="B72" s="40">
        <f t="shared" ref="B72:AB72" si="30">B60+B61+B62+B63</f>
        <v>52527.493566259502</v>
      </c>
      <c r="C72" s="40">
        <f t="shared" si="30"/>
        <v>53390.563060622539</v>
      </c>
      <c r="D72" s="40">
        <f t="shared" si="30"/>
        <v>54708.766425954687</v>
      </c>
      <c r="E72" s="40">
        <f t="shared" si="30"/>
        <v>56052.752444770216</v>
      </c>
      <c r="F72" s="40">
        <f t="shared" si="30"/>
        <v>57432.046250823907</v>
      </c>
      <c r="G72" s="40">
        <f t="shared" si="30"/>
        <v>58849.736513558659</v>
      </c>
      <c r="H72" s="40">
        <f t="shared" si="30"/>
        <v>60307.026610240275</v>
      </c>
      <c r="I72" s="40">
        <f t="shared" si="30"/>
        <v>61716.517989023865</v>
      </c>
      <c r="J72" s="40">
        <f t="shared" si="30"/>
        <v>63153.760706039968</v>
      </c>
      <c r="K72" s="40">
        <f t="shared" si="30"/>
        <v>64610.380212168813</v>
      </c>
      <c r="L72" s="40">
        <f t="shared" si="30"/>
        <v>66082.17653514602</v>
      </c>
      <c r="M72" s="40">
        <f t="shared" si="30"/>
        <v>67566.973350013737</v>
      </c>
      <c r="N72" s="40">
        <f t="shared" si="30"/>
        <v>69052.756241506708</v>
      </c>
      <c r="O72" s="40">
        <f t="shared" si="30"/>
        <v>70532.118104216774</v>
      </c>
      <c r="P72" s="40">
        <f t="shared" si="30"/>
        <v>71997.150410055576</v>
      </c>
      <c r="Q72" s="40">
        <f t="shared" si="30"/>
        <v>73437.190165468608</v>
      </c>
      <c r="R72" s="40">
        <f t="shared" si="30"/>
        <v>74842.245681822737</v>
      </c>
      <c r="S72" s="40">
        <f t="shared" si="30"/>
        <v>76180.560441941314</v>
      </c>
      <c r="T72" s="40">
        <f t="shared" si="30"/>
        <v>77470.465192776421</v>
      </c>
      <c r="U72" s="40">
        <f t="shared" si="30"/>
        <v>78709.238748171134</v>
      </c>
      <c r="V72" s="40">
        <f t="shared" si="30"/>
        <v>79875.453399593083</v>
      </c>
      <c r="W72" s="40">
        <f t="shared" si="30"/>
        <v>80962.379294353173</v>
      </c>
      <c r="X72" s="40">
        <f t="shared" si="30"/>
        <v>81968.063636603008</v>
      </c>
      <c r="Y72" s="40">
        <f t="shared" si="30"/>
        <v>82929.228316311026</v>
      </c>
      <c r="Z72" s="40">
        <f t="shared" si="30"/>
        <v>83809.357482712294</v>
      </c>
      <c r="AA72" s="40">
        <f t="shared" si="30"/>
        <v>84602.005395767177</v>
      </c>
      <c r="AB72" s="40">
        <f t="shared" si="30"/>
        <v>85311.110946256274</v>
      </c>
    </row>
    <row r="73" spans="1:28" x14ac:dyDescent="0.25">
      <c r="A73" s="4" t="s">
        <v>334</v>
      </c>
      <c r="B73" s="40">
        <f t="shared" ref="B73:AB73" si="31">B64+B65</f>
        <v>50197.750643841573</v>
      </c>
      <c r="C73" s="40">
        <f t="shared" si="31"/>
        <v>51039.647635791771</v>
      </c>
      <c r="D73" s="40">
        <f t="shared" si="31"/>
        <v>52318.830316195301</v>
      </c>
      <c r="E73" s="40">
        <f t="shared" si="31"/>
        <v>53624.342452179742</v>
      </c>
      <c r="F73" s="40">
        <f t="shared" si="31"/>
        <v>54966.084994909135</v>
      </c>
      <c r="G73" s="40">
        <f t="shared" si="31"/>
        <v>56346.994223718335</v>
      </c>
      <c r="H73" s="40">
        <f t="shared" si="31"/>
        <v>57768.63798361567</v>
      </c>
      <c r="I73" s="40">
        <f t="shared" si="31"/>
        <v>59148.231863523702</v>
      </c>
      <c r="J73" s="40">
        <f t="shared" si="31"/>
        <v>60557.60425463377</v>
      </c>
      <c r="K73" s="40">
        <f t="shared" si="31"/>
        <v>61989.581791558492</v>
      </c>
      <c r="L73" s="40">
        <f t="shared" si="31"/>
        <v>63441.371638689387</v>
      </c>
      <c r="M73" s="40">
        <f t="shared" si="31"/>
        <v>64910.362908437921</v>
      </c>
      <c r="N73" s="40">
        <f t="shared" si="31"/>
        <v>66387.111123960814</v>
      </c>
      <c r="O73" s="40">
        <f t="shared" si="31"/>
        <v>67863.611490090669</v>
      </c>
      <c r="P73" s="40">
        <f t="shared" si="31"/>
        <v>69333.698502324158</v>
      </c>
      <c r="Q73" s="40">
        <f t="shared" si="31"/>
        <v>70787.156674476239</v>
      </c>
      <c r="R73" s="40">
        <f t="shared" si="31"/>
        <v>72214.993679474501</v>
      </c>
      <c r="S73" s="40">
        <f t="shared" si="31"/>
        <v>73587.334309063488</v>
      </c>
      <c r="T73" s="40">
        <f t="shared" si="31"/>
        <v>74921.301044891748</v>
      </c>
      <c r="U73" s="40">
        <f t="shared" si="31"/>
        <v>76214.195844380403</v>
      </c>
      <c r="V73" s="40">
        <f t="shared" si="31"/>
        <v>77447.046635620558</v>
      </c>
      <c r="W73" s="40">
        <f t="shared" si="31"/>
        <v>78612.484062448057</v>
      </c>
      <c r="X73" s="40">
        <f t="shared" si="31"/>
        <v>79708.804668496043</v>
      </c>
      <c r="Y73" s="40">
        <f t="shared" si="31"/>
        <v>80767.772667054378</v>
      </c>
      <c r="Z73" s="40">
        <f t="shared" si="31"/>
        <v>81756.838300071788</v>
      </c>
      <c r="AA73" s="40">
        <f t="shared" si="31"/>
        <v>82669.778970552637</v>
      </c>
      <c r="AB73" s="40">
        <f t="shared" si="31"/>
        <v>83508.795328632521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171.08863452010505</v>
      </c>
      <c r="C2" s="37">
        <f>BDbDT_calcs!C48</f>
        <v>169.70632239853174</v>
      </c>
      <c r="D2" s="37">
        <f>BDbDT_calcs!D48</f>
        <v>169.74505794678549</v>
      </c>
      <c r="E2" s="37">
        <f>BDbDT_calcs!E48</f>
        <v>169.77071554275514</v>
      </c>
      <c r="F2" s="37">
        <f>BDbDT_calcs!F48</f>
        <v>169.74815544469999</v>
      </c>
      <c r="G2" s="37">
        <f>BDbDT_calcs!G48</f>
        <v>169.67766342397218</v>
      </c>
      <c r="H2" s="37">
        <f>BDbDT_calcs!H48</f>
        <v>169.56040360210775</v>
      </c>
      <c r="I2" s="37">
        <f>BDbDT_calcs!I48</f>
        <v>169.26649857119611</v>
      </c>
      <c r="J2" s="37">
        <f>BDbDT_calcs!J48</f>
        <v>168.84047882964921</v>
      </c>
      <c r="K2" s="37">
        <f>BDbDT_calcs!K48</f>
        <v>168.42857690419834</v>
      </c>
      <c r="L2" s="37">
        <f>BDbDT_calcs!L48</f>
        <v>167.89592528600318</v>
      </c>
      <c r="M2" s="37">
        <f>BDbDT_calcs!M48</f>
        <v>167.37760650905699</v>
      </c>
      <c r="N2" s="37">
        <f>BDbDT_calcs!N48</f>
        <v>166.89409390853501</v>
      </c>
      <c r="O2" s="37">
        <f>BDbDT_calcs!O48</f>
        <v>166.16887099009472</v>
      </c>
      <c r="P2" s="37">
        <f>BDbDT_calcs!P48</f>
        <v>165.49665060758403</v>
      </c>
      <c r="Q2" s="37">
        <f>BDbDT_calcs!Q48</f>
        <v>164.69732742958615</v>
      </c>
      <c r="R2" s="37">
        <f>BDbDT_calcs!R48</f>
        <v>163.86911334534869</v>
      </c>
      <c r="S2" s="37">
        <f>BDbDT_calcs!S48</f>
        <v>162.91901803274652</v>
      </c>
      <c r="T2" s="37">
        <f>BDbDT_calcs!T48</f>
        <v>161.95887863116056</v>
      </c>
      <c r="U2" s="37">
        <f>BDbDT_calcs!U48</f>
        <v>160.98712449844453</v>
      </c>
      <c r="V2" s="37">
        <f>BDbDT_calcs!V48</f>
        <v>160.00165309336938</v>
      </c>
      <c r="W2" s="37">
        <f>BDbDT_calcs!W48</f>
        <v>159.02112219225816</v>
      </c>
      <c r="X2" s="37">
        <f>BDbDT_calcs!X48</f>
        <v>158.1917069642613</v>
      </c>
      <c r="Y2" s="37">
        <f>BDbDT_calcs!Y48</f>
        <v>157.34506958883031</v>
      </c>
      <c r="Z2" s="37">
        <f>BDbDT_calcs!Z48</f>
        <v>156.58636588643805</v>
      </c>
      <c r="AA2" s="37">
        <f>BDbDT_calcs!AA48</f>
        <v>155.82926438673468</v>
      </c>
      <c r="AB2" s="37">
        <f>BDbDT_calcs!AB48</f>
        <v>155.05034584627103</v>
      </c>
    </row>
    <row r="3" spans="1:28" x14ac:dyDescent="0.25">
      <c r="A3" s="4" t="s">
        <v>216</v>
      </c>
      <c r="B3" s="37">
        <f>BDbDT_calcs!B49</f>
        <v>130.73133416951501</v>
      </c>
      <c r="C3" s="37">
        <f>BDbDT_calcs!C49</f>
        <v>129.94694350530298</v>
      </c>
      <c r="D3" s="37">
        <f>BDbDT_calcs!D49</f>
        <v>130.26674005284647</v>
      </c>
      <c r="E3" s="37">
        <f>BDbDT_calcs!E49</f>
        <v>130.56346270246317</v>
      </c>
      <c r="F3" s="37">
        <f>BDbDT_calcs!F49</f>
        <v>130.82049851571898</v>
      </c>
      <c r="G3" s="37">
        <f>BDbDT_calcs!G49</f>
        <v>131.07390336089654</v>
      </c>
      <c r="H3" s="37">
        <f>BDbDT_calcs!H49</f>
        <v>131.3072133352515</v>
      </c>
      <c r="I3" s="37">
        <f>BDbDT_calcs!I49</f>
        <v>131.27308820247967</v>
      </c>
      <c r="J3" s="37">
        <f>BDbDT_calcs!J49</f>
        <v>131.29823769081503</v>
      </c>
      <c r="K3" s="37">
        <f>BDbDT_calcs!K49</f>
        <v>131.21328908911261</v>
      </c>
      <c r="L3" s="37">
        <f>BDbDT_calcs!L49</f>
        <v>131.16554356196608</v>
      </c>
      <c r="M3" s="37">
        <f>BDbDT_calcs!M49</f>
        <v>131.00634882043406</v>
      </c>
      <c r="N3" s="37">
        <f>BDbDT_calcs!N49</f>
        <v>130.7526291997215</v>
      </c>
      <c r="O3" s="37">
        <f>BDbDT_calcs!O49</f>
        <v>130.59284163013464</v>
      </c>
      <c r="P3" s="37">
        <f>BDbDT_calcs!P49</f>
        <v>130.2420042336087</v>
      </c>
      <c r="Q3" s="37">
        <f>BDbDT_calcs!Q49</f>
        <v>129.92728278994966</v>
      </c>
      <c r="R3" s="37">
        <f>BDbDT_calcs!R49</f>
        <v>129.51323519163483</v>
      </c>
      <c r="S3" s="37">
        <f>BDbDT_calcs!S49</f>
        <v>129.05470808362145</v>
      </c>
      <c r="T3" s="37">
        <f>BDbDT_calcs!T49</f>
        <v>128.55299860285882</v>
      </c>
      <c r="U3" s="37">
        <f>BDbDT_calcs!U49</f>
        <v>128.04579875346599</v>
      </c>
      <c r="V3" s="37">
        <f>BDbDT_calcs!V49</f>
        <v>127.57149090678887</v>
      </c>
      <c r="W3" s="37">
        <f>BDbDT_calcs!W49</f>
        <v>127.10902980288547</v>
      </c>
      <c r="X3" s="37">
        <f>BDbDT_calcs!X49</f>
        <v>126.61648579644132</v>
      </c>
      <c r="Y3" s="37">
        <f>BDbDT_calcs!Y49</f>
        <v>126.19436041970464</v>
      </c>
      <c r="Z3" s="37">
        <f>BDbDT_calcs!Z49</f>
        <v>125.73987167867531</v>
      </c>
      <c r="AA3" s="37">
        <f>BDbDT_calcs!AA49</f>
        <v>125.33374782991852</v>
      </c>
      <c r="AB3" s="37">
        <f>BDbDT_calcs!AB49</f>
        <v>125.03829965549095</v>
      </c>
    </row>
    <row r="4" spans="1:28" x14ac:dyDescent="0.25">
      <c r="A4" s="4" t="s">
        <v>217</v>
      </c>
      <c r="B4" s="37">
        <f>BDbDT_calcs!B50</f>
        <v>199.43277473908037</v>
      </c>
      <c r="C4" s="37">
        <f>BDbDT_calcs!C50</f>
        <v>198.01096105732537</v>
      </c>
      <c r="D4" s="37">
        <f>BDbDT_calcs!D50</f>
        <v>198.29038146658749</v>
      </c>
      <c r="E4" s="37">
        <f>BDbDT_calcs!E50</f>
        <v>198.51719367273719</v>
      </c>
      <c r="F4" s="37">
        <f>BDbDT_calcs!F50</f>
        <v>198.71358853874733</v>
      </c>
      <c r="G4" s="37">
        <f>BDbDT_calcs!G50</f>
        <v>198.90135864953285</v>
      </c>
      <c r="H4" s="37">
        <f>BDbDT_calcs!H50</f>
        <v>198.99881160883336</v>
      </c>
      <c r="I4" s="37">
        <f>BDbDT_calcs!I50</f>
        <v>198.84658201786604</v>
      </c>
      <c r="J4" s="37">
        <f>BDbDT_calcs!J50</f>
        <v>198.59271262947016</v>
      </c>
      <c r="K4" s="37">
        <f>BDbDT_calcs!K50</f>
        <v>198.25024689634142</v>
      </c>
      <c r="L4" s="37">
        <f>BDbDT_calcs!L50</f>
        <v>197.79671221337162</v>
      </c>
      <c r="M4" s="37">
        <f>BDbDT_calcs!M50</f>
        <v>197.23059402133399</v>
      </c>
      <c r="N4" s="37">
        <f>BDbDT_calcs!N50</f>
        <v>196.55009701472864</v>
      </c>
      <c r="O4" s="37">
        <f>BDbDT_calcs!O50</f>
        <v>195.68711240586609</v>
      </c>
      <c r="P4" s="37">
        <f>BDbDT_calcs!P50</f>
        <v>194.72691164433942</v>
      </c>
      <c r="Q4" s="37">
        <f>BDbDT_calcs!Q50</f>
        <v>193.64481826113422</v>
      </c>
      <c r="R4" s="37">
        <f>BDbDT_calcs!R50</f>
        <v>192.43774427772931</v>
      </c>
      <c r="S4" s="37">
        <f>BDbDT_calcs!S50</f>
        <v>191.08794079110118</v>
      </c>
      <c r="T4" s="37">
        <f>BDbDT_calcs!T50</f>
        <v>189.72301725865316</v>
      </c>
      <c r="U4" s="37">
        <f>BDbDT_calcs!U50</f>
        <v>188.34104848001473</v>
      </c>
      <c r="V4" s="37">
        <f>BDbDT_calcs!V50</f>
        <v>186.96269786170043</v>
      </c>
      <c r="W4" s="37">
        <f>BDbDT_calcs!W50</f>
        <v>185.63240084405308</v>
      </c>
      <c r="X4" s="37">
        <f>BDbDT_calcs!X50</f>
        <v>184.37239057236118</v>
      </c>
      <c r="Y4" s="37">
        <f>BDbDT_calcs!Y50</f>
        <v>183.13544110375253</v>
      </c>
      <c r="Z4" s="37">
        <f>BDbDT_calcs!Z50</f>
        <v>181.94388024622154</v>
      </c>
      <c r="AA4" s="37">
        <f>BDbDT_calcs!AA50</f>
        <v>180.84482215432479</v>
      </c>
      <c r="AB4" s="37">
        <f>BDbDT_calcs!AB50</f>
        <v>179.78993101215349</v>
      </c>
    </row>
    <row r="5" spans="1:28" x14ac:dyDescent="0.25">
      <c r="A5" s="4" t="s">
        <v>218</v>
      </c>
      <c r="B5" s="37">
        <f>BDbDT_calcs!B51</f>
        <v>30.253098243604313</v>
      </c>
      <c r="C5" s="37">
        <f>BDbDT_calcs!C51</f>
        <v>29.829577685954948</v>
      </c>
      <c r="D5" s="37">
        <f>BDbDT_calcs!D51</f>
        <v>29.664225749202302</v>
      </c>
      <c r="E5" s="37">
        <f>BDbDT_calcs!E51</f>
        <v>29.480692129218017</v>
      </c>
      <c r="F5" s="37">
        <f>BDbDT_calcs!F51</f>
        <v>29.278996564025785</v>
      </c>
      <c r="G5" s="37">
        <f>BDbDT_calcs!G51</f>
        <v>29.07233437591286</v>
      </c>
      <c r="H5" s="37">
        <f>BDbDT_calcs!H51</f>
        <v>28.840837809397776</v>
      </c>
      <c r="I5" s="37">
        <f>BDbDT_calcs!I51</f>
        <v>28.573235632548197</v>
      </c>
      <c r="J5" s="37">
        <f>BDbDT_calcs!J51</f>
        <v>28.303032640964716</v>
      </c>
      <c r="K5" s="37">
        <f>BDbDT_calcs!K51</f>
        <v>28.029252919263783</v>
      </c>
      <c r="L5" s="37">
        <f>BDbDT_calcs!L51</f>
        <v>27.765776861749647</v>
      </c>
      <c r="M5" s="37">
        <f>BDbDT_calcs!M51</f>
        <v>27.51988169063355</v>
      </c>
      <c r="N5" s="37">
        <f>BDbDT_calcs!N51</f>
        <v>27.270986394597323</v>
      </c>
      <c r="O5" s="37">
        <f>BDbDT_calcs!O51</f>
        <v>27.04026276588429</v>
      </c>
      <c r="P5" s="37">
        <f>BDbDT_calcs!P51</f>
        <v>26.806805056676605</v>
      </c>
      <c r="Q5" s="37">
        <f>BDbDT_calcs!Q51</f>
        <v>26.584838171839611</v>
      </c>
      <c r="R5" s="37">
        <f>BDbDT_calcs!R51</f>
        <v>26.367338427666965</v>
      </c>
      <c r="S5" s="37">
        <f>BDbDT_calcs!S51</f>
        <v>26.138870347311332</v>
      </c>
      <c r="T5" s="37">
        <f>BDbDT_calcs!T51</f>
        <v>25.915024715624934</v>
      </c>
      <c r="U5" s="37">
        <f>BDbDT_calcs!U51</f>
        <v>25.688315175938563</v>
      </c>
      <c r="V5" s="37">
        <f>BDbDT_calcs!V51</f>
        <v>25.473218204911962</v>
      </c>
      <c r="W5" s="37">
        <f>BDbDT_calcs!W51</f>
        <v>25.247246075716941</v>
      </c>
      <c r="X5" s="37">
        <f>BDbDT_calcs!X51</f>
        <v>25.032419605274317</v>
      </c>
      <c r="Y5" s="37">
        <f>BDbDT_calcs!Y51</f>
        <v>24.836386919855581</v>
      </c>
      <c r="Z5" s="37">
        <f>BDbDT_calcs!Z51</f>
        <v>24.636374800998134</v>
      </c>
      <c r="AA5" s="37">
        <f>BDbDT_calcs!AA51</f>
        <v>24.447412988985899</v>
      </c>
      <c r="AB5" s="37">
        <f>BDbDT_calcs!AB51</f>
        <v>24.253998515665668</v>
      </c>
    </row>
    <row r="6" spans="1:28" x14ac:dyDescent="0.25">
      <c r="A6" s="4" t="s">
        <v>219</v>
      </c>
      <c r="B6" s="37">
        <f>BDbDT_calcs!B52</f>
        <v>9.7129950152528881</v>
      </c>
      <c r="C6" s="37">
        <f>BDbDT_calcs!C52</f>
        <v>9.7415825737299073</v>
      </c>
      <c r="D6" s="37">
        <f>BDbDT_calcs!D52</f>
        <v>9.8535979680629495</v>
      </c>
      <c r="E6" s="37">
        <f>BDbDT_calcs!E52</f>
        <v>9.9780712135031493</v>
      </c>
      <c r="F6" s="37">
        <f>BDbDT_calcs!F52</f>
        <v>10.103868295391466</v>
      </c>
      <c r="G6" s="37">
        <f>BDbDT_calcs!G52</f>
        <v>10.231082680433117</v>
      </c>
      <c r="H6" s="37">
        <f>BDbDT_calcs!H52</f>
        <v>10.359866840644646</v>
      </c>
      <c r="I6" s="37">
        <f>BDbDT_calcs!I52</f>
        <v>10.476373315668345</v>
      </c>
      <c r="J6" s="37">
        <f>BDbDT_calcs!J52</f>
        <v>10.594822998180589</v>
      </c>
      <c r="K6" s="37">
        <f>BDbDT_calcs!K52</f>
        <v>10.738870523298775</v>
      </c>
      <c r="L6" s="37">
        <f>BDbDT_calcs!L52</f>
        <v>10.860881165625873</v>
      </c>
      <c r="M6" s="37">
        <f>BDbDT_calcs!M52</f>
        <v>10.984720930825628</v>
      </c>
      <c r="N6" s="37">
        <f>BDbDT_calcs!N52</f>
        <v>11.110465943915514</v>
      </c>
      <c r="O6" s="37">
        <f>BDbDT_calcs!O52</f>
        <v>11.238194880291244</v>
      </c>
      <c r="P6" s="37">
        <f>BDbDT_calcs!P52</f>
        <v>11.355577349405058</v>
      </c>
      <c r="Q6" s="37">
        <f>BDbDT_calcs!Q52</f>
        <v>11.48736242207611</v>
      </c>
      <c r="R6" s="37">
        <f>BDbDT_calcs!R52</f>
        <v>11.596118061963486</v>
      </c>
      <c r="S6" s="37">
        <f>BDbDT_calcs!S52</f>
        <v>11.715650860293502</v>
      </c>
      <c r="T6" s="37">
        <f>BDbDT_calcs!T52</f>
        <v>11.849881361857665</v>
      </c>
      <c r="U6" s="37">
        <f>BDbDT_calcs!U52</f>
        <v>11.960496269520663</v>
      </c>
      <c r="V6" s="37">
        <f>BDbDT_calcs!V52</f>
        <v>12.085671217297493</v>
      </c>
      <c r="W6" s="37">
        <f>BDbDT_calcs!W52</f>
        <v>12.212534012405415</v>
      </c>
      <c r="X6" s="37">
        <f>BDbDT_calcs!X52</f>
        <v>12.327827579859587</v>
      </c>
      <c r="Y6" s="37">
        <f>BDbDT_calcs!Y52</f>
        <v>12.470865370296492</v>
      </c>
      <c r="Z6" s="37">
        <f>BDbDT_calcs!Z52</f>
        <v>12.588808355425851</v>
      </c>
      <c r="AA6" s="37">
        <f>BDbDT_calcs!AA52</f>
        <v>12.707770688851976</v>
      </c>
      <c r="AB6" s="37">
        <f>BDbDT_calcs!AB52</f>
        <v>12.827605515616753</v>
      </c>
    </row>
    <row r="7" spans="1:28" x14ac:dyDescent="0.25">
      <c r="A7" s="4" t="s">
        <v>220</v>
      </c>
      <c r="B7" s="37">
        <f>BDbDT_calcs!B53</f>
        <v>31.509956143246235</v>
      </c>
      <c r="C7" s="37">
        <f>BDbDT_calcs!C53</f>
        <v>31.762668143287716</v>
      </c>
      <c r="D7" s="37">
        <f>BDbDT_calcs!D53</f>
        <v>32.225850858693427</v>
      </c>
      <c r="E7" s="37">
        <f>BDbDT_calcs!E53</f>
        <v>32.736022659215401</v>
      </c>
      <c r="F7" s="37">
        <f>BDbDT_calcs!F53</f>
        <v>33.230921534988184</v>
      </c>
      <c r="G7" s="37">
        <f>BDbDT_calcs!G53</f>
        <v>33.688948395545488</v>
      </c>
      <c r="H7" s="37">
        <f>BDbDT_calcs!H53</f>
        <v>34.239125625459494</v>
      </c>
      <c r="I7" s="37">
        <f>BDbDT_calcs!I53</f>
        <v>34.663630448912244</v>
      </c>
      <c r="J7" s="37">
        <f>BDbDT_calcs!J53</f>
        <v>35.116971168632617</v>
      </c>
      <c r="K7" s="37">
        <f>BDbDT_calcs!K53</f>
        <v>35.510534833018141</v>
      </c>
      <c r="L7" s="37">
        <f>BDbDT_calcs!L53</f>
        <v>35.931992321075967</v>
      </c>
      <c r="M7" s="37">
        <f>BDbDT_calcs!M53</f>
        <v>36.292745804299486</v>
      </c>
      <c r="N7" s="37">
        <f>BDbDT_calcs!N53</f>
        <v>36.704098055085787</v>
      </c>
      <c r="O7" s="37">
        <f>BDbDT_calcs!O53</f>
        <v>37.076648823811809</v>
      </c>
      <c r="P7" s="37">
        <f>BDbDT_calcs!P53</f>
        <v>37.40964672508634</v>
      </c>
      <c r="Q7" s="37">
        <f>BDbDT_calcs!Q53</f>
        <v>37.702234434963096</v>
      </c>
      <c r="R7" s="37">
        <f>BDbDT_calcs!R53</f>
        <v>37.999761672011019</v>
      </c>
      <c r="S7" s="37">
        <f>BDbDT_calcs!S53</f>
        <v>38.266950405251194</v>
      </c>
      <c r="T7" s="37">
        <f>BDbDT_calcs!T53</f>
        <v>38.444852455154596</v>
      </c>
      <c r="U7" s="37">
        <f>BDbDT_calcs!U53</f>
        <v>38.673086191120689</v>
      </c>
      <c r="V7" s="37">
        <f>BDbDT_calcs!V53</f>
        <v>38.857071484889239</v>
      </c>
      <c r="W7" s="37">
        <f>BDbDT_calcs!W53</f>
        <v>39.043308170377038</v>
      </c>
      <c r="X7" s="37">
        <f>BDbDT_calcs!X53</f>
        <v>39.279641314815059</v>
      </c>
      <c r="Y7" s="37">
        <f>BDbDT_calcs!Y53</f>
        <v>39.445178496987516</v>
      </c>
      <c r="Z7" s="37">
        <f>BDbDT_calcs!Z53</f>
        <v>39.68493516747445</v>
      </c>
      <c r="AA7" s="37">
        <f>BDbDT_calcs!AA53</f>
        <v>39.851890975613102</v>
      </c>
      <c r="AB7" s="37">
        <f>BDbDT_calcs!AB53</f>
        <v>40.093173510702982</v>
      </c>
    </row>
    <row r="8" spans="1:28" x14ac:dyDescent="0.25">
      <c r="A8" s="4" t="s">
        <v>221</v>
      </c>
      <c r="B8" s="37">
        <f>BDbDT_calcs!B54</f>
        <v>81.319433563131625</v>
      </c>
      <c r="C8" s="37">
        <f>BDbDT_calcs!C54</f>
        <v>81.614145105961299</v>
      </c>
      <c r="D8" s="37">
        <f>BDbDT_calcs!D54</f>
        <v>82.650878015781998</v>
      </c>
      <c r="E8" s="37">
        <f>BDbDT_calcs!E54</f>
        <v>83.719073730287406</v>
      </c>
      <c r="F8" s="37">
        <f>BDbDT_calcs!F54</f>
        <v>84.863771742153943</v>
      </c>
      <c r="G8" s="37">
        <f>BDbDT_calcs!G54</f>
        <v>85.934409717504906</v>
      </c>
      <c r="H8" s="37">
        <f>BDbDT_calcs!H54</f>
        <v>86.996248010473991</v>
      </c>
      <c r="I8" s="37">
        <f>BDbDT_calcs!I54</f>
        <v>87.932530153690976</v>
      </c>
      <c r="J8" s="37">
        <f>BDbDT_calcs!J54</f>
        <v>88.839928927190499</v>
      </c>
      <c r="K8" s="37">
        <f>BDbDT_calcs!K54</f>
        <v>89.715089897481732</v>
      </c>
      <c r="L8" s="37">
        <f>BDbDT_calcs!L54</f>
        <v>90.535181902039753</v>
      </c>
      <c r="M8" s="37">
        <f>BDbDT_calcs!M54</f>
        <v>91.299454984622329</v>
      </c>
      <c r="N8" s="37">
        <f>BDbDT_calcs!N54</f>
        <v>92.007043286690376</v>
      </c>
      <c r="O8" s="37">
        <f>BDbDT_calcs!O54</f>
        <v>92.657049473461683</v>
      </c>
      <c r="P8" s="37">
        <f>BDbDT_calcs!P54</f>
        <v>93.178623384358744</v>
      </c>
      <c r="Q8" s="37">
        <f>BDbDT_calcs!Q54</f>
        <v>93.639265534634177</v>
      </c>
      <c r="R8" s="37">
        <f>BDbDT_calcs!R54</f>
        <v>93.96668549169604</v>
      </c>
      <c r="S8" s="37">
        <f>BDbDT_calcs!S54</f>
        <v>94.270849612610746</v>
      </c>
      <c r="T8" s="37">
        <f>BDbDT_calcs!T54</f>
        <v>94.485559263296551</v>
      </c>
      <c r="U8" s="37">
        <f>BDbDT_calcs!U54</f>
        <v>94.608147983121597</v>
      </c>
      <c r="V8" s="37">
        <f>BDbDT_calcs!V54</f>
        <v>94.732690695324763</v>
      </c>
      <c r="W8" s="37">
        <f>BDbDT_calcs!W54</f>
        <v>94.735710295118764</v>
      </c>
      <c r="X8" s="37">
        <f>BDbDT_calcs!X54</f>
        <v>94.859692422300682</v>
      </c>
      <c r="Y8" s="37">
        <f>BDbDT_calcs!Y54</f>
        <v>94.957634442512372</v>
      </c>
      <c r="Z8" s="37">
        <f>BDbDT_calcs!Z54</f>
        <v>95.052807645781272</v>
      </c>
      <c r="AA8" s="37">
        <f>BDbDT_calcs!AA54</f>
        <v>95.169175238093629</v>
      </c>
      <c r="AB8" s="37">
        <f>BDbDT_calcs!AB54</f>
        <v>95.331446402053487</v>
      </c>
    </row>
    <row r="9" spans="1:28" x14ac:dyDescent="0.25">
      <c r="A9" s="4" t="s">
        <v>222</v>
      </c>
      <c r="B9" s="37">
        <f>BDbDT_calcs!B55</f>
        <v>221.98791262200487</v>
      </c>
      <c r="C9" s="37">
        <f>BDbDT_calcs!C55</f>
        <v>219.69602984792769</v>
      </c>
      <c r="D9" s="37">
        <f>BDbDT_calcs!D55</f>
        <v>219.21243406848609</v>
      </c>
      <c r="E9" s="37">
        <f>BDbDT_calcs!E55</f>
        <v>218.66890262713164</v>
      </c>
      <c r="F9" s="37">
        <f>BDbDT_calcs!F55</f>
        <v>217.98030323861536</v>
      </c>
      <c r="G9" s="37">
        <f>BDbDT_calcs!G55</f>
        <v>217.30279347045388</v>
      </c>
      <c r="H9" s="37">
        <f>BDbDT_calcs!H55</f>
        <v>216.5690762091194</v>
      </c>
      <c r="I9" s="37">
        <f>BDbDT_calcs!I55</f>
        <v>215.51042506660838</v>
      </c>
      <c r="J9" s="37">
        <f>BDbDT_calcs!J55</f>
        <v>214.40931635356259</v>
      </c>
      <c r="K9" s="37">
        <f>BDbDT_calcs!K55</f>
        <v>213.23994437108337</v>
      </c>
      <c r="L9" s="37">
        <f>BDbDT_calcs!L55</f>
        <v>212.03821883734273</v>
      </c>
      <c r="M9" s="37">
        <f>BDbDT_calcs!M55</f>
        <v>210.78602593589895</v>
      </c>
      <c r="N9" s="37">
        <f>BDbDT_calcs!N55</f>
        <v>209.51967641668602</v>
      </c>
      <c r="O9" s="37">
        <f>BDbDT_calcs!O55</f>
        <v>208.16530364598322</v>
      </c>
      <c r="P9" s="37">
        <f>BDbDT_calcs!P55</f>
        <v>206.77723537601744</v>
      </c>
      <c r="Q9" s="37">
        <f>BDbDT_calcs!Q55</f>
        <v>205.35452230850228</v>
      </c>
      <c r="R9" s="37">
        <f>BDbDT_calcs!R55</f>
        <v>203.9148642091381</v>
      </c>
      <c r="S9" s="37">
        <f>BDbDT_calcs!S55</f>
        <v>202.33667257661654</v>
      </c>
      <c r="T9" s="37">
        <f>BDbDT_calcs!T55</f>
        <v>200.778755634524</v>
      </c>
      <c r="U9" s="37">
        <f>BDbDT_calcs!U55</f>
        <v>199.27852019323836</v>
      </c>
      <c r="V9" s="37">
        <f>BDbDT_calcs!V55</f>
        <v>197.79596317205207</v>
      </c>
      <c r="W9" s="37">
        <f>BDbDT_calcs!W55</f>
        <v>196.42702723452118</v>
      </c>
      <c r="X9" s="37">
        <f>BDbDT_calcs!X55</f>
        <v>195.0728991656633</v>
      </c>
      <c r="Y9" s="37">
        <f>BDbDT_calcs!Y55</f>
        <v>193.79220122164156</v>
      </c>
      <c r="Z9" s="37">
        <f>BDbDT_calcs!Z55</f>
        <v>192.56430985757939</v>
      </c>
      <c r="AA9" s="37">
        <f>BDbDT_calcs!AA55</f>
        <v>191.36805439660853</v>
      </c>
      <c r="AB9" s="37">
        <f>BDbDT_calcs!AB55</f>
        <v>190.22247438525577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27130.174334551542</v>
      </c>
      <c r="C2" s="37">
        <f>BDbDT_calcs!C58</f>
        <v>27609.456179586658</v>
      </c>
      <c r="D2" s="37">
        <f>BDbDT_calcs!D58</f>
        <v>28324.036196427151</v>
      </c>
      <c r="E2" s="37">
        <f>BDbDT_calcs!E58</f>
        <v>29045.764525090945</v>
      </c>
      <c r="F2" s="37">
        <f>BDbDT_calcs!F58</f>
        <v>29777.123918754467</v>
      </c>
      <c r="G2" s="37">
        <f>BDbDT_calcs!G58</f>
        <v>30519.039356358378</v>
      </c>
      <c r="H2" s="37">
        <f>BDbDT_calcs!H58</f>
        <v>31269.468217047801</v>
      </c>
      <c r="I2" s="37">
        <f>BDbDT_calcs!I58</f>
        <v>31983.773792428809</v>
      </c>
      <c r="J2" s="37">
        <f>BDbDT_calcs!J58</f>
        <v>32699.251794966258</v>
      </c>
      <c r="K2" s="37">
        <f>BDbDT_calcs!K58</f>
        <v>33415.207124622742</v>
      </c>
      <c r="L2" s="37">
        <f>BDbDT_calcs!L58</f>
        <v>34128.659098926873</v>
      </c>
      <c r="M2" s="37">
        <f>BDbDT_calcs!M58</f>
        <v>34838.836063815397</v>
      </c>
      <c r="N2" s="37">
        <f>BDbDT_calcs!N58</f>
        <v>35541.941937489064</v>
      </c>
      <c r="O2" s="37">
        <f>BDbDT_calcs!O58</f>
        <v>36236.338779033351</v>
      </c>
      <c r="P2" s="37">
        <f>BDbDT_calcs!P58</f>
        <v>36917.020602505079</v>
      </c>
      <c r="Q2" s="37">
        <f>BDbDT_calcs!Q58</f>
        <v>37582.803295932958</v>
      </c>
      <c r="R2" s="37">
        <f>BDbDT_calcs!R58</f>
        <v>38227.492156303677</v>
      </c>
      <c r="S2" s="37">
        <f>BDbDT_calcs!S58</f>
        <v>38838.693743875185</v>
      </c>
      <c r="T2" s="37">
        <f>BDbDT_calcs!T58</f>
        <v>39425.773776451097</v>
      </c>
      <c r="U2" s="37">
        <f>BDbDT_calcs!U58</f>
        <v>39990.166488788316</v>
      </c>
      <c r="V2" s="37">
        <f>BDbDT_calcs!V58</f>
        <v>40521.51861816227</v>
      </c>
      <c r="W2" s="37">
        <f>BDbDT_calcs!W58</f>
        <v>41021.316363843238</v>
      </c>
      <c r="X2" s="37">
        <f>BDbDT_calcs!X58</f>
        <v>41486.404575382097</v>
      </c>
      <c r="Y2" s="37">
        <f>BDbDT_calcs!Y58</f>
        <v>41933.089743723809</v>
      </c>
      <c r="Z2" s="37">
        <f>BDbDT_calcs!Z58</f>
        <v>42345.384296197233</v>
      </c>
      <c r="AA2" s="37">
        <f>BDbDT_calcs!AA58</f>
        <v>42724.984855436378</v>
      </c>
      <c r="AB2" s="37">
        <f>BDbDT_calcs!AB58</f>
        <v>43074.916036847389</v>
      </c>
    </row>
    <row r="3" spans="1:28" x14ac:dyDescent="0.25">
      <c r="A3" s="4" t="s">
        <v>216</v>
      </c>
      <c r="B3" s="37">
        <f>BDbDT_calcs!B59</f>
        <v>24430.557445352606</v>
      </c>
      <c r="C3" s="37">
        <f>BDbDT_calcs!C59</f>
        <v>24797.752767431706</v>
      </c>
      <c r="D3" s="37">
        <f>BDbDT_calcs!D59</f>
        <v>25377.617817624727</v>
      </c>
      <c r="E3" s="37">
        <f>BDbDT_calcs!E59</f>
        <v>25976.060884333943</v>
      </c>
      <c r="F3" s="37">
        <f>BDbDT_calcs!F59</f>
        <v>26600.821896253114</v>
      </c>
      <c r="G3" s="37">
        <f>BDbDT_calcs!G59</f>
        <v>27253.845134285722</v>
      </c>
      <c r="H3" s="37">
        <f>BDbDT_calcs!H59</f>
        <v>27938.232338762387</v>
      </c>
      <c r="I3" s="37">
        <f>BDbDT_calcs!I59</f>
        <v>28613.666353790297</v>
      </c>
      <c r="J3" s="37">
        <f>BDbDT_calcs!J59</f>
        <v>29316.637779402914</v>
      </c>
      <c r="K3" s="37">
        <f>BDbDT_calcs!K59</f>
        <v>30040.078007463231</v>
      </c>
      <c r="L3" s="37">
        <f>BDbDT_calcs!L59</f>
        <v>30783.674417499518</v>
      </c>
      <c r="M3" s="37">
        <f>BDbDT_calcs!M59</f>
        <v>31545.837686168121</v>
      </c>
      <c r="N3" s="37">
        <f>BDbDT_calcs!N59</f>
        <v>32320.041553625626</v>
      </c>
      <c r="O3" s="37">
        <f>BDbDT_calcs!O59</f>
        <v>33099.886755419204</v>
      </c>
      <c r="P3" s="37">
        <f>BDbDT_calcs!P59</f>
        <v>33883.884645444392</v>
      </c>
      <c r="Q3" s="37">
        <f>BDbDT_calcs!Q59</f>
        <v>34662.56664473642</v>
      </c>
      <c r="R3" s="37">
        <f>BDbDT_calcs!R59</f>
        <v>35432.99926158951</v>
      </c>
      <c r="S3" s="37">
        <f>BDbDT_calcs!S59</f>
        <v>36177.039041277349</v>
      </c>
      <c r="T3" s="37">
        <f>BDbDT_calcs!T59</f>
        <v>36902.668829396753</v>
      </c>
      <c r="U3" s="37">
        <f>BDbDT_calcs!U59</f>
        <v>37605.864676358797</v>
      </c>
      <c r="V3" s="37">
        <f>BDbDT_calcs!V59</f>
        <v>38277.362240913295</v>
      </c>
      <c r="W3" s="37">
        <f>BDbDT_calcs!W59</f>
        <v>38908.486648967439</v>
      </c>
      <c r="X3" s="37">
        <f>BDbDT_calcs!X59</f>
        <v>39500.207497536532</v>
      </c>
      <c r="Y3" s="37">
        <f>BDbDT_calcs!Y59</f>
        <v>40069.987341469103</v>
      </c>
      <c r="Z3" s="37">
        <f>BDbDT_calcs!Z59</f>
        <v>40599.783442353117</v>
      </c>
      <c r="AA3" s="37">
        <f>BDbDT_calcs!AA59</f>
        <v>41082.197593083612</v>
      </c>
      <c r="AB3" s="37">
        <f>BDbDT_calcs!AB59</f>
        <v>41516.681642039439</v>
      </c>
    </row>
    <row r="4" spans="1:28" x14ac:dyDescent="0.25">
      <c r="A4" s="4" t="s">
        <v>217</v>
      </c>
      <c r="B4" s="37">
        <f>BDbDT_calcs!B60</f>
        <v>47424.579746398929</v>
      </c>
      <c r="C4" s="37">
        <f>BDbDT_calcs!C60</f>
        <v>48192.082804237711</v>
      </c>
      <c r="D4" s="37">
        <f>BDbDT_calcs!D60</f>
        <v>49367.477225103066</v>
      </c>
      <c r="E4" s="37">
        <f>BDbDT_calcs!E60</f>
        <v>50561.834116745085</v>
      </c>
      <c r="F4" s="37">
        <f>BDbDT_calcs!F60</f>
        <v>51785.784146444093</v>
      </c>
      <c r="G4" s="37">
        <f>BDbDT_calcs!G60</f>
        <v>53040.014418763298</v>
      </c>
      <c r="H4" s="37">
        <f>BDbDT_calcs!H60</f>
        <v>54326.970132899667</v>
      </c>
      <c r="I4" s="37">
        <f>BDbDT_calcs!I60</f>
        <v>55567.51636981561</v>
      </c>
      <c r="J4" s="37">
        <f>BDbDT_calcs!J60</f>
        <v>56830.099261496718</v>
      </c>
      <c r="K4" s="37">
        <f>BDbDT_calcs!K60</f>
        <v>58104.863000332858</v>
      </c>
      <c r="L4" s="37">
        <f>BDbDT_calcs!L60</f>
        <v>59388.754673279567</v>
      </c>
      <c r="M4" s="37">
        <f>BDbDT_calcs!M60</f>
        <v>60679.436489700303</v>
      </c>
      <c r="N4" s="37">
        <f>BDbDT_calcs!N60</f>
        <v>61965.755292800357</v>
      </c>
      <c r="O4" s="37">
        <f>BDbDT_calcs!O60</f>
        <v>63241.196348093494</v>
      </c>
      <c r="P4" s="37">
        <f>BDbDT_calcs!P60</f>
        <v>64497.092413273072</v>
      </c>
      <c r="Q4" s="37">
        <f>BDbDT_calcs!Q60</f>
        <v>65724.054473224198</v>
      </c>
      <c r="R4" s="37">
        <f>BDbDT_calcs!R60</f>
        <v>66912.759926383005</v>
      </c>
      <c r="S4" s="37">
        <f>BDbDT_calcs!S60</f>
        <v>68035.052195352429</v>
      </c>
      <c r="T4" s="37">
        <f>BDbDT_calcs!T60</f>
        <v>69106.78059694542</v>
      </c>
      <c r="U4" s="37">
        <f>BDbDT_calcs!U60</f>
        <v>70126.364582530121</v>
      </c>
      <c r="V4" s="37">
        <f>BDbDT_calcs!V60</f>
        <v>71073.462344347412</v>
      </c>
      <c r="W4" s="37">
        <f>BDbDT_calcs!W60</f>
        <v>71940.689307868073</v>
      </c>
      <c r="X4" s="37">
        <f>BDbDT_calcs!X60</f>
        <v>72727.432888099938</v>
      </c>
      <c r="Y4" s="37">
        <f>BDbDT_calcs!Y60</f>
        <v>73468.972827162317</v>
      </c>
      <c r="Z4" s="37">
        <f>BDbDT_calcs!Z60</f>
        <v>74130.879156270676</v>
      </c>
      <c r="AA4" s="37">
        <f>BDbDT_calcs!AA60</f>
        <v>74706.45458038825</v>
      </c>
      <c r="AB4" s="37">
        <f>BDbDT_calcs!AB60</f>
        <v>75199.920214470621</v>
      </c>
    </row>
    <row r="5" spans="1:28" x14ac:dyDescent="0.25">
      <c r="A5" s="4" t="s">
        <v>218</v>
      </c>
      <c r="B5" s="37">
        <f>BDbDT_calcs!B61</f>
        <v>2338.9175979424776</v>
      </c>
      <c r="C5" s="37">
        <f>BDbDT_calcs!C61</f>
        <v>2372.9218981728673</v>
      </c>
      <c r="D5" s="37">
        <f>BDbDT_calcs!D61</f>
        <v>2427.3715356964217</v>
      </c>
      <c r="E5" s="37">
        <f>BDbDT_calcs!E61</f>
        <v>2482.5973893435912</v>
      </c>
      <c r="F5" s="37">
        <f>BDbDT_calcs!F61</f>
        <v>2539.4283395671073</v>
      </c>
      <c r="G5" s="37">
        <f>BDbDT_calcs!G61</f>
        <v>2597.9670556796068</v>
      </c>
      <c r="H5" s="37">
        <f>BDbDT_calcs!H61</f>
        <v>2658.1863045716727</v>
      </c>
      <c r="I5" s="37">
        <f>BDbDT_calcs!I61</f>
        <v>2716.6037632189787</v>
      </c>
      <c r="J5" s="37">
        <f>BDbDT_calcs!J61</f>
        <v>2776.6488397426583</v>
      </c>
      <c r="K5" s="37">
        <f>BDbDT_calcs!K61</f>
        <v>2838.17461685129</v>
      </c>
      <c r="L5" s="37">
        <f>BDbDT_calcs!L61</f>
        <v>2901.2127164085423</v>
      </c>
      <c r="M5" s="37">
        <f>BDbDT_calcs!M61</f>
        <v>2965.6412581432296</v>
      </c>
      <c r="N5" s="37">
        <f>BDbDT_calcs!N61</f>
        <v>3031.6269898440064</v>
      </c>
      <c r="O5" s="37">
        <f>BDbDT_calcs!O61</f>
        <v>3098.4245977029395</v>
      </c>
      <c r="P5" s="37">
        <f>BDbDT_calcs!P61</f>
        <v>3166.3868377974341</v>
      </c>
      <c r="Q5" s="37">
        <f>BDbDT_calcs!Q61</f>
        <v>3234.8823346280601</v>
      </c>
      <c r="R5" s="37">
        <f>BDbDT_calcs!R61</f>
        <v>3303.8339940773417</v>
      </c>
      <c r="S5" s="37">
        <f>BDbDT_calcs!S61</f>
        <v>3372.1974458985906</v>
      </c>
      <c r="T5" s="37">
        <f>BDbDT_calcs!T61</f>
        <v>3440.3438412193468</v>
      </c>
      <c r="U5" s="37">
        <f>BDbDT_calcs!U61</f>
        <v>3508.3035785996626</v>
      </c>
      <c r="V5" s="37">
        <f>BDbDT_calcs!V61</f>
        <v>3575.6416652419607</v>
      </c>
      <c r="W5" s="37">
        <f>BDbDT_calcs!W61</f>
        <v>3641.6556010237869</v>
      </c>
      <c r="X5" s="37">
        <f>BDbDT_calcs!X61</f>
        <v>3706.0474646757511</v>
      </c>
      <c r="Y5" s="37">
        <f>BDbDT_calcs!Y61</f>
        <v>3769.70259050101</v>
      </c>
      <c r="Z5" s="37">
        <f>BDbDT_calcs!Z61</f>
        <v>3831.5366797216307</v>
      </c>
      <c r="AA5" s="37">
        <f>BDbDT_calcs!AA61</f>
        <v>3891.4542721357375</v>
      </c>
      <c r="AB5" s="37">
        <f>BDbDT_calcs!AB61</f>
        <v>3948.9848957040053</v>
      </c>
    </row>
    <row r="6" spans="1:28" x14ac:dyDescent="0.25">
      <c r="A6" s="4" t="s">
        <v>219</v>
      </c>
      <c r="B6" s="37">
        <f>BDbDT_calcs!B62</f>
        <v>1374.6313375070968</v>
      </c>
      <c r="C6" s="37">
        <f>BDbDT_calcs!C62</f>
        <v>1406.2380344453027</v>
      </c>
      <c r="D6" s="37">
        <f>BDbDT_calcs!D62</f>
        <v>1451.081524067291</v>
      </c>
      <c r="E6" s="37">
        <f>BDbDT_calcs!E62</f>
        <v>1498.6696374531518</v>
      </c>
      <c r="F6" s="37">
        <f>BDbDT_calcs!F62</f>
        <v>1549.5061472251316</v>
      </c>
      <c r="G6" s="37">
        <f>BDbDT_calcs!G62</f>
        <v>1603.6378240948275</v>
      </c>
      <c r="H6" s="37">
        <f>BDbDT_calcs!H62</f>
        <v>1661.2509915825567</v>
      </c>
      <c r="I6" s="37">
        <f>BDbDT_calcs!I62</f>
        <v>1720.1449079150193</v>
      </c>
      <c r="J6" s="37">
        <f>BDbDT_calcs!J62</f>
        <v>1781.6901220599177</v>
      </c>
      <c r="K6" s="37">
        <f>BDbDT_calcs!K62</f>
        <v>1845.5772599004376</v>
      </c>
      <c r="L6" s="37">
        <f>BDbDT_calcs!L62</f>
        <v>1912.3227200426031</v>
      </c>
      <c r="M6" s="37">
        <f>BDbDT_calcs!M62</f>
        <v>1981.6072424813935</v>
      </c>
      <c r="N6" s="37">
        <f>BDbDT_calcs!N62</f>
        <v>2053.2238846234368</v>
      </c>
      <c r="O6" s="37">
        <f>BDbDT_calcs!O62</f>
        <v>2126.8499219943956</v>
      </c>
      <c r="P6" s="37">
        <f>BDbDT_calcs!P62</f>
        <v>2202.3249691038836</v>
      </c>
      <c r="Q6" s="37">
        <f>BDbDT_calcs!Q62</f>
        <v>2279.2550259654295</v>
      </c>
      <c r="R6" s="37">
        <f>BDbDT_calcs!R62</f>
        <v>2357.4455243127695</v>
      </c>
      <c r="S6" s="37">
        <f>BDbDT_calcs!S62</f>
        <v>2435.7408089132587</v>
      </c>
      <c r="T6" s="37">
        <f>BDbDT_calcs!T62</f>
        <v>2514.9045307498182</v>
      </c>
      <c r="U6" s="37">
        <f>BDbDT_calcs!U62</f>
        <v>2594.3870887697308</v>
      </c>
      <c r="V6" s="37">
        <f>BDbDT_calcs!V62</f>
        <v>2674.2588395611242</v>
      </c>
      <c r="W6" s="37">
        <f>BDbDT_calcs!W62</f>
        <v>2754.3239462514002</v>
      </c>
      <c r="X6" s="37">
        <f>BDbDT_calcs!X62</f>
        <v>2834.7964242317375</v>
      </c>
      <c r="Y6" s="37">
        <f>BDbDT_calcs!Y62</f>
        <v>2915.4714389601841</v>
      </c>
      <c r="Z6" s="37">
        <f>BDbDT_calcs!Z62</f>
        <v>2996.4161398881402</v>
      </c>
      <c r="AA6" s="37">
        <f>BDbDT_calcs!AA62</f>
        <v>3077.5751516734495</v>
      </c>
      <c r="AB6" s="37">
        <f>BDbDT_calcs!AB62</f>
        <v>3158.6998601805963</v>
      </c>
    </row>
    <row r="7" spans="1:28" x14ac:dyDescent="0.25">
      <c r="A7" s="4" t="s">
        <v>220</v>
      </c>
      <c r="B7" s="37">
        <f>BDbDT_calcs!B63</f>
        <v>1389.3648844110016</v>
      </c>
      <c r="C7" s="37">
        <f>BDbDT_calcs!C63</f>
        <v>1419.3203237666507</v>
      </c>
      <c r="D7" s="37">
        <f>BDbDT_calcs!D63</f>
        <v>1462.8361410879065</v>
      </c>
      <c r="E7" s="37">
        <f>BDbDT_calcs!E63</f>
        <v>1509.6513012283892</v>
      </c>
      <c r="F7" s="37">
        <f>BDbDT_calcs!F63</f>
        <v>1557.3276175875696</v>
      </c>
      <c r="G7" s="37">
        <f>BDbDT_calcs!G63</f>
        <v>1608.1172150209334</v>
      </c>
      <c r="H7" s="37">
        <f>BDbDT_calcs!H63</f>
        <v>1660.6191811863775</v>
      </c>
      <c r="I7" s="37">
        <f>BDbDT_calcs!I63</f>
        <v>1712.2529480742626</v>
      </c>
      <c r="J7" s="37">
        <f>BDbDT_calcs!J63</f>
        <v>1765.3224827406764</v>
      </c>
      <c r="K7" s="37">
        <f>BDbDT_calcs!K63</f>
        <v>1821.7653350842229</v>
      </c>
      <c r="L7" s="37">
        <f>BDbDT_calcs!L63</f>
        <v>1879.8864254153045</v>
      </c>
      <c r="M7" s="37">
        <f>BDbDT_calcs!M63</f>
        <v>1940.2883596888132</v>
      </c>
      <c r="N7" s="37">
        <f>BDbDT_calcs!N63</f>
        <v>2002.1500742389103</v>
      </c>
      <c r="O7" s="37">
        <f>BDbDT_calcs!O63</f>
        <v>2065.6472364259525</v>
      </c>
      <c r="P7" s="37">
        <f>BDbDT_calcs!P63</f>
        <v>2131.3461898811997</v>
      </c>
      <c r="Q7" s="37">
        <f>BDbDT_calcs!Q63</f>
        <v>2198.9983316509374</v>
      </c>
      <c r="R7" s="37">
        <f>BDbDT_calcs!R63</f>
        <v>2268.2062370496174</v>
      </c>
      <c r="S7" s="37">
        <f>BDbDT_calcs!S63</f>
        <v>2337.5699917770467</v>
      </c>
      <c r="T7" s="37">
        <f>BDbDT_calcs!T63</f>
        <v>2408.4362238618373</v>
      </c>
      <c r="U7" s="37">
        <f>BDbDT_calcs!U63</f>
        <v>2480.1834982716273</v>
      </c>
      <c r="V7" s="37">
        <f>BDbDT_calcs!V63</f>
        <v>2552.0905504425905</v>
      </c>
      <c r="W7" s="37">
        <f>BDbDT_calcs!W63</f>
        <v>2625.7104392099081</v>
      </c>
      <c r="X7" s="37">
        <f>BDbDT_calcs!X63</f>
        <v>2699.786859595582</v>
      </c>
      <c r="Y7" s="37">
        <f>BDbDT_calcs!Y63</f>
        <v>2775.0814596875075</v>
      </c>
      <c r="Z7" s="37">
        <f>BDbDT_calcs!Z63</f>
        <v>2850.5255068318534</v>
      </c>
      <c r="AA7" s="37">
        <f>BDbDT_calcs!AA63</f>
        <v>2926.5213915697441</v>
      </c>
      <c r="AB7" s="37">
        <f>BDbDT_calcs!AB63</f>
        <v>3003.5059759010496</v>
      </c>
    </row>
    <row r="8" spans="1:28" x14ac:dyDescent="0.25">
      <c r="A8" s="4" t="s">
        <v>221</v>
      </c>
      <c r="B8" s="37">
        <f>BDbDT_calcs!B64</f>
        <v>5294.7610361373572</v>
      </c>
      <c r="C8" s="37">
        <f>BDbDT_calcs!C64</f>
        <v>5478.5161252889129</v>
      </c>
      <c r="D8" s="37">
        <f>BDbDT_calcs!D64</f>
        <v>5714.0444562048897</v>
      </c>
      <c r="E8" s="37">
        <f>BDbDT_calcs!E64</f>
        <v>5957.3839281510682</v>
      </c>
      <c r="F8" s="37">
        <f>BDbDT_calcs!F64</f>
        <v>6208.7297600498878</v>
      </c>
      <c r="G8" s="37">
        <f>BDbDT_calcs!G64</f>
        <v>6468.9780964363945</v>
      </c>
      <c r="H8" s="37">
        <f>BDbDT_calcs!H64</f>
        <v>6740.4146892468507</v>
      </c>
      <c r="I8" s="37">
        <f>BDbDT_calcs!I64</f>
        <v>7013.9436983796631</v>
      </c>
      <c r="J8" s="37">
        <f>BDbDT_calcs!J64</f>
        <v>7296.790907032665</v>
      </c>
      <c r="K8" s="37">
        <f>BDbDT_calcs!K64</f>
        <v>7590.7998226106702</v>
      </c>
      <c r="L8" s="37">
        <f>BDbDT_calcs!L64</f>
        <v>7897.4640009091145</v>
      </c>
      <c r="M8" s="37">
        <f>BDbDT_calcs!M64</f>
        <v>8215.0602662897327</v>
      </c>
      <c r="N8" s="37">
        <f>BDbDT_calcs!N64</f>
        <v>8545.9197236781165</v>
      </c>
      <c r="O8" s="37">
        <f>BDbDT_calcs!O64</f>
        <v>8888.8395509088587</v>
      </c>
      <c r="P8" s="37">
        <f>BDbDT_calcs!P64</f>
        <v>9243.6218921888103</v>
      </c>
      <c r="Q8" s="37">
        <f>BDbDT_calcs!Q64</f>
        <v>9610.866138099047</v>
      </c>
      <c r="R8" s="37">
        <f>BDbDT_calcs!R64</f>
        <v>9988.8168131560851</v>
      </c>
      <c r="S8" s="37">
        <f>BDbDT_calcs!S64</f>
        <v>10374.357250409275</v>
      </c>
      <c r="T8" s="37">
        <f>BDbDT_calcs!T64</f>
        <v>10770.49196728171</v>
      </c>
      <c r="U8" s="37">
        <f>BDbDT_calcs!U64</f>
        <v>11176.636271137551</v>
      </c>
      <c r="V8" s="37">
        <f>BDbDT_calcs!V64</f>
        <v>11591.410438545117</v>
      </c>
      <c r="W8" s="37">
        <f>BDbDT_calcs!W64</f>
        <v>12013.285479352282</v>
      </c>
      <c r="X8" s="37">
        <f>BDbDT_calcs!X64</f>
        <v>12443.768368600849</v>
      </c>
      <c r="Y8" s="37">
        <f>BDbDT_calcs!Y64</f>
        <v>12880.409937149496</v>
      </c>
      <c r="Z8" s="37">
        <f>BDbDT_calcs!Z64</f>
        <v>13323.043532688773</v>
      </c>
      <c r="AA8" s="37">
        <f>BDbDT_calcs!AA64</f>
        <v>13768.655202103118</v>
      </c>
      <c r="AB8" s="37">
        <f>BDbDT_calcs!AB64</f>
        <v>14216.790271034923</v>
      </c>
    </row>
    <row r="9" spans="1:28" x14ac:dyDescent="0.25">
      <c r="A9" s="4" t="s">
        <v>222</v>
      </c>
      <c r="B9" s="37">
        <f>BDbDT_calcs!B65</f>
        <v>44902.989607704214</v>
      </c>
      <c r="C9" s="37">
        <f>BDbDT_calcs!C65</f>
        <v>45561.131510502855</v>
      </c>
      <c r="D9" s="37">
        <f>BDbDT_calcs!D65</f>
        <v>46604.785859990414</v>
      </c>
      <c r="E9" s="37">
        <f>BDbDT_calcs!E65</f>
        <v>47666.958524028676</v>
      </c>
      <c r="F9" s="37">
        <f>BDbDT_calcs!F65</f>
        <v>48757.355234859249</v>
      </c>
      <c r="G9" s="37">
        <f>BDbDT_calcs!G65</f>
        <v>49878.016127281939</v>
      </c>
      <c r="H9" s="37">
        <f>BDbDT_calcs!H65</f>
        <v>51028.223294368821</v>
      </c>
      <c r="I9" s="37">
        <f>BDbDT_calcs!I65</f>
        <v>52134.28816514404</v>
      </c>
      <c r="J9" s="37">
        <f>BDbDT_calcs!J65</f>
        <v>53260.813347601106</v>
      </c>
      <c r="K9" s="37">
        <f>BDbDT_calcs!K65</f>
        <v>54398.78196894782</v>
      </c>
      <c r="L9" s="37">
        <f>BDbDT_calcs!L65</f>
        <v>55543.90763778027</v>
      </c>
      <c r="M9" s="37">
        <f>BDbDT_calcs!M65</f>
        <v>56695.302642148185</v>
      </c>
      <c r="N9" s="37">
        <f>BDbDT_calcs!N65</f>
        <v>57841.191400282696</v>
      </c>
      <c r="O9" s="37">
        <f>BDbDT_calcs!O65</f>
        <v>58974.77193918181</v>
      </c>
      <c r="P9" s="37">
        <f>BDbDT_calcs!P65</f>
        <v>60090.076610135344</v>
      </c>
      <c r="Q9" s="37">
        <f>BDbDT_calcs!Q65</f>
        <v>61176.290536377193</v>
      </c>
      <c r="R9" s="37">
        <f>BDbDT_calcs!R65</f>
        <v>62226.176866318419</v>
      </c>
      <c r="S9" s="37">
        <f>BDbDT_calcs!S65</f>
        <v>63212.977058654214</v>
      </c>
      <c r="T9" s="37">
        <f>BDbDT_calcs!T65</f>
        <v>64150.809077610036</v>
      </c>
      <c r="U9" s="37">
        <f>BDbDT_calcs!U65</f>
        <v>65037.559573242856</v>
      </c>
      <c r="V9" s="37">
        <f>BDbDT_calcs!V65</f>
        <v>65855.636197075437</v>
      </c>
      <c r="W9" s="37">
        <f>BDbDT_calcs!W65</f>
        <v>66599.198583095771</v>
      </c>
      <c r="X9" s="37">
        <f>BDbDT_calcs!X65</f>
        <v>67265.03629989519</v>
      </c>
      <c r="Y9" s="37">
        <f>BDbDT_calcs!Y65</f>
        <v>67887.362729904882</v>
      </c>
      <c r="Z9" s="37">
        <f>BDbDT_calcs!Z65</f>
        <v>68433.79476738302</v>
      </c>
      <c r="AA9" s="37">
        <f>BDbDT_calcs!AA65</f>
        <v>68901.123768449514</v>
      </c>
      <c r="AB9" s="37">
        <f>BDbDT_calcs!AB65</f>
        <v>69292.005057597606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2026-08-17T20:28:32Z</dcterms:modified>
</cp:coreProperties>
</file>