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O\add-outputs\HOIpTP\"/>
    </mc:Choice>
  </mc:AlternateContent>
  <xr:revisionPtr revIDLastSave="0" documentId="8_{5253E91B-4C9E-4C1B-8854-D0BFCB49E5D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B13" i="19"/>
  <c r="J13" i="19" s="1"/>
  <c r="Q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W8" i="19"/>
  <c r="F8" i="19"/>
  <c r="B8" i="19"/>
  <c r="L8" i="19" s="1"/>
  <c r="L7" i="19"/>
  <c r="B7" i="19"/>
  <c r="AA7" i="19" s="1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B3" i="19"/>
  <c r="W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T17" i="18"/>
  <c r="R17" i="18"/>
  <c r="Q17" i="18"/>
  <c r="N17" i="18"/>
  <c r="I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Y14" i="18"/>
  <c r="U14" i="18"/>
  <c r="R14" i="18"/>
  <c r="H14" i="18"/>
  <c r="B14" i="18"/>
  <c r="AB14" i="18" s="1"/>
  <c r="G13" i="18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F8" i="18"/>
  <c r="B8" i="18"/>
  <c r="W8" i="18" s="1"/>
  <c r="AB7" i="18"/>
  <c r="AA7" i="18"/>
  <c r="H7" i="18"/>
  <c r="D7" i="18"/>
  <c r="C7" i="18"/>
  <c r="B7" i="18"/>
  <c r="G7" i="18" s="1"/>
  <c r="AA6" i="18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Z2" i="18"/>
  <c r="Y2" i="18"/>
  <c r="V2" i="18"/>
  <c r="B2" i="18"/>
  <c r="P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AA17" i="17"/>
  <c r="Y17" i="17"/>
  <c r="X17" i="17"/>
  <c r="R17" i="17"/>
  <c r="E17" i="17"/>
  <c r="B17" i="17"/>
  <c r="Z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B13" i="17"/>
  <c r="U13" i="17" s="1"/>
  <c r="Z12" i="17"/>
  <c r="B12" i="17"/>
  <c r="T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W7" i="17"/>
  <c r="U7" i="17"/>
  <c r="T7" i="17"/>
  <c r="S7" i="17"/>
  <c r="P7" i="17"/>
  <c r="K7" i="17"/>
  <c r="H7" i="17"/>
  <c r="B7" i="17"/>
  <c r="E6" i="17"/>
  <c r="C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B16" i="16"/>
  <c r="AA15" i="16"/>
  <c r="X15" i="16"/>
  <c r="B15" i="16"/>
  <c r="Y15" i="16" s="1"/>
  <c r="G14" i="16"/>
  <c r="B14" i="16"/>
  <c r="AB14" i="16" s="1"/>
  <c r="W13" i="16"/>
  <c r="J13" i="16"/>
  <c r="D13" i="16"/>
  <c r="B13" i="16"/>
  <c r="X13" i="16" s="1"/>
  <c r="I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V7" i="16"/>
  <c r="H7" i="16"/>
  <c r="C7" i="16"/>
  <c r="B7" i="16"/>
  <c r="W6" i="16"/>
  <c r="T6" i="16"/>
  <c r="S6" i="16"/>
  <c r="Q6" i="16"/>
  <c r="N6" i="16"/>
  <c r="M6" i="16"/>
  <c r="L6" i="16"/>
  <c r="J6" i="16"/>
  <c r="H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I15" i="15"/>
  <c r="B15" i="15"/>
  <c r="K15" i="15" s="1"/>
  <c r="O14" i="15"/>
  <c r="N14" i="15"/>
  <c r="M14" i="15"/>
  <c r="D14" i="15"/>
  <c r="B14" i="15"/>
  <c r="AB14" i="15" s="1"/>
  <c r="N13" i="15"/>
  <c r="H13" i="15"/>
  <c r="B13" i="15"/>
  <c r="X12" i="15"/>
  <c r="R12" i="15"/>
  <c r="Q12" i="15"/>
  <c r="P12" i="15"/>
  <c r="N12" i="15"/>
  <c r="M12" i="15"/>
  <c r="L12" i="15"/>
  <c r="J12" i="15"/>
  <c r="H12" i="15"/>
  <c r="D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X8" i="15"/>
  <c r="R8" i="15"/>
  <c r="E8" i="15"/>
  <c r="B8" i="15"/>
  <c r="Y7" i="15"/>
  <c r="M7" i="15"/>
  <c r="L7" i="15"/>
  <c r="J7" i="15"/>
  <c r="I7" i="15"/>
  <c r="H7" i="15"/>
  <c r="F7" i="15"/>
  <c r="B7" i="15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W3" i="15"/>
  <c r="M3" i="15"/>
  <c r="B3" i="15"/>
  <c r="Z3" i="15" s="1"/>
  <c r="Y2" i="15"/>
  <c r="L2" i="15"/>
  <c r="J2" i="15"/>
  <c r="I2" i="15"/>
  <c r="H2" i="15"/>
  <c r="F2" i="15"/>
  <c r="E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Z15" i="14"/>
  <c r="W15" i="14"/>
  <c r="V15" i="14"/>
  <c r="U15" i="14"/>
  <c r="T15" i="14"/>
  <c r="S15" i="14"/>
  <c r="R15" i="14"/>
  <c r="Q15" i="14"/>
  <c r="O15" i="14"/>
  <c r="N15" i="14"/>
  <c r="M15" i="14"/>
  <c r="K15" i="14"/>
  <c r="J15" i="14"/>
  <c r="I15" i="14"/>
  <c r="F15" i="14"/>
  <c r="E15" i="14"/>
  <c r="C15" i="14"/>
  <c r="B15" i="14"/>
  <c r="X15" i="14" s="1"/>
  <c r="AB14" i="14"/>
  <c r="S14" i="14"/>
  <c r="R14" i="14"/>
  <c r="B14" i="14"/>
  <c r="Y14" i="14" s="1"/>
  <c r="K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B7" i="14"/>
  <c r="AA6" i="14"/>
  <c r="Z6" i="14"/>
  <c r="X6" i="14"/>
  <c r="W6" i="14"/>
  <c r="T6" i="14"/>
  <c r="R6" i="14"/>
  <c r="Q6" i="14"/>
  <c r="P6" i="14"/>
  <c r="N6" i="14"/>
  <c r="L6" i="14"/>
  <c r="H6" i="14"/>
  <c r="G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W3" i="14"/>
  <c r="V3" i="14"/>
  <c r="E3" i="14"/>
  <c r="B3" i="14"/>
  <c r="Z3" i="14" s="1"/>
  <c r="X2" i="14"/>
  <c r="V2" i="14"/>
  <c r="P2" i="14"/>
  <c r="O2" i="14"/>
  <c r="M2" i="14"/>
  <c r="L2" i="14"/>
  <c r="F2" i="14"/>
  <c r="E2" i="14"/>
  <c r="B2" i="14"/>
  <c r="AA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B15" i="13"/>
  <c r="F15" i="13" s="1"/>
  <c r="AA14" i="13"/>
  <c r="W14" i="13"/>
  <c r="Q14" i="13"/>
  <c r="P14" i="13"/>
  <c r="M14" i="13"/>
  <c r="B14" i="13"/>
  <c r="T14" i="13" s="1"/>
  <c r="G13" i="13"/>
  <c r="B13" i="13"/>
  <c r="X12" i="13"/>
  <c r="W12" i="13"/>
  <c r="V12" i="13"/>
  <c r="U12" i="13"/>
  <c r="S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B7" i="13"/>
  <c r="M7" i="13" s="1"/>
  <c r="AA6" i="13"/>
  <c r="O6" i="13"/>
  <c r="M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N3" i="13"/>
  <c r="M3" i="13"/>
  <c r="J3" i="13"/>
  <c r="I3" i="13"/>
  <c r="F3" i="13"/>
  <c r="E3" i="13"/>
  <c r="B3" i="13"/>
  <c r="L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B17" i="12"/>
  <c r="G17" i="12" s="1"/>
  <c r="AB16" i="12"/>
  <c r="AA16" i="12"/>
  <c r="Z16" i="12"/>
  <c r="J16" i="12"/>
  <c r="C16" i="12"/>
  <c r="B16" i="12"/>
  <c r="T15" i="12"/>
  <c r="P15" i="12"/>
  <c r="O15" i="12"/>
  <c r="N15" i="12"/>
  <c r="M15" i="12"/>
  <c r="K15" i="12"/>
  <c r="J15" i="12"/>
  <c r="G15" i="12"/>
  <c r="F15" i="12"/>
  <c r="E15" i="12"/>
  <c r="B15" i="12"/>
  <c r="Z15" i="12" s="1"/>
  <c r="B14" i="12"/>
  <c r="K14" i="12" s="1"/>
  <c r="B13" i="12"/>
  <c r="H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X8" i="12"/>
  <c r="W8" i="12"/>
  <c r="S8" i="12"/>
  <c r="R8" i="12"/>
  <c r="P8" i="12"/>
  <c r="M8" i="12"/>
  <c r="J8" i="12"/>
  <c r="I8" i="12"/>
  <c r="H8" i="12"/>
  <c r="G8" i="12"/>
  <c r="F8" i="12"/>
  <c r="D8" i="12"/>
  <c r="C8" i="12"/>
  <c r="B8" i="12"/>
  <c r="Z8" i="12" s="1"/>
  <c r="G7" i="12"/>
  <c r="B7" i="12"/>
  <c r="J7" i="12" s="1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T3" i="12"/>
  <c r="L3" i="12"/>
  <c r="K3" i="12"/>
  <c r="J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B17" i="11"/>
  <c r="J17" i="11" s="1"/>
  <c r="AB16" i="11"/>
  <c r="Y16" i="11"/>
  <c r="W16" i="11"/>
  <c r="V16" i="11"/>
  <c r="D16" i="11"/>
  <c r="B16" i="11"/>
  <c r="AA16" i="11" s="1"/>
  <c r="B15" i="11"/>
  <c r="W15" i="11" s="1"/>
  <c r="AB14" i="11"/>
  <c r="AA14" i="11"/>
  <c r="X14" i="11"/>
  <c r="W14" i="11"/>
  <c r="V14" i="11"/>
  <c r="T14" i="11"/>
  <c r="R14" i="11"/>
  <c r="Q14" i="11"/>
  <c r="O14" i="11"/>
  <c r="N14" i="11"/>
  <c r="M14" i="11"/>
  <c r="G14" i="11"/>
  <c r="F14" i="11"/>
  <c r="E14" i="11"/>
  <c r="C14" i="11"/>
  <c r="B14" i="11"/>
  <c r="AB13" i="11"/>
  <c r="AA13" i="11"/>
  <c r="Z13" i="11"/>
  <c r="Y13" i="11"/>
  <c r="X13" i="11"/>
  <c r="V13" i="11"/>
  <c r="U13" i="11"/>
  <c r="R13" i="11"/>
  <c r="M13" i="11"/>
  <c r="L13" i="11"/>
  <c r="K13" i="11"/>
  <c r="B13" i="11"/>
  <c r="Q13" i="11" s="1"/>
  <c r="AB12" i="11"/>
  <c r="Z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R8" i="11"/>
  <c r="Q8" i="11"/>
  <c r="O8" i="11"/>
  <c r="N8" i="11"/>
  <c r="K8" i="11"/>
  <c r="J8" i="11"/>
  <c r="I8" i="11"/>
  <c r="E8" i="11"/>
  <c r="B8" i="11"/>
  <c r="M7" i="11"/>
  <c r="L7" i="11"/>
  <c r="K7" i="11"/>
  <c r="J7" i="11"/>
  <c r="I7" i="11"/>
  <c r="H7" i="11"/>
  <c r="F7" i="11"/>
  <c r="E7" i="11"/>
  <c r="C7" i="11"/>
  <c r="B7" i="11"/>
  <c r="AA7" i="11" s="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R3" i="11"/>
  <c r="Q3" i="11"/>
  <c r="B3" i="11"/>
  <c r="B2" i="1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G15" i="10"/>
  <c r="C15" i="10"/>
  <c r="B15" i="10"/>
  <c r="D14" i="10"/>
  <c r="C14" i="10"/>
  <c r="B14" i="10"/>
  <c r="AA13" i="10"/>
  <c r="Z13" i="10"/>
  <c r="Y13" i="10"/>
  <c r="P13" i="10"/>
  <c r="M13" i="10"/>
  <c r="H13" i="10"/>
  <c r="D13" i="10"/>
  <c r="B13" i="10"/>
  <c r="F13" i="10" s="1"/>
  <c r="B12" i="10"/>
  <c r="C11" i="10"/>
  <c r="B11" i="10"/>
  <c r="B10" i="10"/>
  <c r="B9" i="10"/>
  <c r="I8" i="10"/>
  <c r="B8" i="10"/>
  <c r="B7" i="10"/>
  <c r="X7" i="10" s="1"/>
  <c r="AA6" i="10"/>
  <c r="Y6" i="10"/>
  <c r="R6" i="10"/>
  <c r="O6" i="10"/>
  <c r="L6" i="10"/>
  <c r="H6" i="10"/>
  <c r="E6" i="10"/>
  <c r="C6" i="10"/>
  <c r="B6" i="10"/>
  <c r="J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F2" i="10"/>
  <c r="E2" i="10"/>
  <c r="D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B17" i="9"/>
  <c r="O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K15" i="9"/>
  <c r="B15" i="9"/>
  <c r="L14" i="9"/>
  <c r="J14" i="9"/>
  <c r="F14" i="9"/>
  <c r="B14" i="9"/>
  <c r="AA13" i="9"/>
  <c r="Z13" i="9"/>
  <c r="Y13" i="9"/>
  <c r="X13" i="9"/>
  <c r="W13" i="9"/>
  <c r="S13" i="9"/>
  <c r="Q13" i="9"/>
  <c r="M13" i="9"/>
  <c r="D13" i="9"/>
  <c r="C13" i="9"/>
  <c r="B13" i="9"/>
  <c r="AB12" i="9"/>
  <c r="AA12" i="9"/>
  <c r="Z12" i="9"/>
  <c r="W12" i="9"/>
  <c r="U12" i="9"/>
  <c r="O12" i="9"/>
  <c r="J12" i="9"/>
  <c r="H12" i="9"/>
  <c r="E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U8" i="9"/>
  <c r="T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AB7" i="9"/>
  <c r="X7" i="9"/>
  <c r="U7" i="9"/>
  <c r="T7" i="9"/>
  <c r="R7" i="9"/>
  <c r="Q7" i="9"/>
  <c r="P7" i="9"/>
  <c r="N7" i="9"/>
  <c r="M7" i="9"/>
  <c r="L7" i="9"/>
  <c r="J7" i="9"/>
  <c r="I7" i="9"/>
  <c r="G7" i="9"/>
  <c r="F7" i="9"/>
  <c r="D7" i="9"/>
  <c r="C7" i="9"/>
  <c r="B7" i="9"/>
  <c r="AA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G3" i="9"/>
  <c r="F3" i="9"/>
  <c r="C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B15" i="8"/>
  <c r="Z14" i="8"/>
  <c r="Y14" i="8"/>
  <c r="W14" i="8"/>
  <c r="V14" i="8"/>
  <c r="U14" i="8"/>
  <c r="I14" i="8"/>
  <c r="B14" i="8"/>
  <c r="AB14" i="8" s="1"/>
  <c r="AA13" i="8"/>
  <c r="X13" i="8"/>
  <c r="B13" i="8"/>
  <c r="AB12" i="8"/>
  <c r="AA12" i="8"/>
  <c r="Z12" i="8"/>
  <c r="Y12" i="8"/>
  <c r="V12" i="8"/>
  <c r="U12" i="8"/>
  <c r="S12" i="8"/>
  <c r="R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B7" i="8"/>
  <c r="S7" i="8" s="1"/>
  <c r="B6" i="8"/>
  <c r="E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D3" i="8"/>
  <c r="C3" i="8"/>
  <c r="B3" i="8"/>
  <c r="J3" i="8" s="1"/>
  <c r="W2" i="8"/>
  <c r="U2" i="8"/>
  <c r="L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K17" i="7"/>
  <c r="E17" i="7"/>
  <c r="B17" i="7"/>
  <c r="N16" i="7"/>
  <c r="M16" i="7"/>
  <c r="L16" i="7"/>
  <c r="J16" i="7"/>
  <c r="H16" i="7"/>
  <c r="G16" i="7"/>
  <c r="B16" i="7"/>
  <c r="AA16" i="7" s="1"/>
  <c r="G15" i="7"/>
  <c r="F15" i="7"/>
  <c r="E15" i="7"/>
  <c r="D15" i="7"/>
  <c r="C15" i="7"/>
  <c r="B15" i="7"/>
  <c r="O14" i="7"/>
  <c r="B14" i="7"/>
  <c r="B13" i="7"/>
  <c r="AB12" i="7"/>
  <c r="Y12" i="7"/>
  <c r="X12" i="7"/>
  <c r="W12" i="7"/>
  <c r="V12" i="7"/>
  <c r="T12" i="7"/>
  <c r="S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Y8" i="7"/>
  <c r="W8" i="7"/>
  <c r="T8" i="7"/>
  <c r="R8" i="7"/>
  <c r="Q8" i="7"/>
  <c r="P8" i="7"/>
  <c r="N8" i="7"/>
  <c r="M8" i="7"/>
  <c r="L8" i="7"/>
  <c r="K8" i="7"/>
  <c r="H8" i="7"/>
  <c r="G8" i="7"/>
  <c r="F8" i="7"/>
  <c r="B8" i="7"/>
  <c r="AB8" i="7" s="1"/>
  <c r="S7" i="7"/>
  <c r="R7" i="7"/>
  <c r="Q7" i="7"/>
  <c r="P7" i="7"/>
  <c r="N7" i="7"/>
  <c r="B7" i="7"/>
  <c r="W7" i="7" s="1"/>
  <c r="B6" i="7"/>
  <c r="H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B3" i="7"/>
  <c r="T3" i="7" s="1"/>
  <c r="Q2" i="7"/>
  <c r="P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F17" i="6"/>
  <c r="E17" i="6"/>
  <c r="D17" i="6"/>
  <c r="C17" i="6"/>
  <c r="B17" i="6"/>
  <c r="E16" i="6"/>
  <c r="D16" i="6"/>
  <c r="C16" i="6"/>
  <c r="B16" i="6"/>
  <c r="Z15" i="6"/>
  <c r="Y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B15" i="6"/>
  <c r="W15" i="6" s="1"/>
  <c r="AB14" i="6"/>
  <c r="AA14" i="6"/>
  <c r="R14" i="6"/>
  <c r="Q14" i="6"/>
  <c r="P14" i="6"/>
  <c r="O14" i="6"/>
  <c r="N14" i="6"/>
  <c r="M14" i="6"/>
  <c r="L14" i="6"/>
  <c r="K14" i="6"/>
  <c r="J14" i="6"/>
  <c r="I14" i="6"/>
  <c r="H14" i="6"/>
  <c r="F14" i="6"/>
  <c r="E14" i="6"/>
  <c r="D14" i="6"/>
  <c r="C14" i="6"/>
  <c r="B14" i="6"/>
  <c r="Y14" i="6" s="1"/>
  <c r="R13" i="6"/>
  <c r="N13" i="6"/>
  <c r="M13" i="6"/>
  <c r="K13" i="6"/>
  <c r="H13" i="6"/>
  <c r="G13" i="6"/>
  <c r="B13" i="6"/>
  <c r="AB12" i="6"/>
  <c r="Y12" i="6"/>
  <c r="W12" i="6"/>
  <c r="V12" i="6"/>
  <c r="U12" i="6"/>
  <c r="T12" i="6"/>
  <c r="S12" i="6"/>
  <c r="R12" i="6"/>
  <c r="P12" i="6"/>
  <c r="K12" i="6"/>
  <c r="J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J8" i="6"/>
  <c r="I8" i="6"/>
  <c r="H8" i="6"/>
  <c r="G8" i="6"/>
  <c r="B8" i="6"/>
  <c r="D8" i="6" s="1"/>
  <c r="B7" i="6"/>
  <c r="J7" i="6" s="1"/>
  <c r="AB6" i="6"/>
  <c r="O6" i="6"/>
  <c r="K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B3" i="6"/>
  <c r="C3" i="6" s="1"/>
  <c r="AB2" i="6"/>
  <c r="AA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O17" i="5"/>
  <c r="L17" i="5"/>
  <c r="K17" i="5"/>
  <c r="B17" i="5"/>
  <c r="B16" i="5"/>
  <c r="B15" i="5"/>
  <c r="AB14" i="5"/>
  <c r="AA14" i="5"/>
  <c r="Y14" i="5"/>
  <c r="W14" i="5"/>
  <c r="V14" i="5"/>
  <c r="O14" i="5"/>
  <c r="B14" i="5"/>
  <c r="Z13" i="5"/>
  <c r="Y13" i="5"/>
  <c r="X13" i="5"/>
  <c r="R13" i="5"/>
  <c r="M13" i="5"/>
  <c r="K13" i="5"/>
  <c r="J13" i="5"/>
  <c r="I13" i="5"/>
  <c r="H13" i="5"/>
  <c r="G13" i="5"/>
  <c r="D13" i="5"/>
  <c r="B13" i="5"/>
  <c r="AB13" i="5" s="1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B7" i="5"/>
  <c r="D7" i="5" s="1"/>
  <c r="Z6" i="5"/>
  <c r="R6" i="5"/>
  <c r="M6" i="5"/>
  <c r="E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L3" i="5"/>
  <c r="B3" i="5"/>
  <c r="W3" i="5" s="1"/>
  <c r="E2" i="5"/>
  <c r="D2" i="5"/>
  <c r="B2" i="5"/>
  <c r="F2" i="5" s="1"/>
  <c r="B2" i="1"/>
  <c r="AB17" i="7" l="1"/>
  <c r="H17" i="7"/>
  <c r="G17" i="7"/>
  <c r="D17" i="7"/>
  <c r="V17" i="7"/>
  <c r="U17" i="7"/>
  <c r="T17" i="7"/>
  <c r="S17" i="7"/>
  <c r="Q17" i="7"/>
  <c r="M17" i="7"/>
  <c r="L17" i="7"/>
  <c r="J17" i="7"/>
  <c r="I17" i="7"/>
  <c r="F17" i="7"/>
  <c r="W2" i="10"/>
  <c r="X2" i="10"/>
  <c r="V2" i="10"/>
  <c r="N2" i="10"/>
  <c r="AA2" i="10"/>
  <c r="Z2" i="10"/>
  <c r="Y2" i="10"/>
  <c r="U2" i="10"/>
  <c r="P2" i="10"/>
  <c r="M2" i="10"/>
  <c r="K2" i="10"/>
  <c r="L2" i="10"/>
  <c r="J2" i="10"/>
  <c r="H2" i="10"/>
  <c r="G2" i="10"/>
  <c r="J17" i="5"/>
  <c r="D17" i="5"/>
  <c r="X17" i="5"/>
  <c r="N17" i="6"/>
  <c r="M17" i="6"/>
  <c r="L17" i="6"/>
  <c r="W17" i="6"/>
  <c r="U17" i="6"/>
  <c r="V17" i="6"/>
  <c r="S17" i="6"/>
  <c r="R17" i="6"/>
  <c r="Q17" i="6"/>
  <c r="K17" i="6"/>
  <c r="J17" i="6"/>
  <c r="O7" i="7"/>
  <c r="X15" i="7"/>
  <c r="S15" i="7"/>
  <c r="R15" i="7"/>
  <c r="O15" i="7"/>
  <c r="AA15" i="7"/>
  <c r="Y15" i="7"/>
  <c r="Z15" i="7"/>
  <c r="W15" i="7"/>
  <c r="V15" i="7"/>
  <c r="U15" i="7"/>
  <c r="T15" i="7"/>
  <c r="N15" i="7"/>
  <c r="M15" i="7"/>
  <c r="C17" i="7"/>
  <c r="T14" i="8"/>
  <c r="C2" i="10"/>
  <c r="P17" i="5"/>
  <c r="M17" i="9"/>
  <c r="H12" i="5"/>
  <c r="Z13" i="7"/>
  <c r="S13" i="7"/>
  <c r="R13" i="7"/>
  <c r="T13" i="7"/>
  <c r="O13" i="7"/>
  <c r="Q13" i="7"/>
  <c r="N13" i="7"/>
  <c r="M13" i="7"/>
  <c r="K13" i="7"/>
  <c r="J13" i="7"/>
  <c r="F13" i="7"/>
  <c r="E13" i="7"/>
  <c r="H15" i="7"/>
  <c r="T7" i="8"/>
  <c r="T13" i="8"/>
  <c r="S13" i="8"/>
  <c r="P13" i="8"/>
  <c r="Q13" i="8"/>
  <c r="O13" i="8"/>
  <c r="N13" i="8"/>
  <c r="M13" i="8"/>
  <c r="L13" i="8"/>
  <c r="K13" i="8"/>
  <c r="J13" i="8"/>
  <c r="H13" i="8"/>
  <c r="G13" i="8"/>
  <c r="F13" i="8"/>
  <c r="AA14" i="8"/>
  <c r="X14" i="10"/>
  <c r="Q14" i="10"/>
  <c r="M14" i="10"/>
  <c r="I14" i="10"/>
  <c r="H14" i="10"/>
  <c r="AB14" i="10"/>
  <c r="E14" i="10"/>
  <c r="U14" i="10"/>
  <c r="T14" i="10"/>
  <c r="S14" i="10"/>
  <c r="R14" i="10"/>
  <c r="P14" i="10"/>
  <c r="O14" i="10"/>
  <c r="L14" i="10"/>
  <c r="N14" i="10"/>
  <c r="K14" i="10"/>
  <c r="J14" i="10"/>
  <c r="G14" i="10"/>
  <c r="AA14" i="10"/>
  <c r="I7" i="13"/>
  <c r="C15" i="13"/>
  <c r="Z17" i="9"/>
  <c r="G17" i="9"/>
  <c r="AA17" i="9"/>
  <c r="W17" i="9"/>
  <c r="X17" i="9"/>
  <c r="U17" i="9"/>
  <c r="T17" i="9"/>
  <c r="S17" i="9"/>
  <c r="J17" i="9"/>
  <c r="Y6" i="8"/>
  <c r="P6" i="8"/>
  <c r="O6" i="8"/>
  <c r="F6" i="8"/>
  <c r="X15" i="5"/>
  <c r="I15" i="5"/>
  <c r="H15" i="5"/>
  <c r="AB15" i="5"/>
  <c r="E15" i="5"/>
  <c r="AA15" i="5"/>
  <c r="D15" i="5"/>
  <c r="Z15" i="5"/>
  <c r="C15" i="5"/>
  <c r="U15" i="5"/>
  <c r="L3" i="7"/>
  <c r="AA17" i="7"/>
  <c r="M3" i="7"/>
  <c r="O17" i="6"/>
  <c r="O3" i="7"/>
  <c r="H13" i="7"/>
  <c r="I15" i="7"/>
  <c r="U7" i="8"/>
  <c r="C13" i="8"/>
  <c r="P17" i="9"/>
  <c r="L7" i="13"/>
  <c r="E15" i="13"/>
  <c r="O3" i="19"/>
  <c r="J3" i="19"/>
  <c r="I3" i="19"/>
  <c r="H3" i="19"/>
  <c r="G3" i="19"/>
  <c r="D3" i="19"/>
  <c r="AB3" i="19"/>
  <c r="C3" i="19"/>
  <c r="Z3" i="19"/>
  <c r="Y3" i="19"/>
  <c r="W3" i="19"/>
  <c r="U3" i="19"/>
  <c r="T3" i="19"/>
  <c r="S3" i="19"/>
  <c r="R3" i="19"/>
  <c r="Q3" i="19"/>
  <c r="P3" i="19"/>
  <c r="N3" i="19"/>
  <c r="M3" i="19"/>
  <c r="K3" i="19"/>
  <c r="AA3" i="19"/>
  <c r="V3" i="19"/>
  <c r="F3" i="19"/>
  <c r="E3" i="19"/>
  <c r="N3" i="7"/>
  <c r="S17" i="5"/>
  <c r="G2" i="11"/>
  <c r="Q2" i="11"/>
  <c r="N2" i="11"/>
  <c r="I2" i="11"/>
  <c r="J17" i="16"/>
  <c r="C17" i="16"/>
  <c r="AB17" i="16"/>
  <c r="Z17" i="16"/>
  <c r="Y17" i="16"/>
  <c r="V17" i="16"/>
  <c r="U17" i="16"/>
  <c r="R17" i="16"/>
  <c r="H17" i="16"/>
  <c r="F17" i="9"/>
  <c r="K17" i="9"/>
  <c r="AA6" i="7"/>
  <c r="N6" i="7"/>
  <c r="K6" i="7"/>
  <c r="AB6" i="7"/>
  <c r="Z6" i="7"/>
  <c r="X6" i="7"/>
  <c r="U6" i="7"/>
  <c r="S6" i="7"/>
  <c r="T17" i="5"/>
  <c r="P17" i="6"/>
  <c r="P3" i="7"/>
  <c r="I6" i="7"/>
  <c r="I13" i="7"/>
  <c r="J15" i="7"/>
  <c r="Y7" i="8"/>
  <c r="E13" i="8"/>
  <c r="L15" i="5"/>
  <c r="O6" i="7"/>
  <c r="F14" i="10"/>
  <c r="D17" i="16"/>
  <c r="J3" i="7"/>
  <c r="Z7" i="14"/>
  <c r="V7" i="14"/>
  <c r="O7" i="14"/>
  <c r="M7" i="14"/>
  <c r="K7" i="14"/>
  <c r="J7" i="14"/>
  <c r="G7" i="14"/>
  <c r="E7" i="14"/>
  <c r="D7" i="14"/>
  <c r="AB7" i="14"/>
  <c r="Y7" i="14"/>
  <c r="X7" i="14"/>
  <c r="W7" i="14"/>
  <c r="S7" i="14"/>
  <c r="N7" i="14"/>
  <c r="R7" i="14"/>
  <c r="P7" i="14"/>
  <c r="L7" i="14"/>
  <c r="I7" i="14"/>
  <c r="H7" i="14"/>
  <c r="G7" i="13"/>
  <c r="R17" i="5"/>
  <c r="Y7" i="7"/>
  <c r="J15" i="5"/>
  <c r="K15" i="5"/>
  <c r="Z15" i="8"/>
  <c r="O15" i="8"/>
  <c r="N15" i="8"/>
  <c r="K15" i="8"/>
  <c r="AA15" i="8"/>
  <c r="Y15" i="8"/>
  <c r="U15" i="8"/>
  <c r="P15" i="8"/>
  <c r="J15" i="8"/>
  <c r="M15" i="8"/>
  <c r="L15" i="8"/>
  <c r="I15" i="8"/>
  <c r="H15" i="8"/>
  <c r="G15" i="8"/>
  <c r="Q17" i="9"/>
  <c r="U17" i="5"/>
  <c r="T17" i="6"/>
  <c r="S3" i="7"/>
  <c r="V13" i="7"/>
  <c r="K15" i="7"/>
  <c r="Z7" i="8"/>
  <c r="I13" i="8"/>
  <c r="E15" i="8"/>
  <c r="R17" i="9"/>
  <c r="AB6" i="5"/>
  <c r="X6" i="5"/>
  <c r="W6" i="5"/>
  <c r="K6" i="5"/>
  <c r="J6" i="5"/>
  <c r="I6" i="5"/>
  <c r="M15" i="5"/>
  <c r="V17" i="5"/>
  <c r="X17" i="6"/>
  <c r="P6" i="7"/>
  <c r="W13" i="7"/>
  <c r="L15" i="7"/>
  <c r="R13" i="8"/>
  <c r="F15" i="8"/>
  <c r="V14" i="10"/>
  <c r="G17" i="16"/>
  <c r="X3" i="7"/>
  <c r="V3" i="7"/>
  <c r="U3" i="7"/>
  <c r="H3" i="7"/>
  <c r="F3" i="7"/>
  <c r="G3" i="7"/>
  <c r="Y7" i="13"/>
  <c r="H7" i="13"/>
  <c r="D7" i="13"/>
  <c r="Z7" i="13"/>
  <c r="X7" i="13"/>
  <c r="AB7" i="13"/>
  <c r="AA7" i="13"/>
  <c r="W7" i="13"/>
  <c r="U7" i="13"/>
  <c r="S7" i="13"/>
  <c r="R7" i="13"/>
  <c r="N7" i="13"/>
  <c r="C7" i="13"/>
  <c r="K3" i="7"/>
  <c r="Z17" i="7"/>
  <c r="F15" i="5"/>
  <c r="G17" i="6"/>
  <c r="F6" i="7"/>
  <c r="O2" i="8"/>
  <c r="F2" i="8"/>
  <c r="D2" i="8"/>
  <c r="T2" i="8"/>
  <c r="S2" i="8"/>
  <c r="R2" i="8"/>
  <c r="Q2" i="8"/>
  <c r="P2" i="8"/>
  <c r="N2" i="8"/>
  <c r="M2" i="8"/>
  <c r="K2" i="8"/>
  <c r="I2" i="8"/>
  <c r="H2" i="8"/>
  <c r="U13" i="8"/>
  <c r="X14" i="9"/>
  <c r="M14" i="9"/>
  <c r="I14" i="9"/>
  <c r="H14" i="9"/>
  <c r="AB14" i="9"/>
  <c r="E14" i="9"/>
  <c r="AA14" i="9"/>
  <c r="Z14" i="9"/>
  <c r="Y14" i="9"/>
  <c r="W14" i="9"/>
  <c r="V14" i="9"/>
  <c r="T14" i="9"/>
  <c r="U14" i="9"/>
  <c r="S14" i="9"/>
  <c r="R14" i="9"/>
  <c r="Q14" i="9"/>
  <c r="G14" i="9"/>
  <c r="Q8" i="10"/>
  <c r="Z8" i="10"/>
  <c r="AB8" i="10"/>
  <c r="N8" i="10"/>
  <c r="K8" i="10"/>
  <c r="W14" i="10"/>
  <c r="E7" i="13"/>
  <c r="F7" i="13"/>
  <c r="X15" i="13"/>
  <c r="AB15" i="13"/>
  <c r="D15" i="13"/>
  <c r="W15" i="13"/>
  <c r="T15" i="13"/>
  <c r="R15" i="13"/>
  <c r="Q15" i="13"/>
  <c r="N15" i="13"/>
  <c r="M15" i="13"/>
  <c r="AA15" i="13"/>
  <c r="Z15" i="13"/>
  <c r="Y15" i="13"/>
  <c r="V15" i="13"/>
  <c r="S15" i="13"/>
  <c r="P15" i="13"/>
  <c r="O15" i="13"/>
  <c r="L15" i="13"/>
  <c r="K15" i="13"/>
  <c r="J15" i="13"/>
  <c r="I15" i="13"/>
  <c r="H15" i="13"/>
  <c r="G15" i="13"/>
  <c r="N15" i="5"/>
  <c r="P15" i="7"/>
  <c r="O15" i="5"/>
  <c r="Y17" i="5"/>
  <c r="AA6" i="6"/>
  <c r="P6" i="6"/>
  <c r="N6" i="6"/>
  <c r="L6" i="6"/>
  <c r="M6" i="6"/>
  <c r="J6" i="6"/>
  <c r="I6" i="6"/>
  <c r="E6" i="6"/>
  <c r="AA17" i="6"/>
  <c r="AB3" i="7"/>
  <c r="R6" i="7"/>
  <c r="AA13" i="7"/>
  <c r="Q15" i="7"/>
  <c r="C2" i="8"/>
  <c r="V13" i="8"/>
  <c r="C14" i="9"/>
  <c r="C8" i="10"/>
  <c r="Y14" i="10"/>
  <c r="Q17" i="5"/>
  <c r="G15" i="5"/>
  <c r="H17" i="6"/>
  <c r="W17" i="5"/>
  <c r="Z17" i="6"/>
  <c r="Z3" i="7"/>
  <c r="Q6" i="7"/>
  <c r="X13" i="7"/>
  <c r="P15" i="5"/>
  <c r="AB17" i="6"/>
  <c r="V6" i="7"/>
  <c r="AB13" i="7"/>
  <c r="AB15" i="7"/>
  <c r="G2" i="8"/>
  <c r="W13" i="8"/>
  <c r="D14" i="9"/>
  <c r="G8" i="10"/>
  <c r="Z14" i="10"/>
  <c r="W7" i="8"/>
  <c r="Q7" i="8"/>
  <c r="P7" i="8"/>
  <c r="O7" i="8"/>
  <c r="M7" i="8"/>
  <c r="K7" i="8"/>
  <c r="J7" i="8"/>
  <c r="G7" i="8"/>
  <c r="Z14" i="7"/>
  <c r="V14" i="7"/>
  <c r="U14" i="7"/>
  <c r="R14" i="7"/>
  <c r="AB14" i="7"/>
  <c r="Y14" i="7"/>
  <c r="AA14" i="7"/>
  <c r="X14" i="7"/>
  <c r="T14" i="7"/>
  <c r="S14" i="7"/>
  <c r="Q14" i="7"/>
  <c r="M14" i="7"/>
  <c r="L14" i="7"/>
  <c r="X15" i="10"/>
  <c r="N15" i="10"/>
  <c r="I15" i="10"/>
  <c r="E15" i="10"/>
  <c r="D15" i="10"/>
  <c r="Z15" i="10"/>
  <c r="Y15" i="10"/>
  <c r="W15" i="10"/>
  <c r="V15" i="10"/>
  <c r="U15" i="10"/>
  <c r="T15" i="10"/>
  <c r="R15" i="10"/>
  <c r="P15" i="10"/>
  <c r="Q15" i="10"/>
  <c r="O15" i="10"/>
  <c r="M15" i="10"/>
  <c r="L15" i="10"/>
  <c r="AB12" i="12"/>
  <c r="C12" i="12"/>
  <c r="AA12" i="12"/>
  <c r="Z12" i="12"/>
  <c r="E17" i="9"/>
  <c r="Q15" i="5"/>
  <c r="R15" i="5"/>
  <c r="D14" i="7"/>
  <c r="S2" i="13"/>
  <c r="Z2" i="13"/>
  <c r="U2" i="13"/>
  <c r="O2" i="13"/>
  <c r="N2" i="13"/>
  <c r="J2" i="13"/>
  <c r="I2" i="13"/>
  <c r="AB2" i="13"/>
  <c r="Y2" i="13"/>
  <c r="X2" i="13"/>
  <c r="V2" i="13"/>
  <c r="R2" i="13"/>
  <c r="Q2" i="13"/>
  <c r="P2" i="13"/>
  <c r="M2" i="13"/>
  <c r="C2" i="13"/>
  <c r="W13" i="13"/>
  <c r="Z13" i="13"/>
  <c r="U13" i="13"/>
  <c r="S13" i="13"/>
  <c r="Q13" i="13"/>
  <c r="P13" i="13"/>
  <c r="M13" i="13"/>
  <c r="K13" i="13"/>
  <c r="Y13" i="13"/>
  <c r="X13" i="13"/>
  <c r="V13" i="13"/>
  <c r="T13" i="13"/>
  <c r="R13" i="13"/>
  <c r="C17" i="13"/>
  <c r="C7" i="14"/>
  <c r="G7" i="7"/>
  <c r="M7" i="7"/>
  <c r="L7" i="7"/>
  <c r="E7" i="7"/>
  <c r="C7" i="7"/>
  <c r="D7" i="7"/>
  <c r="AB7" i="7"/>
  <c r="AA7" i="7"/>
  <c r="Z7" i="7"/>
  <c r="V7" i="7"/>
  <c r="U7" i="7"/>
  <c r="Y2" i="7"/>
  <c r="M2" i="7"/>
  <c r="L2" i="7"/>
  <c r="Z2" i="7"/>
  <c r="S2" i="7"/>
  <c r="R2" i="7"/>
  <c r="O2" i="7"/>
  <c r="N2" i="7"/>
  <c r="F7" i="7"/>
  <c r="O12" i="7"/>
  <c r="N12" i="7"/>
  <c r="L12" i="7"/>
  <c r="J12" i="7"/>
  <c r="K12" i="7"/>
  <c r="H12" i="7"/>
  <c r="G12" i="7"/>
  <c r="F12" i="7"/>
  <c r="E12" i="7"/>
  <c r="F14" i="7"/>
  <c r="V2" i="8"/>
  <c r="AB13" i="8"/>
  <c r="K14" i="9"/>
  <c r="F15" i="10"/>
  <c r="F6" i="12"/>
  <c r="D2" i="13"/>
  <c r="F13" i="13"/>
  <c r="E17" i="13"/>
  <c r="AB2" i="16"/>
  <c r="Y2" i="16"/>
  <c r="X2" i="16"/>
  <c r="W2" i="16"/>
  <c r="U2" i="16"/>
  <c r="Q2" i="16"/>
  <c r="P2" i="16"/>
  <c r="K2" i="16"/>
  <c r="D2" i="16"/>
  <c r="S15" i="5"/>
  <c r="Y7" i="12"/>
  <c r="S7" i="12"/>
  <c r="P7" i="12"/>
  <c r="I7" i="12"/>
  <c r="AB7" i="12"/>
  <c r="AA7" i="12"/>
  <c r="X7" i="12"/>
  <c r="Z7" i="12"/>
  <c r="W7" i="12"/>
  <c r="V7" i="12"/>
  <c r="K7" i="12"/>
  <c r="E2" i="13"/>
  <c r="T2" i="16"/>
  <c r="W6" i="7"/>
  <c r="I7" i="5"/>
  <c r="X14" i="8"/>
  <c r="Q14" i="8"/>
  <c r="P14" i="8"/>
  <c r="M14" i="8"/>
  <c r="S14" i="8"/>
  <c r="R14" i="8"/>
  <c r="O14" i="8"/>
  <c r="N14" i="8"/>
  <c r="L14" i="8"/>
  <c r="K14" i="8"/>
  <c r="J14" i="8"/>
  <c r="H14" i="8"/>
  <c r="G14" i="8"/>
  <c r="F14" i="8"/>
  <c r="U7" i="5"/>
  <c r="V15" i="5"/>
  <c r="C8" i="6"/>
  <c r="H2" i="7"/>
  <c r="I7" i="7"/>
  <c r="M12" i="7"/>
  <c r="I14" i="7"/>
  <c r="Z2" i="8"/>
  <c r="C14" i="8"/>
  <c r="N14" i="9"/>
  <c r="H15" i="10"/>
  <c r="D7" i="12"/>
  <c r="F2" i="13"/>
  <c r="H13" i="13"/>
  <c r="G15" i="15"/>
  <c r="AA15" i="15"/>
  <c r="X15" i="15"/>
  <c r="V15" i="15"/>
  <c r="U15" i="15"/>
  <c r="T15" i="15"/>
  <c r="Y15" i="15"/>
  <c r="S15" i="15"/>
  <c r="AA2" i="16"/>
  <c r="N7" i="5"/>
  <c r="T15" i="5"/>
  <c r="V7" i="5"/>
  <c r="D14" i="5"/>
  <c r="Z14" i="5"/>
  <c r="W15" i="5"/>
  <c r="AB13" i="6"/>
  <c r="T13" i="6"/>
  <c r="S13" i="6"/>
  <c r="V13" i="6"/>
  <c r="Y13" i="6"/>
  <c r="Q13" i="6"/>
  <c r="P13" i="6"/>
  <c r="O13" i="6"/>
  <c r="I13" i="6"/>
  <c r="I2" i="7"/>
  <c r="J7" i="7"/>
  <c r="P12" i="7"/>
  <c r="J14" i="7"/>
  <c r="AA2" i="8"/>
  <c r="X12" i="8"/>
  <c r="W12" i="8"/>
  <c r="T12" i="8"/>
  <c r="Q12" i="8"/>
  <c r="O12" i="8"/>
  <c r="N12" i="8"/>
  <c r="H12" i="8"/>
  <c r="E12" i="8"/>
  <c r="D12" i="8"/>
  <c r="C12" i="8"/>
  <c r="D14" i="8"/>
  <c r="O14" i="9"/>
  <c r="K15" i="10"/>
  <c r="E7" i="12"/>
  <c r="G2" i="13"/>
  <c r="N13" i="13"/>
  <c r="C15" i="15"/>
  <c r="AB8" i="6"/>
  <c r="U8" i="6"/>
  <c r="H7" i="7"/>
  <c r="H14" i="7"/>
  <c r="X7" i="5"/>
  <c r="Y15" i="5"/>
  <c r="E8" i="6"/>
  <c r="K2" i="7"/>
  <c r="K7" i="7"/>
  <c r="R12" i="7"/>
  <c r="N14" i="7"/>
  <c r="E14" i="8"/>
  <c r="P14" i="9"/>
  <c r="AA15" i="10"/>
  <c r="AA6" i="11"/>
  <c r="U6" i="11"/>
  <c r="P6" i="11"/>
  <c r="O6" i="11"/>
  <c r="J6" i="11"/>
  <c r="X6" i="11"/>
  <c r="T6" i="11"/>
  <c r="R6" i="11"/>
  <c r="Q6" i="11"/>
  <c r="L6" i="11"/>
  <c r="K6" i="11"/>
  <c r="I6" i="11"/>
  <c r="H6" i="11"/>
  <c r="G6" i="11"/>
  <c r="E6" i="11"/>
  <c r="C6" i="11"/>
  <c r="I12" i="11"/>
  <c r="C12" i="11"/>
  <c r="Y12" i="11"/>
  <c r="X12" i="11"/>
  <c r="U12" i="11"/>
  <c r="T12" i="11"/>
  <c r="P12" i="11"/>
  <c r="O12" i="11"/>
  <c r="M12" i="11"/>
  <c r="L12" i="11"/>
  <c r="K12" i="11"/>
  <c r="J12" i="11"/>
  <c r="G12" i="11"/>
  <c r="F12" i="11"/>
  <c r="E12" i="11"/>
  <c r="F7" i="12"/>
  <c r="H2" i="13"/>
  <c r="O13" i="13"/>
  <c r="E15" i="15"/>
  <c r="X2" i="15"/>
  <c r="K2" i="15"/>
  <c r="G2" i="15"/>
  <c r="AB2" i="15"/>
  <c r="C2" i="15"/>
  <c r="Z2" i="15"/>
  <c r="V2" i="15"/>
  <c r="U2" i="15"/>
  <c r="R2" i="15"/>
  <c r="Q2" i="15"/>
  <c r="P2" i="15"/>
  <c r="O2" i="15"/>
  <c r="X7" i="15"/>
  <c r="K7" i="15"/>
  <c r="G7" i="15"/>
  <c r="AB7" i="15"/>
  <c r="E7" i="15"/>
  <c r="Z7" i="15"/>
  <c r="C7" i="15"/>
  <c r="W7" i="15"/>
  <c r="U7" i="15"/>
  <c r="T7" i="15"/>
  <c r="R7" i="15"/>
  <c r="Q7" i="15"/>
  <c r="P7" i="15"/>
  <c r="O7" i="15"/>
  <c r="O12" i="17"/>
  <c r="K2" i="18"/>
  <c r="G7" i="11"/>
  <c r="I15" i="12"/>
  <c r="G2" i="14"/>
  <c r="D2" i="15"/>
  <c r="D7" i="15"/>
  <c r="V7" i="17"/>
  <c r="R7" i="17"/>
  <c r="O7" i="17"/>
  <c r="J7" i="17"/>
  <c r="G7" i="17"/>
  <c r="F7" i="17"/>
  <c r="E7" i="17"/>
  <c r="D7" i="17"/>
  <c r="Z7" i="17"/>
  <c r="Z3" i="18"/>
  <c r="D3" i="18"/>
  <c r="Y3" i="18"/>
  <c r="V3" i="18"/>
  <c r="S3" i="18"/>
  <c r="R3" i="18"/>
  <c r="Q3" i="18"/>
  <c r="N3" i="18"/>
  <c r="M3" i="18"/>
  <c r="K3" i="18"/>
  <c r="J3" i="18"/>
  <c r="E3" i="18"/>
  <c r="H3" i="18"/>
  <c r="U8" i="7"/>
  <c r="O7" i="11"/>
  <c r="Q15" i="12"/>
  <c r="M2" i="15"/>
  <c r="N7" i="15"/>
  <c r="P13" i="15"/>
  <c r="M13" i="15"/>
  <c r="I13" i="15"/>
  <c r="G13" i="15"/>
  <c r="E13" i="15"/>
  <c r="C13" i="15"/>
  <c r="AA13" i="15"/>
  <c r="Z13" i="15"/>
  <c r="V13" i="15"/>
  <c r="T13" i="15"/>
  <c r="S13" i="15"/>
  <c r="R13" i="15"/>
  <c r="I3" i="18"/>
  <c r="D15" i="18"/>
  <c r="C15" i="18"/>
  <c r="AB15" i="18"/>
  <c r="AA15" i="18"/>
  <c r="Y15" i="18"/>
  <c r="X15" i="18"/>
  <c r="W15" i="18"/>
  <c r="S15" i="18"/>
  <c r="M15" i="18"/>
  <c r="K15" i="18"/>
  <c r="J15" i="18"/>
  <c r="E15" i="18"/>
  <c r="V8" i="7"/>
  <c r="P7" i="11"/>
  <c r="R15" i="11"/>
  <c r="R15" i="12"/>
  <c r="G3" i="14"/>
  <c r="C3" i="14"/>
  <c r="AB3" i="14"/>
  <c r="Y3" i="14"/>
  <c r="X3" i="14"/>
  <c r="U3" i="14"/>
  <c r="T3" i="14"/>
  <c r="AB13" i="14"/>
  <c r="Q13" i="14"/>
  <c r="E13" i="14"/>
  <c r="N2" i="15"/>
  <c r="S7" i="15"/>
  <c r="D13" i="15"/>
  <c r="Z7" i="16"/>
  <c r="AB7" i="16"/>
  <c r="U7" i="16"/>
  <c r="S7" i="16"/>
  <c r="P7" i="16"/>
  <c r="M7" i="16"/>
  <c r="L7" i="16"/>
  <c r="J7" i="16"/>
  <c r="I7" i="16"/>
  <c r="G7" i="16"/>
  <c r="F7" i="16"/>
  <c r="E7" i="16"/>
  <c r="D7" i="16"/>
  <c r="X7" i="17"/>
  <c r="P3" i="18"/>
  <c r="Q15" i="18"/>
  <c r="T7" i="11"/>
  <c r="S15" i="12"/>
  <c r="D3" i="14"/>
  <c r="G13" i="14"/>
  <c r="S2" i="15"/>
  <c r="V7" i="15"/>
  <c r="F13" i="15"/>
  <c r="AB12" i="16"/>
  <c r="K12" i="16"/>
  <c r="C12" i="16"/>
  <c r="Y7" i="17"/>
  <c r="W3" i="18"/>
  <c r="Z15" i="18"/>
  <c r="Z2" i="17"/>
  <c r="W2" i="17"/>
  <c r="J2" i="17"/>
  <c r="I2" i="17"/>
  <c r="G2" i="17"/>
  <c r="F2" i="17"/>
  <c r="U3" i="11"/>
  <c r="P3" i="11"/>
  <c r="M3" i="11"/>
  <c r="J3" i="11"/>
  <c r="U7" i="11"/>
  <c r="S14" i="6"/>
  <c r="U15" i="6"/>
  <c r="Z8" i="7"/>
  <c r="C3" i="11"/>
  <c r="V7" i="11"/>
  <c r="S14" i="11"/>
  <c r="U14" i="11"/>
  <c r="P14" i="11"/>
  <c r="L14" i="11"/>
  <c r="K14" i="11"/>
  <c r="H14" i="11"/>
  <c r="U3" i="12"/>
  <c r="M3" i="12"/>
  <c r="I3" i="12"/>
  <c r="G3" i="12"/>
  <c r="Y15" i="12"/>
  <c r="F3" i="14"/>
  <c r="N13" i="14"/>
  <c r="AA2" i="15"/>
  <c r="AA7" i="15"/>
  <c r="J13" i="15"/>
  <c r="O7" i="16"/>
  <c r="W12" i="16"/>
  <c r="L2" i="17"/>
  <c r="Y14" i="12"/>
  <c r="X14" i="12"/>
  <c r="U14" i="13"/>
  <c r="Y14" i="13"/>
  <c r="V14" i="13"/>
  <c r="S14" i="13"/>
  <c r="R14" i="13"/>
  <c r="O14" i="13"/>
  <c r="N14" i="13"/>
  <c r="I3" i="14"/>
  <c r="R13" i="14"/>
  <c r="P3" i="15"/>
  <c r="J3" i="15"/>
  <c r="E3" i="15"/>
  <c r="AA3" i="15"/>
  <c r="Y3" i="15"/>
  <c r="X3" i="15"/>
  <c r="U3" i="15"/>
  <c r="T3" i="15"/>
  <c r="Q3" i="15"/>
  <c r="N3" i="15"/>
  <c r="G8" i="15"/>
  <c r="C8" i="15"/>
  <c r="AA8" i="15"/>
  <c r="Y8" i="15"/>
  <c r="W8" i="15"/>
  <c r="T8" i="15"/>
  <c r="O8" i="15"/>
  <c r="N8" i="15"/>
  <c r="M8" i="15"/>
  <c r="L8" i="15"/>
  <c r="K13" i="15"/>
  <c r="R7" i="16"/>
  <c r="X12" i="16"/>
  <c r="X12" i="6"/>
  <c r="O12" i="6"/>
  <c r="N12" i="6"/>
  <c r="T14" i="6"/>
  <c r="V15" i="6"/>
  <c r="AA8" i="7"/>
  <c r="D3" i="11"/>
  <c r="X7" i="11"/>
  <c r="L14" i="12"/>
  <c r="C2" i="5"/>
  <c r="F13" i="5"/>
  <c r="D12" i="6"/>
  <c r="E3" i="11"/>
  <c r="Z7" i="11"/>
  <c r="Q14" i="12"/>
  <c r="AB12" i="13"/>
  <c r="T12" i="13"/>
  <c r="M12" i="13"/>
  <c r="J12" i="13"/>
  <c r="H12" i="13"/>
  <c r="D12" i="13"/>
  <c r="E14" i="13"/>
  <c r="J3" i="14"/>
  <c r="S13" i="14"/>
  <c r="C3" i="15"/>
  <c r="D8" i="15"/>
  <c r="L13" i="15"/>
  <c r="T7" i="16"/>
  <c r="Y12" i="16"/>
  <c r="X8" i="7"/>
  <c r="J8" i="7"/>
  <c r="I8" i="7"/>
  <c r="AB12" i="10"/>
  <c r="Z12" i="10"/>
  <c r="H3" i="11"/>
  <c r="R14" i="12"/>
  <c r="F14" i="13"/>
  <c r="K3" i="14"/>
  <c r="X13" i="14"/>
  <c r="D3" i="15"/>
  <c r="X12" i="17"/>
  <c r="I12" i="17"/>
  <c r="E12" i="17"/>
  <c r="C12" i="17"/>
  <c r="AB12" i="17"/>
  <c r="Y12" i="17"/>
  <c r="W12" i="17"/>
  <c r="V12" i="17"/>
  <c r="U12" i="17"/>
  <c r="S12" i="17"/>
  <c r="R12" i="17"/>
  <c r="Q12" i="17"/>
  <c r="P12" i="17"/>
  <c r="G12" i="10"/>
  <c r="I3" i="11"/>
  <c r="AB8" i="11"/>
  <c r="T8" i="11"/>
  <c r="S8" i="11"/>
  <c r="P8" i="11"/>
  <c r="V14" i="12"/>
  <c r="AA3" i="13"/>
  <c r="V3" i="13"/>
  <c r="P3" i="13"/>
  <c r="L3" i="13"/>
  <c r="K3" i="13"/>
  <c r="AB6" i="13"/>
  <c r="Z6" i="13"/>
  <c r="P6" i="13"/>
  <c r="K6" i="13"/>
  <c r="J6" i="13"/>
  <c r="L12" i="13"/>
  <c r="H14" i="13"/>
  <c r="L3" i="14"/>
  <c r="F3" i="15"/>
  <c r="F8" i="15"/>
  <c r="O13" i="15"/>
  <c r="X7" i="16"/>
  <c r="D12" i="17"/>
  <c r="T2" i="6"/>
  <c r="L12" i="6"/>
  <c r="X15" i="6"/>
  <c r="T15" i="6"/>
  <c r="S15" i="6"/>
  <c r="AA15" i="6"/>
  <c r="D8" i="7"/>
  <c r="AA12" i="10"/>
  <c r="K3" i="11"/>
  <c r="C8" i="11"/>
  <c r="I14" i="11"/>
  <c r="N3" i="12"/>
  <c r="W14" i="12"/>
  <c r="C3" i="13"/>
  <c r="G6" i="13"/>
  <c r="O12" i="13"/>
  <c r="J14" i="13"/>
  <c r="M3" i="14"/>
  <c r="G3" i="15"/>
  <c r="H8" i="15"/>
  <c r="Q13" i="15"/>
  <c r="Y7" i="16"/>
  <c r="F12" i="17"/>
  <c r="C8" i="7"/>
  <c r="Z2" i="6"/>
  <c r="U14" i="6"/>
  <c r="X14" i="6"/>
  <c r="W14" i="6"/>
  <c r="C15" i="6"/>
  <c r="AB15" i="6"/>
  <c r="E8" i="7"/>
  <c r="Y7" i="9"/>
  <c r="W7" i="9"/>
  <c r="V7" i="9"/>
  <c r="S7" i="9"/>
  <c r="Y12" i="9"/>
  <c r="X12" i="9"/>
  <c r="S12" i="9"/>
  <c r="AA15" i="9"/>
  <c r="Y15" i="9"/>
  <c r="M15" i="9"/>
  <c r="L3" i="11"/>
  <c r="D8" i="11"/>
  <c r="J14" i="11"/>
  <c r="C17" i="11"/>
  <c r="P3" i="12"/>
  <c r="AB14" i="12"/>
  <c r="D3" i="13"/>
  <c r="H6" i="13"/>
  <c r="R12" i="13"/>
  <c r="K14" i="13"/>
  <c r="N3" i="14"/>
  <c r="I3" i="15"/>
  <c r="J8" i="15"/>
  <c r="W13" i="15"/>
  <c r="G12" i="17"/>
  <c r="Q7" i="11"/>
  <c r="AB7" i="11"/>
  <c r="D7" i="11"/>
  <c r="W7" i="11"/>
  <c r="S7" i="11"/>
  <c r="R7" i="11"/>
  <c r="N7" i="11"/>
  <c r="X15" i="12"/>
  <c r="L15" i="12"/>
  <c r="H15" i="12"/>
  <c r="AB15" i="12"/>
  <c r="D15" i="12"/>
  <c r="AA15" i="12"/>
  <c r="C15" i="12"/>
  <c r="W15" i="12"/>
  <c r="V15" i="12"/>
  <c r="L14" i="13"/>
  <c r="P3" i="14"/>
  <c r="K3" i="15"/>
  <c r="K8" i="15"/>
  <c r="U12" i="15"/>
  <c r="O12" i="15"/>
  <c r="K12" i="15"/>
  <c r="I12" i="15"/>
  <c r="G12" i="15"/>
  <c r="C12" i="15"/>
  <c r="AA12" i="15"/>
  <c r="Z12" i="15"/>
  <c r="W12" i="15"/>
  <c r="V12" i="15"/>
  <c r="T12" i="15"/>
  <c r="S12" i="15"/>
  <c r="AB13" i="15"/>
  <c r="H12" i="17"/>
  <c r="Q2" i="14"/>
  <c r="AB2" i="14"/>
  <c r="Z2" i="14"/>
  <c r="Y2" i="14"/>
  <c r="U2" i="14"/>
  <c r="R2" i="14"/>
  <c r="S3" i="14"/>
  <c r="L3" i="15"/>
  <c r="Q6" i="17"/>
  <c r="M6" i="17"/>
  <c r="L6" i="17"/>
  <c r="G6" i="17"/>
  <c r="J12" i="17"/>
  <c r="M12" i="17"/>
  <c r="W2" i="18"/>
  <c r="X2" i="18"/>
  <c r="U2" i="18"/>
  <c r="S2" i="18"/>
  <c r="R2" i="18"/>
  <c r="O2" i="18"/>
  <c r="N2" i="18"/>
  <c r="M2" i="18"/>
  <c r="L2" i="18"/>
  <c r="J2" i="18"/>
  <c r="G2" i="18"/>
  <c r="F2" i="18"/>
  <c r="D2" i="18"/>
  <c r="Y15" i="14"/>
  <c r="AB8" i="18"/>
  <c r="Y12" i="18"/>
  <c r="W17" i="18"/>
  <c r="H2" i="19"/>
  <c r="N6" i="19"/>
  <c r="M8" i="19"/>
  <c r="C12" i="19"/>
  <c r="K13" i="19"/>
  <c r="T14" i="19"/>
  <c r="E6" i="14"/>
  <c r="C8" i="18"/>
  <c r="Z12" i="18"/>
  <c r="Y17" i="18"/>
  <c r="M2" i="19"/>
  <c r="O6" i="19"/>
  <c r="N8" i="19"/>
  <c r="E12" i="19"/>
  <c r="L13" i="19"/>
  <c r="U14" i="19"/>
  <c r="S8" i="9"/>
  <c r="Q8" i="12"/>
  <c r="F6" i="14"/>
  <c r="D15" i="14"/>
  <c r="AA15" i="14"/>
  <c r="C14" i="16"/>
  <c r="D8" i="18"/>
  <c r="AB12" i="18"/>
  <c r="AA17" i="18"/>
  <c r="N2" i="19"/>
  <c r="R6" i="19"/>
  <c r="O8" i="19"/>
  <c r="F12" i="19"/>
  <c r="M13" i="19"/>
  <c r="V14" i="19"/>
  <c r="F14" i="16"/>
  <c r="E8" i="18"/>
  <c r="AB17" i="18"/>
  <c r="O2" i="19"/>
  <c r="W6" i="19"/>
  <c r="P8" i="19"/>
  <c r="G12" i="19"/>
  <c r="O13" i="19"/>
  <c r="AB14" i="19"/>
  <c r="P2" i="19"/>
  <c r="Q8" i="19"/>
  <c r="H12" i="19"/>
  <c r="P13" i="19"/>
  <c r="E3" i="8"/>
  <c r="X8" i="9"/>
  <c r="U8" i="12"/>
  <c r="J6" i="14"/>
  <c r="G15" i="14"/>
  <c r="W6" i="15"/>
  <c r="F6" i="16"/>
  <c r="J14" i="16"/>
  <c r="H8" i="17"/>
  <c r="H15" i="17"/>
  <c r="L17" i="17"/>
  <c r="I6" i="18"/>
  <c r="G8" i="18"/>
  <c r="H13" i="18"/>
  <c r="C17" i="18"/>
  <c r="R2" i="19"/>
  <c r="C7" i="19"/>
  <c r="R8" i="19"/>
  <c r="I12" i="19"/>
  <c r="Q13" i="19"/>
  <c r="C15" i="19"/>
  <c r="G3" i="8"/>
  <c r="Y8" i="9"/>
  <c r="J13" i="11"/>
  <c r="V8" i="12"/>
  <c r="K6" i="14"/>
  <c r="H15" i="14"/>
  <c r="X6" i="15"/>
  <c r="G6" i="16"/>
  <c r="Y14" i="16"/>
  <c r="J8" i="17"/>
  <c r="I15" i="17"/>
  <c r="M17" i="17"/>
  <c r="J6" i="18"/>
  <c r="J8" i="18"/>
  <c r="P13" i="18"/>
  <c r="D17" i="18"/>
  <c r="S2" i="19"/>
  <c r="F7" i="19"/>
  <c r="S8" i="19"/>
  <c r="J12" i="19"/>
  <c r="T13" i="19"/>
  <c r="E15" i="19"/>
  <c r="N8" i="17"/>
  <c r="N15" i="17"/>
  <c r="O17" i="17"/>
  <c r="K6" i="18"/>
  <c r="K8" i="18"/>
  <c r="E17" i="18"/>
  <c r="U2" i="19"/>
  <c r="G7" i="19"/>
  <c r="T8" i="19"/>
  <c r="L12" i="19"/>
  <c r="V13" i="19"/>
  <c r="F15" i="19"/>
  <c r="M6" i="14"/>
  <c r="I6" i="16"/>
  <c r="K15" i="16"/>
  <c r="Q17" i="17"/>
  <c r="O6" i="18"/>
  <c r="M8" i="18"/>
  <c r="G17" i="18"/>
  <c r="V2" i="19"/>
  <c r="H7" i="19"/>
  <c r="V8" i="19"/>
  <c r="P12" i="19"/>
  <c r="W13" i="19"/>
  <c r="G15" i="19"/>
  <c r="O6" i="14"/>
  <c r="L15" i="14"/>
  <c r="E14" i="15"/>
  <c r="K6" i="16"/>
  <c r="Q8" i="17"/>
  <c r="U17" i="17"/>
  <c r="Q6" i="18"/>
  <c r="O8" i="18"/>
  <c r="L14" i="18"/>
  <c r="J17" i="18"/>
  <c r="X2" i="19"/>
  <c r="M7" i="19"/>
  <c r="Y8" i="19"/>
  <c r="R12" i="19"/>
  <c r="Z13" i="19"/>
  <c r="L15" i="19"/>
  <c r="C17" i="19"/>
  <c r="W17" i="17"/>
  <c r="W6" i="18"/>
  <c r="P8" i="18"/>
  <c r="Q14" i="18"/>
  <c r="L17" i="18"/>
  <c r="Z2" i="19"/>
  <c r="R7" i="19"/>
  <c r="Z8" i="19"/>
  <c r="T12" i="19"/>
  <c r="AA13" i="19"/>
  <c r="M15" i="19"/>
  <c r="E17" i="19"/>
  <c r="C13" i="17"/>
  <c r="M17" i="18"/>
  <c r="AB2" i="19"/>
  <c r="U7" i="19"/>
  <c r="AA8" i="19"/>
  <c r="U12" i="19"/>
  <c r="O15" i="19"/>
  <c r="F17" i="19"/>
  <c r="AB8" i="19"/>
  <c r="V12" i="19"/>
  <c r="F14" i="19"/>
  <c r="P15" i="19"/>
  <c r="G17" i="19"/>
  <c r="S6" i="14"/>
  <c r="P15" i="14"/>
  <c r="O6" i="16"/>
  <c r="U8" i="17"/>
  <c r="N13" i="17"/>
  <c r="S8" i="18"/>
  <c r="V14" i="18"/>
  <c r="O17" i="18"/>
  <c r="C8" i="19"/>
  <c r="Y12" i="19"/>
  <c r="G14" i="19"/>
  <c r="Q15" i="19"/>
  <c r="M17" i="19"/>
  <c r="T8" i="18"/>
  <c r="X14" i="18"/>
  <c r="P17" i="18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V6" i="16"/>
  <c r="AA8" i="17"/>
  <c r="S17" i="18"/>
  <c r="E6" i="19"/>
  <c r="G8" i="19"/>
  <c r="C13" i="19"/>
  <c r="L14" i="19"/>
  <c r="AB15" i="19"/>
  <c r="V17" i="19"/>
  <c r="G6" i="19"/>
  <c r="H8" i="19"/>
  <c r="D13" i="19"/>
  <c r="O14" i="19"/>
  <c r="Y17" i="19"/>
  <c r="U17" i="18"/>
  <c r="C2" i="19"/>
  <c r="H6" i="19"/>
  <c r="J8" i="19"/>
  <c r="E13" i="19"/>
  <c r="Q14" i="19"/>
  <c r="AA17" i="19"/>
  <c r="V17" i="18"/>
  <c r="F2" i="19"/>
  <c r="J6" i="19"/>
  <c r="K8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<sst xmlns="http://schemas.openxmlformats.org/spreadsheetml/2006/main" count="3113" uniqueCount="587">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</sst>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49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CO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2.7103001175019709E-2</v>
      </c>
      <c r="C2" s="7">
        <f>$B2 * IFERROR(VLOOKUP("transport|PM25|Premature mortality", US_national_yearly!$D:$AM, 11, FALSE) / VLOOKUP("transport|PM25|Premature mortality", US_national_yearly!$D:$AM, 10, FALSE), 1)</f>
        <v>2.7439018993738691E-2</v>
      </c>
      <c r="D2" s="7">
        <f>$B2 * IFERROR(VLOOKUP("transport|PM25|Premature mortality", US_national_yearly!$D:$AM, 12, FALSE) / VLOOKUP("transport|PM25|Premature mortality", US_national_yearly!$D:$AM, 10, FALSE), 1)</f>
        <v>2.7775036812457667E-2</v>
      </c>
      <c r="E2" s="7">
        <f>$B2 * IFERROR(VLOOKUP("transport|PM25|Premature mortality", US_national_yearly!$D:$AM, 13, FALSE) / VLOOKUP("transport|PM25|Premature mortality", US_national_yearly!$D:$AM, 10, FALSE), 1)</f>
        <v>2.8111054631176642E-2</v>
      </c>
      <c r="F2" s="7">
        <f>$B2 * IFERROR(VLOOKUP("transport|PM25|Premature mortality", US_national_yearly!$D:$AM, 14, FALSE) / VLOOKUP("transport|PM25|Premature mortality", US_national_yearly!$D:$AM, 10, FALSE), 1)</f>
        <v>2.8447072449895618E-2</v>
      </c>
      <c r="G2" s="7">
        <f>$B2 * IFERROR(VLOOKUP("transport|PM25|Premature mortality", US_national_yearly!$D:$AM, 15, FALSE) / VLOOKUP("transport|PM25|Premature mortality", US_national_yearly!$D:$AM, 10, FALSE), 1)</f>
        <v>2.9101464617664424E-2</v>
      </c>
      <c r="H2" s="7">
        <f>$B2 * IFERROR(VLOOKUP("transport|PM25|Premature mortality", US_national_yearly!$D:$AM, 16, FALSE) / VLOOKUP("transport|PM25|Premature mortality", US_national_yearly!$D:$AM, 10, FALSE), 1)</f>
        <v>2.9755856785433233E-2</v>
      </c>
      <c r="I2" s="7">
        <f>$B2 * IFERROR(VLOOKUP("transport|PM25|Premature mortality", US_national_yearly!$D:$AM, 17, FALSE) / VLOOKUP("transport|PM25|Premature mortality", US_national_yearly!$D:$AM, 10, FALSE), 1)</f>
        <v>3.0185689107950713E-2</v>
      </c>
      <c r="J2" s="7">
        <f>$B2 * IFERROR(VLOOKUP("transport|PM25|Premature mortality", US_national_yearly!$D:$AM, 18, FALSE) / VLOOKUP("transport|PM25|Premature mortality", US_national_yearly!$D:$AM, 10, FALSE), 1)</f>
        <v>3.0615521430468206E-2</v>
      </c>
      <c r="K2" s="7">
        <f>$B2 * IFERROR(VLOOKUP("transport|PM25|Premature mortality", US_national_yearly!$D:$AM, 19, FALSE) / VLOOKUP("transport|PM25|Premature mortality", US_national_yearly!$D:$AM, 10, FALSE), 1)</f>
        <v>3.1045353752985692E-2</v>
      </c>
      <c r="L2" s="7">
        <f>$B2 * IFERROR(VLOOKUP("transport|PM25|Premature mortality", US_national_yearly!$D:$AM, 20, FALSE) / VLOOKUP("transport|PM25|Premature mortality", US_national_yearly!$D:$AM, 10, FALSE), 1)</f>
        <v>3.1475186075503182E-2</v>
      </c>
      <c r="M2" s="7">
        <f>$B2 * IFERROR(VLOOKUP("transport|PM25|Premature mortality", US_national_yearly!$D:$AM, 21, FALSE) / VLOOKUP("transport|PM25|Premature mortality", US_national_yearly!$D:$AM, 10, FALSE), 1)</f>
        <v>3.1905018398020672E-2</v>
      </c>
      <c r="N2" s="7">
        <f>$B2 * IFERROR(VLOOKUP("transport|PM25|Premature mortality", US_national_yearly!$D:$AM, 22, FALSE) / VLOOKUP("transport|PM25|Premature mortality", US_national_yearly!$D:$AM, 10, FALSE), 1)</f>
        <v>3.2238755840190224E-2</v>
      </c>
      <c r="O2" s="7">
        <f>$B2 * IFERROR(VLOOKUP("transport|PM25|Premature mortality", US_national_yearly!$D:$AM, 23, FALSE) / VLOOKUP("transport|PM25|Premature mortality", US_national_yearly!$D:$AM, 10, FALSE), 1)</f>
        <v>3.2572493282359782E-2</v>
      </c>
      <c r="P2" s="7">
        <f>$B2 * IFERROR(VLOOKUP("transport|PM25|Premature mortality", US_national_yearly!$D:$AM, 24, FALSE) / VLOOKUP("transport|PM25|Premature mortality", US_national_yearly!$D:$AM, 10, FALSE), 1)</f>
        <v>3.2906230724529334E-2</v>
      </c>
      <c r="Q2" s="7">
        <f>$B2 * IFERROR(VLOOKUP("transport|PM25|Premature mortality", US_national_yearly!$D:$AM, 25, FALSE) / VLOOKUP("transport|PM25|Premature mortality", US_national_yearly!$D:$AM, 10, FALSE), 1)</f>
        <v>3.3239968166698892E-2</v>
      </c>
      <c r="R2" s="7">
        <f>$B2 * IFERROR(VLOOKUP("transport|PM25|Premature mortality", US_national_yearly!$D:$AM, 26, FALSE) / VLOOKUP("transport|PM25|Premature mortality", US_national_yearly!$D:$AM, 10, FALSE), 1)</f>
        <v>3.3573705608868451E-2</v>
      </c>
      <c r="S2" s="7">
        <f>$B2 * IFERROR(VLOOKUP("transport|PM25|Premature mortality", US_national_yearly!$D:$AM, 27, FALSE) / VLOOKUP("transport|PM25|Premature mortality", US_national_yearly!$D:$AM, 10, FALSE), 1)</f>
        <v>3.3750509790059981E-2</v>
      </c>
      <c r="T2" s="7">
        <f>$B2 * IFERROR(VLOOKUP("transport|PM25|Premature mortality", US_national_yearly!$D:$AM, 28, FALSE) / VLOOKUP("transport|PM25|Premature mortality", US_national_yearly!$D:$AM, 10, FALSE), 1)</f>
        <v>3.3927313971251503E-2</v>
      </c>
      <c r="U2" s="7">
        <f>$B2 * IFERROR(VLOOKUP("transport|PM25|Premature mortality", US_national_yearly!$D:$AM, 29, FALSE) / VLOOKUP("transport|PM25|Premature mortality", US_national_yearly!$D:$AM, 10, FALSE), 1)</f>
        <v>3.4104118152443026E-2</v>
      </c>
      <c r="V2" s="7">
        <f>$B2 * IFERROR(VLOOKUP("transport|PM25|Premature mortality", US_national_yearly!$D:$AM, 30, FALSE) / VLOOKUP("transport|PM25|Premature mortality", US_national_yearly!$D:$AM, 10, FALSE), 1)</f>
        <v>3.4280922333634549E-2</v>
      </c>
      <c r="W2" s="7">
        <f>$B2 * IFERROR(VLOOKUP("transport|PM25|Premature mortality", US_national_yearly!$D:$AM, 31, FALSE) / VLOOKUP("transport|PM25|Premature mortality", US_national_yearly!$D:$AM, 10, FALSE), 1)</f>
        <v>3.4457726514826072E-2</v>
      </c>
      <c r="X2" s="7">
        <f>$B2 * IFERROR(VLOOKUP("transport|PM25|Premature mortality", US_national_yearly!$D:$AM, 32, FALSE) / VLOOKUP("transport|PM25|Premature mortality", US_national_yearly!$D:$AM, 10, FALSE), 1)</f>
        <v>3.4488642093582496E-2</v>
      </c>
      <c r="Y2" s="7">
        <f>$B2 * IFERROR(VLOOKUP("transport|PM25|Premature mortality", US_national_yearly!$D:$AM, 33, FALSE) / VLOOKUP("transport|PM25|Premature mortality", US_national_yearly!$D:$AM, 10, FALSE), 1)</f>
        <v>3.4519557672338927E-2</v>
      </c>
      <c r="Z2" s="7">
        <f>$B2 * IFERROR(VLOOKUP("transport|PM25|Premature mortality", US_national_yearly!$D:$AM, 34, FALSE) / VLOOKUP("transport|PM25|Premature mortality", US_national_yearly!$D:$AM, 10, FALSE), 1)</f>
        <v>3.4550473251095351E-2</v>
      </c>
      <c r="AA2" s="7">
        <f>$B2 * IFERROR(VLOOKUP("transport|PM25|Premature mortality", US_national_yearly!$D:$AM, 35, FALSE) / VLOOKUP("transport|PM25|Premature mortality", US_national_yearly!$D:$AM, 10, FALSE), 1)</f>
        <v>3.4581388829851782E-2</v>
      </c>
      <c r="AB2" s="7">
        <f>$B2 * IFERROR(VLOOKUP("transport|PM25|Premature mortality", US_national_yearly!$D:$AM, 36, FALSE) / VLOOKUP("transport|PM25|Premature mortality", US_national_yearly!$D:$AM, 10, FALSE), 1)</f>
        <v>3.4612304408608206E-2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8.5205403886721181E-5</v>
      </c>
      <c r="C3" s="7">
        <f>$B3 * IFERROR(VLOOKUP("transport|PM25|Infant mortality", US_national_yearly!$D:$AM, 11, FALSE) / VLOOKUP("transport|PM25|Infant mortality", US_national_yearly!$D:$AM, 10, FALSE), 1)</f>
        <v>8.4462490515314217E-5</v>
      </c>
      <c r="D3" s="7">
        <f>$B3 * IFERROR(VLOOKUP("transport|PM25|Infant mortality", US_national_yearly!$D:$AM, 12, FALSE) / VLOOKUP("transport|PM25|Infant mortality", US_national_yearly!$D:$AM, 10, FALSE), 1)</f>
        <v>8.3719577143907226E-5</v>
      </c>
      <c r="E3" s="7">
        <f>$B3 * IFERROR(VLOOKUP("transport|PM25|Infant mortality", US_national_yearly!$D:$AM, 13, FALSE) / VLOOKUP("transport|PM25|Infant mortality", US_national_yearly!$D:$AM, 10, FALSE), 1)</f>
        <v>8.2976663772500262E-5</v>
      </c>
      <c r="F3" s="7">
        <f>$B3 * IFERROR(VLOOKUP("transport|PM25|Infant mortality", US_national_yearly!$D:$AM, 14, FALSE) / VLOOKUP("transport|PM25|Infant mortality", US_national_yearly!$D:$AM, 10, FALSE), 1)</f>
        <v>8.223375040109327E-5</v>
      </c>
      <c r="G3" s="7">
        <f>$B3 * IFERROR(VLOOKUP("transport|PM25|Infant mortality", US_national_yearly!$D:$AM, 15, FALSE) / VLOOKUP("transport|PM25|Infant mortality", US_national_yearly!$D:$AM, 10, FALSE), 1)</f>
        <v>5.4689842860892101E-5</v>
      </c>
      <c r="H3" s="7">
        <f>$B3 * IFERROR(VLOOKUP("transport|PM25|Infant mortality", US_national_yearly!$D:$AM, 16, FALSE) / VLOOKUP("transport|PM25|Infant mortality", US_national_yearly!$D:$AM, 10, FALSE), 1)</f>
        <v>2.7145935320690908E-5</v>
      </c>
      <c r="I3" s="7">
        <f>$B3 * IFERROR(VLOOKUP("transport|PM25|Infant mortality", US_national_yearly!$D:$AM, 17, FALSE) / VLOOKUP("transport|PM25|Infant mortality", US_national_yearly!$D:$AM, 10, FALSE), 1)</f>
        <v>2.6968491792283976E-5</v>
      </c>
      <c r="J3" s="7">
        <f>$B3 * IFERROR(VLOOKUP("transport|PM25|Infant mortality", US_national_yearly!$D:$AM, 18, FALSE) / VLOOKUP("transport|PM25|Infant mortality", US_national_yearly!$D:$AM, 10, FALSE), 1)</f>
        <v>2.6791048263877037E-5</v>
      </c>
      <c r="K3" s="7">
        <f>$B3 * IFERROR(VLOOKUP("transport|PM25|Infant mortality", US_national_yearly!$D:$AM, 19, FALSE) / VLOOKUP("transport|PM25|Infant mortality", US_national_yearly!$D:$AM, 10, FALSE), 1)</f>
        <v>2.6613604735470102E-5</v>
      </c>
      <c r="L3" s="7">
        <f>$B3 * IFERROR(VLOOKUP("transport|PM25|Infant mortality", US_national_yearly!$D:$AM, 20, FALSE) / VLOOKUP("transport|PM25|Infant mortality", US_national_yearly!$D:$AM, 10, FALSE), 1)</f>
        <v>2.6436161207063166E-5</v>
      </c>
      <c r="M3" s="7">
        <f>$B3 * IFERROR(VLOOKUP("transport|PM25|Infant mortality", US_national_yearly!$D:$AM, 21, FALSE) / VLOOKUP("transport|PM25|Infant mortality", US_national_yearly!$D:$AM, 10, FALSE), 1)</f>
        <v>2.6258717678656234E-5</v>
      </c>
      <c r="N3" s="7">
        <f>$B3 * IFERROR(VLOOKUP("transport|PM25|Infant mortality", US_national_yearly!$D:$AM, 22, FALSE) / VLOOKUP("transport|PM25|Infant mortality", US_national_yearly!$D:$AM, 10, FALSE), 1)</f>
        <v>2.6147263497899473E-5</v>
      </c>
      <c r="O3" s="7">
        <f>$B3 * IFERROR(VLOOKUP("transport|PM25|Infant mortality", US_national_yearly!$D:$AM, 23, FALSE) / VLOOKUP("transport|PM25|Infant mortality", US_national_yearly!$D:$AM, 10, FALSE), 1)</f>
        <v>2.6035809317142715E-5</v>
      </c>
      <c r="P3" s="7">
        <f>$B3 * IFERROR(VLOOKUP("transport|PM25|Infant mortality", US_national_yearly!$D:$AM, 24, FALSE) / VLOOKUP("transport|PM25|Infant mortality", US_national_yearly!$D:$AM, 10, FALSE), 1)</f>
        <v>2.5924355136385951E-5</v>
      </c>
      <c r="Q3" s="7">
        <f>$B3 * IFERROR(VLOOKUP("transport|PM25|Infant mortality", US_national_yearly!$D:$AM, 25, FALSE) / VLOOKUP("transport|PM25|Infant mortality", US_national_yearly!$D:$AM, 10, FALSE), 1)</f>
        <v>2.5812900955629193E-5</v>
      </c>
      <c r="R3" s="7">
        <f>$B3 * IFERROR(VLOOKUP("transport|PM25|Infant mortality", US_national_yearly!$D:$AM, 26, FALSE) / VLOOKUP("transport|PM25|Infant mortality", US_national_yearly!$D:$AM, 10, FALSE), 1)</f>
        <v>2.5701446774872432E-5</v>
      </c>
      <c r="S3" s="7">
        <f>$B3 * IFERROR(VLOOKUP("transport|PM25|Infant mortality", US_national_yearly!$D:$AM, 27, FALSE) / VLOOKUP("transport|PM25|Infant mortality", US_national_yearly!$D:$AM, 10, FALSE), 1)</f>
        <v>2.5562516859700228E-5</v>
      </c>
      <c r="T3" s="7">
        <f>$B3 * IFERROR(VLOOKUP("transport|PM25|Infant mortality", US_national_yearly!$D:$AM, 28, FALSE) / VLOOKUP("transport|PM25|Infant mortality", US_national_yearly!$D:$AM, 10, FALSE), 1)</f>
        <v>2.5423586944528025E-5</v>
      </c>
      <c r="U3" s="7">
        <f>$B3 * IFERROR(VLOOKUP("transport|PM25|Infant mortality", US_national_yearly!$D:$AM, 29, FALSE) / VLOOKUP("transport|PM25|Infant mortality", US_national_yearly!$D:$AM, 10, FALSE), 1)</f>
        <v>2.5284657029355822E-5</v>
      </c>
      <c r="V3" s="7">
        <f>$B3 * IFERROR(VLOOKUP("transport|PM25|Infant mortality", US_national_yearly!$D:$AM, 30, FALSE) / VLOOKUP("transport|PM25|Infant mortality", US_national_yearly!$D:$AM, 10, FALSE), 1)</f>
        <v>2.5145727114183622E-5</v>
      </c>
      <c r="W3" s="7">
        <f>$B3 * IFERROR(VLOOKUP("transport|PM25|Infant mortality", US_national_yearly!$D:$AM, 31, FALSE) / VLOOKUP("transport|PM25|Infant mortality", US_national_yearly!$D:$AM, 10, FALSE), 1)</f>
        <v>2.5006797199011415E-5</v>
      </c>
      <c r="X3" s="7">
        <f>$B3 * IFERROR(VLOOKUP("transport|PM25|Infant mortality", US_national_yearly!$D:$AM, 32, FALSE) / VLOOKUP("transport|PM25|Infant mortality", US_national_yearly!$D:$AM, 10, FALSE), 1)</f>
        <v>2.4857013288797383E-5</v>
      </c>
      <c r="Y3" s="7">
        <f>$B3 * IFERROR(VLOOKUP("transport|PM25|Infant mortality", US_national_yearly!$D:$AM, 33, FALSE) / VLOOKUP("transport|PM25|Infant mortality", US_national_yearly!$D:$AM, 10, FALSE), 1)</f>
        <v>2.470722937858334E-5</v>
      </c>
      <c r="Z3" s="7">
        <f>$B3 * IFERROR(VLOOKUP("transport|PM25|Infant mortality", US_national_yearly!$D:$AM, 34, FALSE) / VLOOKUP("transport|PM25|Infant mortality", US_national_yearly!$D:$AM, 10, FALSE), 1)</f>
        <v>2.4557445468369307E-5</v>
      </c>
      <c r="AA3" s="7">
        <f>$B3 * IFERROR(VLOOKUP("transport|PM25|Infant mortality", US_national_yearly!$D:$AM, 35, FALSE) / VLOOKUP("transport|PM25|Infant mortality", US_national_yearly!$D:$AM, 10, FALSE), 1)</f>
        <v>2.4407661558155271E-5</v>
      </c>
      <c r="AB3" s="7">
        <f>$B3 * IFERROR(VLOOKUP("transport|PM25|Infant mortality", US_national_yearly!$D:$AM, 36, FALSE) / VLOOKUP("transport|PM25|Infant mortality", US_national_yearly!$D:$AM, 10, FALSE), 1)</f>
        <v>2.4257877647941238E-5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9.3659826406842853E-2</v>
      </c>
      <c r="C6" s="7">
        <f>$B6 * IFERROR(VLOOKUP("transport|PM25|Asthma symptoms cough", US_national_yearly!$D:$AM, 11, FALSE) / VLOOKUP("transport|PM25|Asthma symptoms cough", US_national_yearly!$D:$AM, 10, FALSE), 1)</f>
        <v>9.3659826406842853E-2</v>
      </c>
      <c r="D6" s="7">
        <f>$B6 * IFERROR(VLOOKUP("transport|PM25|Asthma symptoms cough", US_national_yearly!$D:$AM, 12, FALSE) / VLOOKUP("transport|PM25|Asthma symptoms cough", US_national_yearly!$D:$AM, 10, FALSE), 1)</f>
        <v>9.3659826406842853E-2</v>
      </c>
      <c r="E6" s="7">
        <f>$B6 * IFERROR(VLOOKUP("transport|PM25|Asthma symptoms cough", US_national_yearly!$D:$AM, 13, FALSE) / VLOOKUP("transport|PM25|Asthma symptoms cough", US_national_yearly!$D:$AM, 10, FALSE), 1)</f>
        <v>9.3659826406842853E-2</v>
      </c>
      <c r="F6" s="7">
        <f>$B6 * IFERROR(VLOOKUP("transport|PM25|Asthma symptoms cough", US_national_yearly!$D:$AM, 14, FALSE) / VLOOKUP("transport|PM25|Asthma symptoms cough", US_national_yearly!$D:$AM, 10, FALSE), 1)</f>
        <v>9.3659826406842853E-2</v>
      </c>
      <c r="G6" s="7">
        <f>$B6 * IFERROR(VLOOKUP("transport|PM25|Asthma symptoms cough", US_national_yearly!$D:$AM, 15, FALSE) / VLOOKUP("transport|PM25|Asthma symptoms cough", US_national_yearly!$D:$AM, 10, FALSE), 1)</f>
        <v>9.3659826406842853E-2</v>
      </c>
      <c r="H6" s="7">
        <f>$B6 * IFERROR(VLOOKUP("transport|PM25|Asthma symptoms cough", US_national_yearly!$D:$AM, 16, FALSE) / VLOOKUP("transport|PM25|Asthma symptoms cough", US_national_yearly!$D:$AM, 10, FALSE), 1)</f>
        <v>9.3659826406842853E-2</v>
      </c>
      <c r="I6" s="7">
        <f>$B6 * IFERROR(VLOOKUP("transport|PM25|Asthma symptoms cough", US_national_yearly!$D:$AM, 17, FALSE) / VLOOKUP("transport|PM25|Asthma symptoms cough", US_national_yearly!$D:$AM, 10, FALSE), 1)</f>
        <v>9.3659826406842853E-2</v>
      </c>
      <c r="J6" s="7">
        <f>$B6 * IFERROR(VLOOKUP("transport|PM25|Asthma symptoms cough", US_national_yearly!$D:$AM, 18, FALSE) / VLOOKUP("transport|PM25|Asthma symptoms cough", US_national_yearly!$D:$AM, 10, FALSE), 1)</f>
        <v>9.3659826406842853E-2</v>
      </c>
      <c r="K6" s="7">
        <f>$B6 * IFERROR(VLOOKUP("transport|PM25|Asthma symptoms cough", US_national_yearly!$D:$AM, 19, FALSE) / VLOOKUP("transport|PM25|Asthma symptoms cough", US_national_yearly!$D:$AM, 10, FALSE), 1)</f>
        <v>9.3659826406842853E-2</v>
      </c>
      <c r="L6" s="7">
        <f>$B6 * IFERROR(VLOOKUP("transport|PM25|Asthma symptoms cough", US_national_yearly!$D:$AM, 20, FALSE) / VLOOKUP("transport|PM25|Asthma symptoms cough", US_national_yearly!$D:$AM, 10, FALSE), 1)</f>
        <v>9.3659826406842853E-2</v>
      </c>
      <c r="M6" s="7">
        <f>$B6 * IFERROR(VLOOKUP("transport|PM25|Asthma symptoms cough", US_national_yearly!$D:$AM, 21, FALSE) / VLOOKUP("transport|PM25|Asthma symptoms cough", US_national_yearly!$D:$AM, 10, FALSE), 1)</f>
        <v>9.3659826406842853E-2</v>
      </c>
      <c r="N6" s="7">
        <f>$B6 * IFERROR(VLOOKUP("transport|PM25|Asthma symptoms cough", US_national_yearly!$D:$AM, 22, FALSE) / VLOOKUP("transport|PM25|Asthma symptoms cough", US_national_yearly!$D:$AM, 10, FALSE), 1)</f>
        <v>9.3659826406842853E-2</v>
      </c>
      <c r="O6" s="7">
        <f>$B6 * IFERROR(VLOOKUP("transport|PM25|Asthma symptoms cough", US_national_yearly!$D:$AM, 23, FALSE) / VLOOKUP("transport|PM25|Asthma symptoms cough", US_national_yearly!$D:$AM, 10, FALSE), 1)</f>
        <v>9.3659826406842853E-2</v>
      </c>
      <c r="P6" s="7">
        <f>$B6 * IFERROR(VLOOKUP("transport|PM25|Asthma symptoms cough", US_national_yearly!$D:$AM, 24, FALSE) / VLOOKUP("transport|PM25|Asthma symptoms cough", US_national_yearly!$D:$AM, 10, FALSE), 1)</f>
        <v>9.3659826406842853E-2</v>
      </c>
      <c r="Q6" s="7">
        <f>$B6 * IFERROR(VLOOKUP("transport|PM25|Asthma symptoms cough", US_national_yearly!$D:$AM, 25, FALSE) / VLOOKUP("transport|PM25|Asthma symptoms cough", US_national_yearly!$D:$AM, 10, FALSE), 1)</f>
        <v>9.3659826406842853E-2</v>
      </c>
      <c r="R6" s="7">
        <f>$B6 * IFERROR(VLOOKUP("transport|PM25|Asthma symptoms cough", US_national_yearly!$D:$AM, 26, FALSE) / VLOOKUP("transport|PM25|Asthma symptoms cough", US_national_yearly!$D:$AM, 10, FALSE), 1)</f>
        <v>9.3659826406842853E-2</v>
      </c>
      <c r="S6" s="7">
        <f>$B6 * IFERROR(VLOOKUP("transport|PM25|Asthma symptoms cough", US_national_yearly!$D:$AM, 27, FALSE) / VLOOKUP("transport|PM25|Asthma symptoms cough", US_national_yearly!$D:$AM, 10, FALSE), 1)</f>
        <v>9.3659826406842853E-2</v>
      </c>
      <c r="T6" s="7">
        <f>$B6 * IFERROR(VLOOKUP("transport|PM25|Asthma symptoms cough", US_national_yearly!$D:$AM, 28, FALSE) / VLOOKUP("transport|PM25|Asthma symptoms cough", US_national_yearly!$D:$AM, 10, FALSE), 1)</f>
        <v>9.3659826406842853E-2</v>
      </c>
      <c r="U6" s="7">
        <f>$B6 * IFERROR(VLOOKUP("transport|PM25|Asthma symptoms cough", US_national_yearly!$D:$AM, 29, FALSE) / VLOOKUP("transport|PM25|Asthma symptoms cough", US_national_yearly!$D:$AM, 10, FALSE), 1)</f>
        <v>9.3659826406842853E-2</v>
      </c>
      <c r="V6" s="7">
        <f>$B6 * IFERROR(VLOOKUP("transport|PM25|Asthma symptoms cough", US_national_yearly!$D:$AM, 30, FALSE) / VLOOKUP("transport|PM25|Asthma symptoms cough", US_national_yearly!$D:$AM, 10, FALSE), 1)</f>
        <v>9.3659826406842853E-2</v>
      </c>
      <c r="W6" s="7">
        <f>$B6 * IFERROR(VLOOKUP("transport|PM25|Asthma symptoms cough", US_national_yearly!$D:$AM, 31, FALSE) / VLOOKUP("transport|PM25|Asthma symptoms cough", US_national_yearly!$D:$AM, 10, FALSE), 1)</f>
        <v>9.3659826406842853E-2</v>
      </c>
      <c r="X6" s="7">
        <f>$B6 * IFERROR(VLOOKUP("transport|PM25|Asthma symptoms cough", US_national_yearly!$D:$AM, 32, FALSE) / VLOOKUP("transport|PM25|Asthma symptoms cough", US_national_yearly!$D:$AM, 10, FALSE), 1)</f>
        <v>9.3659826406842853E-2</v>
      </c>
      <c r="Y6" s="7">
        <f>$B6 * IFERROR(VLOOKUP("transport|PM25|Asthma symptoms cough", US_national_yearly!$D:$AM, 33, FALSE) / VLOOKUP("transport|PM25|Asthma symptoms cough", US_national_yearly!$D:$AM, 10, FALSE), 1)</f>
        <v>9.3659826406842853E-2</v>
      </c>
      <c r="Z6" s="7">
        <f>$B6 * IFERROR(VLOOKUP("transport|PM25|Asthma symptoms cough", US_national_yearly!$D:$AM, 34, FALSE) / VLOOKUP("transport|PM25|Asthma symptoms cough", US_national_yearly!$D:$AM, 10, FALSE), 1)</f>
        <v>9.3659826406842853E-2</v>
      </c>
      <c r="AA6" s="7">
        <f>$B6 * IFERROR(VLOOKUP("transport|PM25|Asthma symptoms cough", US_national_yearly!$D:$AM, 35, FALSE) / VLOOKUP("transport|PM25|Asthma symptoms cough", US_national_yearly!$D:$AM, 10, FALSE), 1)</f>
        <v>9.3659826406842853E-2</v>
      </c>
      <c r="AB6" s="7">
        <f>$B6 * IFERROR(VLOOKUP("transport|PM25|Asthma symptoms cough", US_national_yearly!$D:$AM, 36, FALSE) / VLOOKUP("transport|PM25|Asthma symptoms cough", US_national_yearly!$D:$AM, 10, FALSE), 1)</f>
        <v>9.3659826406842853E-2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0.12612164274930351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0.12612164274930351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0.12612164274930351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0.12612164274930351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0.12612164274930351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0.12612164274930351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0.12612164274930351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0.12612164274930351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0.12612164274930351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0.12612164274930351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0.12612164274930351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0.12612164274930351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0.12612164274930351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0.12612164274930351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0.12612164274930351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0.12612164274930351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0.12612164274930351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0.12612164274930351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0.12612164274930351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0.12612164274930351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0.12612164274930351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0.12612164274930351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0.12612164274930351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0.12612164274930351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0.12612164274930351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0.12612164274930351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0.12612164274930351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0.19270997727005865</v>
      </c>
      <c r="C8" s="7">
        <f>$B8 * IFERROR(VLOOKUP("transport|PM25|Asthma symptoms wheeze", US_national_yearly!$D:$AM, 11, FALSE) / VLOOKUP("transport|PM25|Asthma symptoms wheeze", US_national_yearly!$D:$AM, 10, FALSE), 1)</f>
        <v>0.19270997727005865</v>
      </c>
      <c r="D8" s="7">
        <f>$B8 * IFERROR(VLOOKUP("transport|PM25|Asthma symptoms wheeze", US_national_yearly!$D:$AM, 12, FALSE) / VLOOKUP("transport|PM25|Asthma symptoms wheeze", US_national_yearly!$D:$AM, 10, FALSE), 1)</f>
        <v>0.19270997727005865</v>
      </c>
      <c r="E8" s="7">
        <f>$B8 * IFERROR(VLOOKUP("transport|PM25|Asthma symptoms wheeze", US_national_yearly!$D:$AM, 13, FALSE) / VLOOKUP("transport|PM25|Asthma symptoms wheeze", US_national_yearly!$D:$AM, 10, FALSE), 1)</f>
        <v>0.19270997727005865</v>
      </c>
      <c r="F8" s="7">
        <f>$B8 * IFERROR(VLOOKUP("transport|PM25|Asthma symptoms wheeze", US_national_yearly!$D:$AM, 14, FALSE) / VLOOKUP("transport|PM25|Asthma symptoms wheeze", US_national_yearly!$D:$AM, 10, FALSE), 1)</f>
        <v>0.19270997727005865</v>
      </c>
      <c r="G8" s="7">
        <f>$B8 * IFERROR(VLOOKUP("transport|PM25|Asthma symptoms wheeze", US_national_yearly!$D:$AM, 15, FALSE) / VLOOKUP("transport|PM25|Asthma symptoms wheeze", US_national_yearly!$D:$AM, 10, FALSE), 1)</f>
        <v>0.19270997727005865</v>
      </c>
      <c r="H8" s="7">
        <f>$B8 * IFERROR(VLOOKUP("transport|PM25|Asthma symptoms wheeze", US_national_yearly!$D:$AM, 16, FALSE) / VLOOKUP("transport|PM25|Asthma symptoms wheeze", US_national_yearly!$D:$AM, 10, FALSE), 1)</f>
        <v>0.19270997727005865</v>
      </c>
      <c r="I8" s="7">
        <f>$B8 * IFERROR(VLOOKUP("transport|PM25|Asthma symptoms wheeze", US_national_yearly!$D:$AM, 17, FALSE) / VLOOKUP("transport|PM25|Asthma symptoms wheeze", US_national_yearly!$D:$AM, 10, FALSE), 1)</f>
        <v>0.19270997727005865</v>
      </c>
      <c r="J8" s="7">
        <f>$B8 * IFERROR(VLOOKUP("transport|PM25|Asthma symptoms wheeze", US_national_yearly!$D:$AM, 18, FALSE) / VLOOKUP("transport|PM25|Asthma symptoms wheeze", US_national_yearly!$D:$AM, 10, FALSE), 1)</f>
        <v>0.19270997727005865</v>
      </c>
      <c r="K8" s="7">
        <f>$B8 * IFERROR(VLOOKUP("transport|PM25|Asthma symptoms wheeze", US_national_yearly!$D:$AM, 19, FALSE) / VLOOKUP("transport|PM25|Asthma symptoms wheeze", US_national_yearly!$D:$AM, 10, FALSE), 1)</f>
        <v>0.19270997727005865</v>
      </c>
      <c r="L8" s="7">
        <f>$B8 * IFERROR(VLOOKUP("transport|PM25|Asthma symptoms wheeze", US_national_yearly!$D:$AM, 20, FALSE) / VLOOKUP("transport|PM25|Asthma symptoms wheeze", US_national_yearly!$D:$AM, 10, FALSE), 1)</f>
        <v>0.19270997727005865</v>
      </c>
      <c r="M8" s="7">
        <f>$B8 * IFERROR(VLOOKUP("transport|PM25|Asthma symptoms wheeze", US_national_yearly!$D:$AM, 21, FALSE) / VLOOKUP("transport|PM25|Asthma symptoms wheeze", US_national_yearly!$D:$AM, 10, FALSE), 1)</f>
        <v>0.19270997727005865</v>
      </c>
      <c r="N8" s="7">
        <f>$B8 * IFERROR(VLOOKUP("transport|PM25|Asthma symptoms wheeze", US_national_yearly!$D:$AM, 22, FALSE) / VLOOKUP("transport|PM25|Asthma symptoms wheeze", US_national_yearly!$D:$AM, 10, FALSE), 1)</f>
        <v>0.19270997727005865</v>
      </c>
      <c r="O8" s="7">
        <f>$B8 * IFERROR(VLOOKUP("transport|PM25|Asthma symptoms wheeze", US_national_yearly!$D:$AM, 23, FALSE) / VLOOKUP("transport|PM25|Asthma symptoms wheeze", US_national_yearly!$D:$AM, 10, FALSE), 1)</f>
        <v>0.19270997727005865</v>
      </c>
      <c r="P8" s="7">
        <f>$B8 * IFERROR(VLOOKUP("transport|PM25|Asthma symptoms wheeze", US_national_yearly!$D:$AM, 24, FALSE) / VLOOKUP("transport|PM25|Asthma symptoms wheeze", US_national_yearly!$D:$AM, 10, FALSE), 1)</f>
        <v>0.19270997727005865</v>
      </c>
      <c r="Q8" s="7">
        <f>$B8 * IFERROR(VLOOKUP("transport|PM25|Asthma symptoms wheeze", US_national_yearly!$D:$AM, 25, FALSE) / VLOOKUP("transport|PM25|Asthma symptoms wheeze", US_national_yearly!$D:$AM, 10, FALSE), 1)</f>
        <v>0.19270997727005865</v>
      </c>
      <c r="R8" s="7">
        <f>$B8 * IFERROR(VLOOKUP("transport|PM25|Asthma symptoms wheeze", US_national_yearly!$D:$AM, 26, FALSE) / VLOOKUP("transport|PM25|Asthma symptoms wheeze", US_national_yearly!$D:$AM, 10, FALSE), 1)</f>
        <v>0.19270997727005865</v>
      </c>
      <c r="S8" s="7">
        <f>$B8 * IFERROR(VLOOKUP("transport|PM25|Asthma symptoms wheeze", US_national_yearly!$D:$AM, 27, FALSE) / VLOOKUP("transport|PM25|Asthma symptoms wheeze", US_national_yearly!$D:$AM, 10, FALSE), 1)</f>
        <v>0.19270997727005865</v>
      </c>
      <c r="T8" s="7">
        <f>$B8 * IFERROR(VLOOKUP("transport|PM25|Asthma symptoms wheeze", US_national_yearly!$D:$AM, 28, FALSE) / VLOOKUP("transport|PM25|Asthma symptoms wheeze", US_national_yearly!$D:$AM, 10, FALSE), 1)</f>
        <v>0.19270997727005865</v>
      </c>
      <c r="U8" s="7">
        <f>$B8 * IFERROR(VLOOKUP("transport|PM25|Asthma symptoms wheeze", US_national_yearly!$D:$AM, 29, FALSE) / VLOOKUP("transport|PM25|Asthma symptoms wheeze", US_national_yearly!$D:$AM, 10, FALSE), 1)</f>
        <v>0.19270997727005865</v>
      </c>
      <c r="V8" s="7">
        <f>$B8 * IFERROR(VLOOKUP("transport|PM25|Asthma symptoms wheeze", US_national_yearly!$D:$AM, 30, FALSE) / VLOOKUP("transport|PM25|Asthma symptoms wheeze", US_national_yearly!$D:$AM, 10, FALSE), 1)</f>
        <v>0.19270997727005865</v>
      </c>
      <c r="W8" s="7">
        <f>$B8 * IFERROR(VLOOKUP("transport|PM25|Asthma symptoms wheeze", US_national_yearly!$D:$AM, 31, FALSE) / VLOOKUP("transport|PM25|Asthma symptoms wheeze", US_national_yearly!$D:$AM, 10, FALSE), 1)</f>
        <v>0.19270997727005865</v>
      </c>
      <c r="X8" s="7">
        <f>$B8 * IFERROR(VLOOKUP("transport|PM25|Asthma symptoms wheeze", US_national_yearly!$D:$AM, 32, FALSE) / VLOOKUP("transport|PM25|Asthma symptoms wheeze", US_national_yearly!$D:$AM, 10, FALSE), 1)</f>
        <v>0.19270997727005865</v>
      </c>
      <c r="Y8" s="7">
        <f>$B8 * IFERROR(VLOOKUP("transport|PM25|Asthma symptoms wheeze", US_national_yearly!$D:$AM, 33, FALSE) / VLOOKUP("transport|PM25|Asthma symptoms wheeze", US_national_yearly!$D:$AM, 10, FALSE), 1)</f>
        <v>0.19270997727005865</v>
      </c>
      <c r="Z8" s="7">
        <f>$B8 * IFERROR(VLOOKUP("transport|PM25|Asthma symptoms wheeze", US_national_yearly!$D:$AM, 34, FALSE) / VLOOKUP("transport|PM25|Asthma symptoms wheeze", US_national_yearly!$D:$AM, 10, FALSE), 1)</f>
        <v>0.19270997727005865</v>
      </c>
      <c r="AA8" s="7">
        <f>$B8 * IFERROR(VLOOKUP("transport|PM25|Asthma symptoms wheeze", US_national_yearly!$D:$AM, 35, FALSE) / VLOOKUP("transport|PM25|Asthma symptoms wheeze", US_national_yearly!$D:$AM, 10, FALSE), 1)</f>
        <v>0.19270997727005865</v>
      </c>
      <c r="AB8" s="7">
        <f>$B8 * IFERROR(VLOOKUP("transport|PM25|Asthma symptoms wheeze", US_national_yearly!$D:$AM, 36, FALSE) / VLOOKUP("transport|PM25|Asthma symptoms wheeze", US_national_yearly!$D:$AM, 10, FALSE), 1)</f>
        <v>0.19270997727005865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1.9979724754713591E-3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2.0094240484040638E-3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2.0208756213367686E-3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2.0323271942694733E-3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2.0437787672021777E-3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2.0561469544394992E-3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2.0685151416768204E-3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2.080332474671211E-3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2.0921498076656025E-3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2.1039671406599936E-3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2.1157844736543851E-3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2.1276018066487758E-3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2.1360834513902411E-3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2.1445650961317065E-3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2.153046740873171E-3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2.1615283856146359E-3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2.1700100303561013E-3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2.1780856737582386E-3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2.1861613171603764E-3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2.1942369605625137E-3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2.202312603964651E-3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2.2103882473667883E-3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2.2181571193339261E-3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2.2259259913010631E-3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2.2336948632682E-3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2.241463735235337E-3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2.2492326072024744E-3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1.2624110249880678E-2</v>
      </c>
      <c r="C13" s="7">
        <f>$B13 * IFERROR(VLOOKUP("transport|PM25|Non-fatal heart attacks", US_national_yearly!$D:$AM, 11, FALSE) / VLOOKUP("transport|PM25|Non-fatal heart attacks", US_national_yearly!$D:$AM, 10, FALSE), 1)</f>
        <v>1.2991126635399176E-2</v>
      </c>
      <c r="D13" s="7">
        <f>$B13 * IFERROR(VLOOKUP("transport|PM25|Non-fatal heart attacks", US_national_yearly!$D:$AM, 12, FALSE) / VLOOKUP("transport|PM25|Non-fatal heart attacks", US_national_yearly!$D:$AM, 10, FALSE), 1)</f>
        <v>1.3358143020917675E-2</v>
      </c>
      <c r="E13" s="7">
        <f>$B13 * IFERROR(VLOOKUP("transport|PM25|Non-fatal heart attacks", US_national_yearly!$D:$AM, 13, FALSE) / VLOOKUP("transport|PM25|Non-fatal heart attacks", US_national_yearly!$D:$AM, 10, FALSE), 1)</f>
        <v>1.372515940643617E-2</v>
      </c>
      <c r="F13" s="7">
        <f>$B13 * IFERROR(VLOOKUP("transport|PM25|Non-fatal heart attacks", US_national_yearly!$D:$AM, 14, FALSE) / VLOOKUP("transport|PM25|Non-fatal heart attacks", US_national_yearly!$D:$AM, 10, FALSE), 1)</f>
        <v>1.409217579195467E-2</v>
      </c>
      <c r="G13" s="7">
        <f>$B13 * IFERROR(VLOOKUP("transport|PM25|Non-fatal heart attacks", US_national_yearly!$D:$AM, 15, FALSE) / VLOOKUP("transport|PM25|Non-fatal heart attacks", US_national_yearly!$D:$AM, 10, FALSE), 1)</f>
        <v>1.4438295445824681E-2</v>
      </c>
      <c r="H13" s="7">
        <f>$B13 * IFERROR(VLOOKUP("transport|PM25|Non-fatal heart attacks", US_national_yearly!$D:$AM, 16, FALSE) / VLOOKUP("transport|PM25|Non-fatal heart attacks", US_national_yearly!$D:$AM, 10, FALSE), 1)</f>
        <v>1.4784415099694689E-2</v>
      </c>
      <c r="I13" s="7">
        <f>$B13 * IFERROR(VLOOKUP("transport|PM25|Non-fatal heart attacks", US_national_yearly!$D:$AM, 17, FALSE) / VLOOKUP("transport|PM25|Non-fatal heart attacks", US_national_yearly!$D:$AM, 10, FALSE), 1)</f>
        <v>1.5062580128358816E-2</v>
      </c>
      <c r="J13" s="7">
        <f>$B13 * IFERROR(VLOOKUP("transport|PM25|Non-fatal heart attacks", US_national_yearly!$D:$AM, 18, FALSE) / VLOOKUP("transport|PM25|Non-fatal heart attacks", US_national_yearly!$D:$AM, 10, FALSE), 1)</f>
        <v>1.5340745157022944E-2</v>
      </c>
      <c r="K13" s="7">
        <f>$B13 * IFERROR(VLOOKUP("transport|PM25|Non-fatal heart attacks", US_national_yearly!$D:$AM, 19, FALSE) / VLOOKUP("transport|PM25|Non-fatal heart attacks", US_national_yearly!$D:$AM, 10, FALSE), 1)</f>
        <v>1.5618910185687075E-2</v>
      </c>
      <c r="L13" s="7">
        <f>$B13 * IFERROR(VLOOKUP("transport|PM25|Non-fatal heart attacks", US_national_yearly!$D:$AM, 20, FALSE) / VLOOKUP("transport|PM25|Non-fatal heart attacks", US_national_yearly!$D:$AM, 10, FALSE), 1)</f>
        <v>1.5897075214351204E-2</v>
      </c>
      <c r="M13" s="7">
        <f>$B13 * IFERROR(VLOOKUP("transport|PM25|Non-fatal heart attacks", US_national_yearly!$D:$AM, 21, FALSE) / VLOOKUP("transport|PM25|Non-fatal heart attacks", US_national_yearly!$D:$AM, 10, FALSE), 1)</f>
        <v>1.6175240243015334E-2</v>
      </c>
      <c r="N13" s="7">
        <f>$B13 * IFERROR(VLOOKUP("transport|PM25|Non-fatal heart attacks", US_national_yearly!$D:$AM, 22, FALSE) / VLOOKUP("transport|PM25|Non-fatal heart attacks", US_national_yearly!$D:$AM, 10, FALSE), 1)</f>
        <v>1.6354629218964512E-2</v>
      </c>
      <c r="O13" s="7">
        <f>$B13 * IFERROR(VLOOKUP("transport|PM25|Non-fatal heart attacks", US_national_yearly!$D:$AM, 23, FALSE) / VLOOKUP("transport|PM25|Non-fatal heart attacks", US_national_yearly!$D:$AM, 10, FALSE), 1)</f>
        <v>1.6534018194913694E-2</v>
      </c>
      <c r="P13" s="7">
        <f>$B13 * IFERROR(VLOOKUP("transport|PM25|Non-fatal heart attacks", US_national_yearly!$D:$AM, 24, FALSE) / VLOOKUP("transport|PM25|Non-fatal heart attacks", US_national_yearly!$D:$AM, 10, FALSE), 1)</f>
        <v>1.6713407170862872E-2</v>
      </c>
      <c r="Q13" s="7">
        <f>$B13 * IFERROR(VLOOKUP("transport|PM25|Non-fatal heart attacks", US_national_yearly!$D:$AM, 25, FALSE) / VLOOKUP("transport|PM25|Non-fatal heart attacks", US_national_yearly!$D:$AM, 10, FALSE), 1)</f>
        <v>1.689279614681205E-2</v>
      </c>
      <c r="R13" s="7">
        <f>$B13 * IFERROR(VLOOKUP("transport|PM25|Non-fatal heart attacks", US_national_yearly!$D:$AM, 26, FALSE) / VLOOKUP("transport|PM25|Non-fatal heart attacks", US_national_yearly!$D:$AM, 10, FALSE), 1)</f>
        <v>1.7072185122761232E-2</v>
      </c>
      <c r="S13" s="7">
        <f>$B13 * IFERROR(VLOOKUP("transport|PM25|Non-fatal heart attacks", US_national_yearly!$D:$AM, 27, FALSE) / VLOOKUP("transport|PM25|Non-fatal heart attacks", US_national_yearly!$D:$AM, 10, FALSE), 1)</f>
        <v>1.7166656482599997E-2</v>
      </c>
      <c r="T13" s="7">
        <f>$B13 * IFERROR(VLOOKUP("transport|PM25|Non-fatal heart attacks", US_national_yearly!$D:$AM, 28, FALSE) / VLOOKUP("transport|PM25|Non-fatal heart attacks", US_national_yearly!$D:$AM, 10, FALSE), 1)</f>
        <v>1.7261127842438773E-2</v>
      </c>
      <c r="U13" s="7">
        <f>$B13 * IFERROR(VLOOKUP("transport|PM25|Non-fatal heart attacks", US_national_yearly!$D:$AM, 29, FALSE) / VLOOKUP("transport|PM25|Non-fatal heart attacks", US_national_yearly!$D:$AM, 10, FALSE), 1)</f>
        <v>1.7355599202277545E-2</v>
      </c>
      <c r="V13" s="7">
        <f>$B13 * IFERROR(VLOOKUP("transport|PM25|Non-fatal heart attacks", US_national_yearly!$D:$AM, 30, FALSE) / VLOOKUP("transport|PM25|Non-fatal heart attacks", US_national_yearly!$D:$AM, 10, FALSE), 1)</f>
        <v>1.7450070562116313E-2</v>
      </c>
      <c r="W13" s="7">
        <f>$B13 * IFERROR(VLOOKUP("transport|PM25|Non-fatal heart attacks", US_national_yearly!$D:$AM, 31, FALSE) / VLOOKUP("transport|PM25|Non-fatal heart attacks", US_national_yearly!$D:$AM, 10, FALSE), 1)</f>
        <v>1.7544541921955082E-2</v>
      </c>
      <c r="X13" s="7">
        <f>$B13 * IFERROR(VLOOKUP("transport|PM25|Non-fatal heart attacks", US_national_yearly!$D:$AM, 32, FALSE) / VLOOKUP("transport|PM25|Non-fatal heart attacks", US_national_yearly!$D:$AM, 10, FALSE), 1)</f>
        <v>1.7616259344350595E-2</v>
      </c>
      <c r="Y13" s="7">
        <f>$B13 * IFERROR(VLOOKUP("transport|PM25|Non-fatal heart attacks", US_national_yearly!$D:$AM, 33, FALSE) / VLOOKUP("transport|PM25|Non-fatal heart attacks", US_national_yearly!$D:$AM, 10, FALSE), 1)</f>
        <v>1.7687976766746112E-2</v>
      </c>
      <c r="Z13" s="7">
        <f>$B13 * IFERROR(VLOOKUP("transport|PM25|Non-fatal heart attacks", US_national_yearly!$D:$AM, 34, FALSE) / VLOOKUP("transport|PM25|Non-fatal heart attacks", US_national_yearly!$D:$AM, 10, FALSE), 1)</f>
        <v>1.7759694189141622E-2</v>
      </c>
      <c r="AA13" s="7">
        <f>$B13 * IFERROR(VLOOKUP("transport|PM25|Non-fatal heart attacks", US_national_yearly!$D:$AM, 35, FALSE) / VLOOKUP("transport|PM25|Non-fatal heart attacks", US_national_yearly!$D:$AM, 10, FALSE), 1)</f>
        <v>1.7831411611537139E-2</v>
      </c>
      <c r="AB13" s="7">
        <f>$B13 * IFERROR(VLOOKUP("transport|PM25|Non-fatal heart attacks", US_national_yearly!$D:$AM, 36, FALSE) / VLOOKUP("transport|PM25|Non-fatal heart attacks", US_national_yearly!$D:$AM, 10, FALSE), 1)</f>
        <v>1.7903129033932652E-2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12.229274584170218</v>
      </c>
      <c r="C14" s="7">
        <f>$B14 * IFERROR(VLOOKUP("transport|PM25|Minor restricted activity days", US_national_yearly!$D:$AM, 11, FALSE) / VLOOKUP("transport|PM25|Minor restricted activity days", US_national_yearly!$D:$AM, 10, FALSE), 1)</f>
        <v>12.259139922985243</v>
      </c>
      <c r="D14" s="7">
        <f>$B14 * IFERROR(VLOOKUP("transport|PM25|Minor restricted activity days", US_national_yearly!$D:$AM, 12, FALSE) / VLOOKUP("transport|PM25|Minor restricted activity days", US_national_yearly!$D:$AM, 10, FALSE), 1)</f>
        <v>12.289005261800268</v>
      </c>
      <c r="E14" s="7">
        <f>$B14 * IFERROR(VLOOKUP("transport|PM25|Minor restricted activity days", US_national_yearly!$D:$AM, 13, FALSE) / VLOOKUP("transport|PM25|Minor restricted activity days", US_national_yearly!$D:$AM, 10, FALSE), 1)</f>
        <v>12.318870600615297</v>
      </c>
      <c r="F14" s="7">
        <f>$B14 * IFERROR(VLOOKUP("transport|PM25|Minor restricted activity days", US_national_yearly!$D:$AM, 14, FALSE) / VLOOKUP("transport|PM25|Minor restricted activity days", US_national_yearly!$D:$AM, 10, FALSE), 1)</f>
        <v>12.34873593943032</v>
      </c>
      <c r="G14" s="7">
        <f>$B14 * IFERROR(VLOOKUP("transport|PM25|Minor restricted activity days", US_national_yearly!$D:$AM, 15, FALSE) / VLOOKUP("transport|PM25|Minor restricted activity days", US_national_yearly!$D:$AM, 10, FALSE), 1)</f>
        <v>12.392801353059753</v>
      </c>
      <c r="H14" s="7">
        <f>$B14 * IFERROR(VLOOKUP("transport|PM25|Minor restricted activity days", US_national_yearly!$D:$AM, 16, FALSE) / VLOOKUP("transport|PM25|Minor restricted activity days", US_national_yearly!$D:$AM, 10, FALSE), 1)</f>
        <v>12.436866766689185</v>
      </c>
      <c r="I14" s="7">
        <f>$B14 * IFERROR(VLOOKUP("transport|PM25|Minor restricted activity days", US_national_yearly!$D:$AM, 17, FALSE) / VLOOKUP("transport|PM25|Minor restricted activity days", US_national_yearly!$D:$AM, 10, FALSE), 1)</f>
        <v>12.512198445157262</v>
      </c>
      <c r="J14" s="7">
        <f>$B14 * IFERROR(VLOOKUP("transport|PM25|Minor restricted activity days", US_national_yearly!$D:$AM, 18, FALSE) / VLOOKUP("transport|PM25|Minor restricted activity days", US_national_yearly!$D:$AM, 10, FALSE), 1)</f>
        <v>12.587530123625331</v>
      </c>
      <c r="K14" s="7">
        <f>$B14 * IFERROR(VLOOKUP("transport|PM25|Minor restricted activity days", US_national_yearly!$D:$AM, 19, FALSE) / VLOOKUP("transport|PM25|Minor restricted activity days", US_national_yearly!$D:$AM, 10, FALSE), 1)</f>
        <v>12.662861802093406</v>
      </c>
      <c r="L14" s="7">
        <f>$B14 * IFERROR(VLOOKUP("transport|PM25|Minor restricted activity days", US_national_yearly!$D:$AM, 20, FALSE) / VLOOKUP("transport|PM25|Minor restricted activity days", US_national_yearly!$D:$AM, 10, FALSE), 1)</f>
        <v>12.738193480561479</v>
      </c>
      <c r="M14" s="7">
        <f>$B14 * IFERROR(VLOOKUP("transport|PM25|Minor restricted activity days", US_national_yearly!$D:$AM, 21, FALSE) / VLOOKUP("transport|PM25|Minor restricted activity days", US_national_yearly!$D:$AM, 10, FALSE), 1)</f>
        <v>12.813525159029551</v>
      </c>
      <c r="N14" s="7">
        <f>$B14 * IFERROR(VLOOKUP("transport|PM25|Minor restricted activity days", US_national_yearly!$D:$AM, 22, FALSE) / VLOOKUP("transport|PM25|Minor restricted activity days", US_national_yearly!$D:$AM, 10, FALSE), 1)</f>
        <v>12.916141903613577</v>
      </c>
      <c r="O14" s="7">
        <f>$B14 * IFERROR(VLOOKUP("transport|PM25|Minor restricted activity days", US_national_yearly!$D:$AM, 23, FALSE) / VLOOKUP("transport|PM25|Minor restricted activity days", US_national_yearly!$D:$AM, 10, FALSE), 1)</f>
        <v>13.018758648197599</v>
      </c>
      <c r="P14" s="7">
        <f>$B14 * IFERROR(VLOOKUP("transport|PM25|Minor restricted activity days", US_national_yearly!$D:$AM, 24, FALSE) / VLOOKUP("transport|PM25|Minor restricted activity days", US_national_yearly!$D:$AM, 10, FALSE), 1)</f>
        <v>13.121375392781625</v>
      </c>
      <c r="Q14" s="7">
        <f>$B14 * IFERROR(VLOOKUP("transport|PM25|Minor restricted activity days", US_national_yearly!$D:$AM, 25, FALSE) / VLOOKUP("transport|PM25|Minor restricted activity days", US_national_yearly!$D:$AM, 10, FALSE), 1)</f>
        <v>13.223992137365647</v>
      </c>
      <c r="R14" s="7">
        <f>$B14 * IFERROR(VLOOKUP("transport|PM25|Minor restricted activity days", US_national_yearly!$D:$AM, 26, FALSE) / VLOOKUP("transport|PM25|Minor restricted activity days", US_national_yearly!$D:$AM, 10, FALSE), 1)</f>
        <v>13.326608881949669</v>
      </c>
      <c r="S14" s="7">
        <f>$B14 * IFERROR(VLOOKUP("transport|PM25|Minor restricted activity days", US_national_yearly!$D:$AM, 27, FALSE) / VLOOKUP("transport|PM25|Minor restricted activity days", US_national_yearly!$D:$AM, 10, FALSE), 1)</f>
        <v>13.42993231442825</v>
      </c>
      <c r="T14" s="7">
        <f>$B14 * IFERROR(VLOOKUP("transport|PM25|Minor restricted activity days", US_national_yearly!$D:$AM, 28, FALSE) / VLOOKUP("transport|PM25|Minor restricted activity days", US_national_yearly!$D:$AM, 10, FALSE), 1)</f>
        <v>13.53325574690683</v>
      </c>
      <c r="U14" s="7">
        <f>$B14 * IFERROR(VLOOKUP("transport|PM25|Minor restricted activity days", US_national_yearly!$D:$AM, 29, FALSE) / VLOOKUP("transport|PM25|Minor restricted activity days", US_national_yearly!$D:$AM, 10, FALSE), 1)</f>
        <v>13.636579179385413</v>
      </c>
      <c r="V14" s="7">
        <f>$B14 * IFERROR(VLOOKUP("transport|PM25|Minor restricted activity days", US_national_yearly!$D:$AM, 30, FALSE) / VLOOKUP("transport|PM25|Minor restricted activity days", US_national_yearly!$D:$AM, 10, FALSE), 1)</f>
        <v>13.739902611863993</v>
      </c>
      <c r="W14" s="7">
        <f>$B14 * IFERROR(VLOOKUP("transport|PM25|Minor restricted activity days", US_national_yearly!$D:$AM, 31, FALSE) / VLOOKUP("transport|PM25|Minor restricted activity days", US_national_yearly!$D:$AM, 10, FALSE), 1)</f>
        <v>13.843226044342574</v>
      </c>
      <c r="X14" s="7">
        <f>$B14 * IFERROR(VLOOKUP("transport|PM25|Minor restricted activity days", US_national_yearly!$D:$AM, 32, FALSE) / VLOOKUP("transport|PM25|Minor restricted activity days", US_national_yearly!$D:$AM, 10, FALSE), 1)</f>
        <v>13.932921178269057</v>
      </c>
      <c r="Y14" s="7">
        <f>$B14 * IFERROR(VLOOKUP("transport|PM25|Minor restricted activity days", US_national_yearly!$D:$AM, 33, FALSE) / VLOOKUP("transport|PM25|Minor restricted activity days", US_national_yearly!$D:$AM, 10, FALSE), 1)</f>
        <v>14.022616312195542</v>
      </c>
      <c r="Z14" s="7">
        <f>$B14 * IFERROR(VLOOKUP("transport|PM25|Minor restricted activity days", US_national_yearly!$D:$AM, 34, FALSE) / VLOOKUP("transport|PM25|Minor restricted activity days", US_national_yearly!$D:$AM, 10, FALSE), 1)</f>
        <v>14.112311446122025</v>
      </c>
      <c r="AA14" s="7">
        <f>$B14 * IFERROR(VLOOKUP("transport|PM25|Minor restricted activity days", US_national_yearly!$D:$AM, 35, FALSE) / VLOOKUP("transport|PM25|Minor restricted activity days", US_national_yearly!$D:$AM, 10, FALSE), 1)</f>
        <v>14.202006580048506</v>
      </c>
      <c r="AB14" s="7">
        <f>$B14 * IFERROR(VLOOKUP("transport|PM25|Minor restricted activity days", US_national_yearly!$D:$AM, 36, FALSE) / VLOOKUP("transport|PM25|Minor restricted activity days", US_national_yearly!$D:$AM, 10, FALSE), 1)</f>
        <v>14.291701713974989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2.0989495053510105</v>
      </c>
      <c r="C15" s="7">
        <f>$B15 * IFERROR(VLOOKUP("transport|PM25|Work loss days", US_national_yearly!$D:$AM, 11, FALSE) / VLOOKUP("transport|PM25|Work loss days", US_national_yearly!$D:$AM, 10, FALSE), 1)</f>
        <v>2.1054554928372862</v>
      </c>
      <c r="D15" s="7">
        <f>$B15 * IFERROR(VLOOKUP("transport|PM25|Work loss days", US_national_yearly!$D:$AM, 12, FALSE) / VLOOKUP("transport|PM25|Work loss days", US_national_yearly!$D:$AM, 10, FALSE), 1)</f>
        <v>2.1119614803235618</v>
      </c>
      <c r="E15" s="7">
        <f>$B15 * IFERROR(VLOOKUP("transport|PM25|Work loss days", US_national_yearly!$D:$AM, 13, FALSE) / VLOOKUP("transport|PM25|Work loss days", US_national_yearly!$D:$AM, 10, FALSE), 1)</f>
        <v>2.1184674678098374</v>
      </c>
      <c r="F15" s="7">
        <f>$B15 * IFERROR(VLOOKUP("transport|PM25|Work loss days", US_national_yearly!$D:$AM, 14, FALSE) / VLOOKUP("transport|PM25|Work loss days", US_national_yearly!$D:$AM, 10, FALSE), 1)</f>
        <v>2.124973455296113</v>
      </c>
      <c r="G15" s="7">
        <f>$B15 * IFERROR(VLOOKUP("transport|PM25|Work loss days", US_national_yearly!$D:$AM, 15, FALSE) / VLOOKUP("transport|PM25|Work loss days", US_national_yearly!$D:$AM, 10, FALSE), 1)</f>
        <v>2.1335032200439215</v>
      </c>
      <c r="H15" s="7">
        <f>$B15 * IFERROR(VLOOKUP("transport|PM25|Work loss days", US_national_yearly!$D:$AM, 16, FALSE) / VLOOKUP("transport|PM25|Work loss days", US_national_yearly!$D:$AM, 10, FALSE), 1)</f>
        <v>2.1420329847917308</v>
      </c>
      <c r="I15" s="7">
        <f>$B15 * IFERROR(VLOOKUP("transport|PM25|Work loss days", US_national_yearly!$D:$AM, 17, FALSE) / VLOOKUP("transport|PM25|Work loss days", US_national_yearly!$D:$AM, 10, FALSE), 1)</f>
        <v>2.154594001528269</v>
      </c>
      <c r="J15" s="7">
        <f>$B15 * IFERROR(VLOOKUP("transport|PM25|Work loss days", US_national_yearly!$D:$AM, 18, FALSE) / VLOOKUP("transport|PM25|Work loss days", US_national_yearly!$D:$AM, 10, FALSE), 1)</f>
        <v>2.1671550182648072</v>
      </c>
      <c r="K15" s="7">
        <f>$B15 * IFERROR(VLOOKUP("transport|PM25|Work loss days", US_national_yearly!$D:$AM, 19, FALSE) / VLOOKUP("transport|PM25|Work loss days", US_national_yearly!$D:$AM, 10, FALSE), 1)</f>
        <v>2.1797160350013458</v>
      </c>
      <c r="L15" s="7">
        <f>$B15 * IFERROR(VLOOKUP("transport|PM25|Work loss days", US_national_yearly!$D:$AM, 20, FALSE) / VLOOKUP("transport|PM25|Work loss days", US_national_yearly!$D:$AM, 10, FALSE), 1)</f>
        <v>2.192277051737884</v>
      </c>
      <c r="M15" s="7">
        <f>$B15 * IFERROR(VLOOKUP("transport|PM25|Work loss days", US_national_yearly!$D:$AM, 21, FALSE) / VLOOKUP("transport|PM25|Work loss days", US_national_yearly!$D:$AM, 10, FALSE), 1)</f>
        <v>2.2048380684744227</v>
      </c>
      <c r="N15" s="7">
        <f>$B15 * IFERROR(VLOOKUP("transport|PM25|Work loss days", US_national_yearly!$D:$AM, 22, FALSE) / VLOOKUP("transport|PM25|Work loss days", US_national_yearly!$D:$AM, 10, FALSE), 1)</f>
        <v>2.2206470587656533</v>
      </c>
      <c r="O15" s="7">
        <f>$B15 * IFERROR(VLOOKUP("transport|PM25|Work loss days", US_national_yearly!$D:$AM, 23, FALSE) / VLOOKUP("transport|PM25|Work loss days", US_national_yearly!$D:$AM, 10, FALSE), 1)</f>
        <v>2.2364560490568834</v>
      </c>
      <c r="P15" s="7">
        <f>$B15 * IFERROR(VLOOKUP("transport|PM25|Work loss days", US_national_yearly!$D:$AM, 24, FALSE) / VLOOKUP("transport|PM25|Work loss days", US_national_yearly!$D:$AM, 10, FALSE), 1)</f>
        <v>2.2522650393481141</v>
      </c>
      <c r="Q15" s="7">
        <f>$B15 * IFERROR(VLOOKUP("transport|PM25|Work loss days", US_national_yearly!$D:$AM, 25, FALSE) / VLOOKUP("transport|PM25|Work loss days", US_national_yearly!$D:$AM, 10, FALSE), 1)</f>
        <v>2.2680740296393447</v>
      </c>
      <c r="R15" s="7">
        <f>$B15 * IFERROR(VLOOKUP("transport|PM25|Work loss days", US_national_yearly!$D:$AM, 26, FALSE) / VLOOKUP("transport|PM25|Work loss days", US_national_yearly!$D:$AM, 10, FALSE), 1)</f>
        <v>2.2838830199305753</v>
      </c>
      <c r="S15" s="7">
        <f>$B15 * IFERROR(VLOOKUP("transport|PM25|Work loss days", US_national_yearly!$D:$AM, 27, FALSE) / VLOOKUP("transport|PM25|Work loss days", US_national_yearly!$D:$AM, 10, FALSE), 1)</f>
        <v>2.3013684381330615</v>
      </c>
      <c r="T15" s="7">
        <f>$B15 * IFERROR(VLOOKUP("transport|PM25|Work loss days", US_national_yearly!$D:$AM, 28, FALSE) / VLOOKUP("transport|PM25|Work loss days", US_national_yearly!$D:$AM, 10, FALSE), 1)</f>
        <v>2.3188538563355485</v>
      </c>
      <c r="U15" s="7">
        <f>$B15 * IFERROR(VLOOKUP("transport|PM25|Work loss days", US_national_yearly!$D:$AM, 29, FALSE) / VLOOKUP("transport|PM25|Work loss days", US_national_yearly!$D:$AM, 10, FALSE), 1)</f>
        <v>2.3363392745380347</v>
      </c>
      <c r="V15" s="7">
        <f>$B15 * IFERROR(VLOOKUP("transport|PM25|Work loss days", US_national_yearly!$D:$AM, 30, FALSE) / VLOOKUP("transport|PM25|Work loss days", US_national_yearly!$D:$AM, 10, FALSE), 1)</f>
        <v>2.3538246927405213</v>
      </c>
      <c r="W15" s="7">
        <f>$B15 * IFERROR(VLOOKUP("transport|PM25|Work loss days", US_national_yearly!$D:$AM, 31, FALSE) / VLOOKUP("transport|PM25|Work loss days", US_national_yearly!$D:$AM, 10, FALSE), 1)</f>
        <v>2.3713101109430079</v>
      </c>
      <c r="X15" s="7">
        <f>$B15 * IFERROR(VLOOKUP("transport|PM25|Work loss days", US_national_yearly!$D:$AM, 32, FALSE) / VLOOKUP("transport|PM25|Work loss days", US_national_yearly!$D:$AM, 10, FALSE), 1)</f>
        <v>2.3868243927692414</v>
      </c>
      <c r="Y15" s="7">
        <f>$B15 * IFERROR(VLOOKUP("transport|PM25|Work loss days", US_national_yearly!$D:$AM, 33, FALSE) / VLOOKUP("transport|PM25|Work loss days", US_national_yearly!$D:$AM, 10, FALSE), 1)</f>
        <v>2.4023386745954749</v>
      </c>
      <c r="Z15" s="7">
        <f>$B15 * IFERROR(VLOOKUP("transport|PM25|Work loss days", US_national_yearly!$D:$AM, 34, FALSE) / VLOOKUP("transport|PM25|Work loss days", US_national_yearly!$D:$AM, 10, FALSE), 1)</f>
        <v>2.4178529564217093</v>
      </c>
      <c r="AA15" s="7">
        <f>$B15 * IFERROR(VLOOKUP("transport|PM25|Work loss days", US_national_yearly!$D:$AM, 35, FALSE) / VLOOKUP("transport|PM25|Work loss days", US_national_yearly!$D:$AM, 10, FALSE), 1)</f>
        <v>2.4333672382479432</v>
      </c>
      <c r="AB15" s="7">
        <f>$B15 * IFERROR(VLOOKUP("transport|PM25|Work loss days", US_national_yearly!$D:$AM, 36, FALSE) / VLOOKUP("transport|PM25|Work loss days", US_national_yearly!$D:$AM, 10, FALSE), 1)</f>
        <v>2.4488815200741767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2.45770132305584E-3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2.5311391523853083E-3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2.6045769817147776E-3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2.6780148110442463E-3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2.7514526403737156E-3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2.8217929629105287E-3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2.8921332854473431E-3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2.9522921911193426E-3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3.0124510967913421E-3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3.0726100024633411E-3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3.1327689081353414E-3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3.1929278138073404E-3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3.2330371297268783E-3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3.2731464456464171E-3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3.313255761565955E-3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3.3533650774854938E-3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3.3934743934050317E-3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3.4146959661750685E-3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3.4359175389451048E-3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3.4571391117151403E-3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3.4783606844851767E-3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3.499582257255213E-3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3.5138688991919356E-3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3.5281555411286578E-3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3.5424421830653804E-3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3.556728825002103E-3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3.5710154669388256E-3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1.1379428296081828E-3</v>
      </c>
      <c r="C2" s="7">
        <f>$B2 * IFERROR(VLOOKUP("transport|NOx|Premature mortality", US_national_yearly!$D:$AM, 11, FALSE) / VLOOKUP("transport|NOx|Premature mortality", US_national_yearly!$D:$AM, 10, FALSE), 1)</f>
        <v>1.154657286363535E-3</v>
      </c>
      <c r="D2" s="7">
        <f>$B2 * IFERROR(VLOOKUP("transport|NOx|Premature mortality", US_national_yearly!$D:$AM, 12, FALSE) / VLOOKUP("transport|NOx|Premature mortality", US_national_yearly!$D:$AM, 10, FALSE), 1)</f>
        <v>1.171371743118887E-3</v>
      </c>
      <c r="E2" s="7">
        <f>$B2 * IFERROR(VLOOKUP("transport|NOx|Premature mortality", US_national_yearly!$D:$AM, 13, FALSE) / VLOOKUP("transport|NOx|Premature mortality", US_national_yearly!$D:$AM, 10, FALSE), 1)</f>
        <v>1.1880861998742392E-3</v>
      </c>
      <c r="F2" s="7">
        <f>$B2 * IFERROR(VLOOKUP("transport|NOx|Premature mortality", US_national_yearly!$D:$AM, 14, FALSE) / VLOOKUP("transport|NOx|Premature mortality", US_national_yearly!$D:$AM, 10, FALSE), 1)</f>
        <v>1.2048006566295912E-3</v>
      </c>
      <c r="G2" s="7">
        <f>$B2 * IFERROR(VLOOKUP("transport|NOx|Premature mortality", US_national_yearly!$D:$AM, 15, FALSE) / VLOOKUP("transport|NOx|Premature mortality", US_national_yearly!$D:$AM, 10, FALSE), 1)</f>
        <v>1.2348237726643428E-3</v>
      </c>
      <c r="H2" s="7">
        <f>$B2 * IFERROR(VLOOKUP("transport|NOx|Premature mortality", US_national_yearly!$D:$AM, 16, FALSE) / VLOOKUP("transport|NOx|Premature mortality", US_national_yearly!$D:$AM, 10, FALSE), 1)</f>
        <v>1.2648468886990948E-3</v>
      </c>
      <c r="I2" s="7">
        <f>$B2 * IFERROR(VLOOKUP("transport|NOx|Premature mortality", US_national_yearly!$D:$AM, 17, FALSE) / VLOOKUP("transport|NOx|Premature mortality", US_national_yearly!$D:$AM, 10, FALSE), 1)</f>
        <v>1.2842273795970565E-3</v>
      </c>
      <c r="J2" s="7">
        <f>$B2 * IFERROR(VLOOKUP("transport|NOx|Premature mortality", US_national_yearly!$D:$AM, 18, FALSE) / VLOOKUP("transport|NOx|Premature mortality", US_national_yearly!$D:$AM, 10, FALSE), 1)</f>
        <v>1.3036078704950183E-3</v>
      </c>
      <c r="K2" s="7">
        <f>$B2 * IFERROR(VLOOKUP("transport|NOx|Premature mortality", US_national_yearly!$D:$AM, 19, FALSE) / VLOOKUP("transport|NOx|Premature mortality", US_national_yearly!$D:$AM, 10, FALSE), 1)</f>
        <v>1.32298836139298E-3</v>
      </c>
      <c r="L2" s="7">
        <f>$B2 * IFERROR(VLOOKUP("transport|NOx|Premature mortality", US_national_yearly!$D:$AM, 20, FALSE) / VLOOKUP("transport|NOx|Premature mortality", US_national_yearly!$D:$AM, 10, FALSE), 1)</f>
        <v>1.3423688522909416E-3</v>
      </c>
      <c r="M2" s="7">
        <f>$B2 * IFERROR(VLOOKUP("transport|NOx|Premature mortality", US_national_yearly!$D:$AM, 21, FALSE) / VLOOKUP("transport|NOx|Premature mortality", US_national_yearly!$D:$AM, 10, FALSE), 1)</f>
        <v>1.3617493431889035E-3</v>
      </c>
      <c r="N2" s="7">
        <f>$B2 * IFERROR(VLOOKUP("transport|NOx|Premature mortality", US_national_yearly!$D:$AM, 22, FALSE) / VLOOKUP("transport|NOx|Premature mortality", US_national_yearly!$D:$AM, 10, FALSE), 1)</f>
        <v>1.3761063355036082E-3</v>
      </c>
      <c r="O2" s="7">
        <f>$B2 * IFERROR(VLOOKUP("transport|NOx|Premature mortality", US_national_yearly!$D:$AM, 23, FALSE) / VLOOKUP("transport|NOx|Premature mortality", US_national_yearly!$D:$AM, 10, FALSE), 1)</f>
        <v>1.3904633278183131E-3</v>
      </c>
      <c r="P2" s="7">
        <f>$B2 * IFERROR(VLOOKUP("transport|NOx|Premature mortality", US_national_yearly!$D:$AM, 24, FALSE) / VLOOKUP("transport|NOx|Premature mortality", US_national_yearly!$D:$AM, 10, FALSE), 1)</f>
        <v>1.4048203201330177E-3</v>
      </c>
      <c r="Q2" s="7">
        <f>$B2 * IFERROR(VLOOKUP("transport|NOx|Premature mortality", US_national_yearly!$D:$AM, 25, FALSE) / VLOOKUP("transport|NOx|Premature mortality", US_national_yearly!$D:$AM, 10, FALSE), 1)</f>
        <v>1.4191773124477228E-3</v>
      </c>
      <c r="R2" s="7">
        <f>$B2 * IFERROR(VLOOKUP("transport|NOx|Premature mortality", US_national_yearly!$D:$AM, 26, FALSE) / VLOOKUP("transport|NOx|Premature mortality", US_national_yearly!$D:$AM, 10, FALSE), 1)</f>
        <v>1.4335343047624275E-3</v>
      </c>
      <c r="S2" s="7">
        <f>$B2 * IFERROR(VLOOKUP("transport|NOx|Premature mortality", US_national_yearly!$D:$AM, 27, FALSE) / VLOOKUP("transport|NOx|Premature mortality", US_national_yearly!$D:$AM, 10, FALSE), 1)</f>
        <v>1.4400597023424523E-3</v>
      </c>
      <c r="T2" s="7">
        <f>$B2 * IFERROR(VLOOKUP("transport|NOx|Premature mortality", US_national_yearly!$D:$AM, 28, FALSE) / VLOOKUP("transport|NOx|Premature mortality", US_national_yearly!$D:$AM, 10, FALSE), 1)</f>
        <v>1.446585099922477E-3</v>
      </c>
      <c r="U2" s="7">
        <f>$B2 * IFERROR(VLOOKUP("transport|NOx|Premature mortality", US_national_yearly!$D:$AM, 29, FALSE) / VLOOKUP("transport|NOx|Premature mortality", US_national_yearly!$D:$AM, 10, FALSE), 1)</f>
        <v>1.4531104975025017E-3</v>
      </c>
      <c r="V2" s="7">
        <f>$B2 * IFERROR(VLOOKUP("transport|NOx|Premature mortality", US_national_yearly!$D:$AM, 30, FALSE) / VLOOKUP("transport|NOx|Premature mortality", US_national_yearly!$D:$AM, 10, FALSE), 1)</f>
        <v>1.4596358950825265E-3</v>
      </c>
      <c r="W2" s="7">
        <f>$B2 * IFERROR(VLOOKUP("transport|NOx|Premature mortality", US_national_yearly!$D:$AM, 31, FALSE) / VLOOKUP("transport|NOx|Premature mortality", US_national_yearly!$D:$AM, 10, FALSE), 1)</f>
        <v>1.4661612926625512E-3</v>
      </c>
      <c r="X2" s="7">
        <f>$B2 * IFERROR(VLOOKUP("transport|NOx|Premature mortality", US_national_yearly!$D:$AM, 32, FALSE) / VLOOKUP("transport|NOx|Premature mortality", US_national_yearly!$D:$AM, 10, FALSE), 1)</f>
        <v>1.4663873286891152E-3</v>
      </c>
      <c r="Y2" s="7">
        <f>$B2 * IFERROR(VLOOKUP("transport|NOx|Premature mortality", US_national_yearly!$D:$AM, 33, FALSE) / VLOOKUP("transport|NOx|Premature mortality", US_national_yearly!$D:$AM, 10, FALSE), 1)</f>
        <v>1.4666133647156792E-3</v>
      </c>
      <c r="Z2" s="7">
        <f>$B2 * IFERROR(VLOOKUP("transport|NOx|Premature mortality", US_national_yearly!$D:$AM, 34, FALSE) / VLOOKUP("transport|NOx|Premature mortality", US_national_yearly!$D:$AM, 10, FALSE), 1)</f>
        <v>1.4668394007422427E-3</v>
      </c>
      <c r="AA2" s="7">
        <f>$B2 * IFERROR(VLOOKUP("transport|NOx|Premature mortality", US_national_yearly!$D:$AM, 35, FALSE) / VLOOKUP("transport|NOx|Premature mortality", US_national_yearly!$D:$AM, 10, FALSE), 1)</f>
        <v>1.4670654367688069E-3</v>
      </c>
      <c r="AB2" s="7">
        <f>$B2 * IFERROR(VLOOKUP("transport|NOx|Premature mortality", US_national_yearly!$D:$AM, 36, FALSE) / VLOOKUP("transport|NOx|Premature mortality", US_national_yearly!$D:$AM, 10, FALSE), 1)</f>
        <v>1.4672914727953707E-3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3.5073587098349806E-6</v>
      </c>
      <c r="C3" s="7">
        <f>$B3 * IFERROR(VLOOKUP("transport|NOx|Infant mortality", US_national_yearly!$D:$AM, 11, FALSE) / VLOOKUP("transport|NOx|Infant mortality", US_national_yearly!$D:$AM, 10, FALSE), 1)</f>
        <v>3.4739421808038533E-6</v>
      </c>
      <c r="D3" s="7">
        <f>$B3 * IFERROR(VLOOKUP("transport|NOx|Infant mortality", US_national_yearly!$D:$AM, 12, FALSE) / VLOOKUP("transport|NOx|Infant mortality", US_national_yearly!$D:$AM, 10, FALSE), 1)</f>
        <v>3.440525651772726E-6</v>
      </c>
      <c r="E3" s="7">
        <f>$B3 * IFERROR(VLOOKUP("transport|NOx|Infant mortality", US_national_yearly!$D:$AM, 13, FALSE) / VLOOKUP("transport|NOx|Infant mortality", US_national_yearly!$D:$AM, 10, FALSE), 1)</f>
        <v>3.4071091227415987E-6</v>
      </c>
      <c r="F3" s="7">
        <f>$B3 * IFERROR(VLOOKUP("transport|NOx|Infant mortality", US_national_yearly!$D:$AM, 14, FALSE) / VLOOKUP("transport|NOx|Infant mortality", US_national_yearly!$D:$AM, 10, FALSE), 1)</f>
        <v>3.3736925937104714E-6</v>
      </c>
      <c r="G3" s="7">
        <f>$B3 * IFERROR(VLOOKUP("transport|NOx|Infant mortality", US_national_yearly!$D:$AM, 15, FALSE) / VLOOKUP("transport|NOx|Infant mortality", US_national_yearly!$D:$AM, 10, FALSE), 1)</f>
        <v>2.2396237399604273E-6</v>
      </c>
      <c r="H3" s="7">
        <f>$B3 * IFERROR(VLOOKUP("transport|NOx|Infant mortality", US_national_yearly!$D:$AM, 16, FALSE) / VLOOKUP("transport|NOx|Infant mortality", US_national_yearly!$D:$AM, 10, FALSE), 1)</f>
        <v>1.1055548862103834E-6</v>
      </c>
      <c r="I3" s="7">
        <f>$B3 * IFERROR(VLOOKUP("transport|NOx|Infant mortality", US_national_yearly!$D:$AM, 17, FALSE) / VLOOKUP("transport|NOx|Infant mortality", US_national_yearly!$D:$AM, 10, FALSE), 1)</f>
        <v>1.0977375575767692E-6</v>
      </c>
      <c r="J3" s="7">
        <f>$B3 * IFERROR(VLOOKUP("transport|NOx|Infant mortality", US_national_yearly!$D:$AM, 18, FALSE) / VLOOKUP("transport|NOx|Infant mortality", US_national_yearly!$D:$AM, 10, FALSE), 1)</f>
        <v>1.0899202289431547E-6</v>
      </c>
      <c r="K3" s="7">
        <f>$B3 * IFERROR(VLOOKUP("transport|NOx|Infant mortality", US_national_yearly!$D:$AM, 19, FALSE) / VLOOKUP("transport|NOx|Infant mortality", US_national_yearly!$D:$AM, 10, FALSE), 1)</f>
        <v>1.0821029003095405E-6</v>
      </c>
      <c r="L3" s="7">
        <f>$B3 * IFERROR(VLOOKUP("transport|NOx|Infant mortality", US_national_yearly!$D:$AM, 20, FALSE) / VLOOKUP("transport|NOx|Infant mortality", US_national_yearly!$D:$AM, 10, FALSE), 1)</f>
        <v>1.0742855716759263E-6</v>
      </c>
      <c r="M3" s="7">
        <f>$B3 * IFERROR(VLOOKUP("transport|NOx|Infant mortality", US_national_yearly!$D:$AM, 21, FALSE) / VLOOKUP("transport|NOx|Infant mortality", US_national_yearly!$D:$AM, 10, FALSE), 1)</f>
        <v>1.0664682430423118E-6</v>
      </c>
      <c r="N3" s="7">
        <f>$B3 * IFERROR(VLOOKUP("transport|NOx|Infant mortality", US_national_yearly!$D:$AM, 22, FALSE) / VLOOKUP("transport|NOx|Infant mortality", US_national_yearly!$D:$AM, 10, FALSE), 1)</f>
        <v>1.0612794271572518E-6</v>
      </c>
      <c r="O3" s="7">
        <f>$B3 * IFERROR(VLOOKUP("transport|NOx|Infant mortality", US_national_yearly!$D:$AM, 23, FALSE) / VLOOKUP("transport|NOx|Infant mortality", US_national_yearly!$D:$AM, 10, FALSE), 1)</f>
        <v>1.056090611272192E-6</v>
      </c>
      <c r="P3" s="7">
        <f>$B3 * IFERROR(VLOOKUP("transport|NOx|Infant mortality", US_national_yearly!$D:$AM, 24, FALSE) / VLOOKUP("transport|NOx|Infant mortality", US_national_yearly!$D:$AM, 10, FALSE), 1)</f>
        <v>1.0509017953871322E-6</v>
      </c>
      <c r="Q3" s="7">
        <f>$B3 * IFERROR(VLOOKUP("transport|NOx|Infant mortality", US_national_yearly!$D:$AM, 25, FALSE) / VLOOKUP("transport|NOx|Infant mortality", US_national_yearly!$D:$AM, 10, FALSE), 1)</f>
        <v>1.0457129795020722E-6</v>
      </c>
      <c r="R3" s="7">
        <f>$B3 * IFERROR(VLOOKUP("transport|NOx|Infant mortality", US_national_yearly!$D:$AM, 26, FALSE) / VLOOKUP("transport|NOx|Infant mortality", US_national_yearly!$D:$AM, 10, FALSE), 1)</f>
        <v>1.0405241636170124E-6</v>
      </c>
      <c r="S3" s="7">
        <f>$B3 * IFERROR(VLOOKUP("transport|NOx|Infant mortality", US_national_yearly!$D:$AM, 27, FALSE) / VLOOKUP("transport|NOx|Infant mortality", US_national_yearly!$D:$AM, 10, FALSE), 1)</f>
        <v>1.0342863817778173E-6</v>
      </c>
      <c r="T3" s="7">
        <f>$B3 * IFERROR(VLOOKUP("transport|NOx|Infant mortality", US_national_yearly!$D:$AM, 28, FALSE) / VLOOKUP("transport|NOx|Infant mortality", US_national_yearly!$D:$AM, 10, FALSE), 1)</f>
        <v>1.0280485999386221E-6</v>
      </c>
      <c r="U3" s="7">
        <f>$B3 * IFERROR(VLOOKUP("transport|NOx|Infant mortality", US_national_yearly!$D:$AM, 29, FALSE) / VLOOKUP("transport|NOx|Infant mortality", US_national_yearly!$D:$AM, 10, FALSE), 1)</f>
        <v>1.021810818099427E-6</v>
      </c>
      <c r="V3" s="7">
        <f>$B3 * IFERROR(VLOOKUP("transport|NOx|Infant mortality", US_national_yearly!$D:$AM, 30, FALSE) / VLOOKUP("transport|NOx|Infant mortality", US_national_yearly!$D:$AM, 10, FALSE), 1)</f>
        <v>1.0155730362602319E-6</v>
      </c>
      <c r="W3" s="7">
        <f>$B3 * IFERROR(VLOOKUP("transport|NOx|Infant mortality", US_national_yearly!$D:$AM, 31, FALSE) / VLOOKUP("transport|NOx|Infant mortality", US_national_yearly!$D:$AM, 10, FALSE), 1)</f>
        <v>1.009335254421037E-6</v>
      </c>
      <c r="X3" s="7">
        <f>$B3 * IFERROR(VLOOKUP("transport|NOx|Infant mortality", US_national_yearly!$D:$AM, 32, FALSE) / VLOOKUP("transport|NOx|Infant mortality", US_national_yearly!$D:$AM, 10, FALSE), 1)</f>
        <v>1.0027291418065112E-6</v>
      </c>
      <c r="Y3" s="7">
        <f>$B3 * IFERROR(VLOOKUP("transport|NOx|Infant mortality", US_national_yearly!$D:$AM, 33, FALSE) / VLOOKUP("transport|NOx|Infant mortality", US_national_yearly!$D:$AM, 10, FALSE), 1)</f>
        <v>9.9612302919198518E-7</v>
      </c>
      <c r="Z3" s="7">
        <f>$B3 * IFERROR(VLOOKUP("transport|NOx|Infant mortality", US_national_yearly!$D:$AM, 34, FALSE) / VLOOKUP("transport|NOx|Infant mortality", US_national_yearly!$D:$AM, 10, FALSE), 1)</f>
        <v>9.8951691657745938E-7</v>
      </c>
      <c r="AA3" s="7">
        <f>$B3 * IFERROR(VLOOKUP("transport|NOx|Infant mortality", US_national_yearly!$D:$AM, 35, FALSE) / VLOOKUP("transport|NOx|Infant mortality", US_national_yearly!$D:$AM, 10, FALSE), 1)</f>
        <v>9.8291080396293337E-7</v>
      </c>
      <c r="AB3" s="7">
        <f>$B3 * IFERROR(VLOOKUP("transport|NOx|Infant mortality", US_national_yearly!$D:$AM, 36, FALSE) / VLOOKUP("transport|NOx|Infant mortality", US_national_yearly!$D:$AM, 10, FALSE), 1)</f>
        <v>9.7630469134840757E-7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3.9141802852287908E-3</v>
      </c>
      <c r="C6" s="7">
        <f>$B6 * IFERROR(VLOOKUP("transport|NOx|Asthma symptoms cough", US_national_yearly!$D:$AM, 11, FALSE) / VLOOKUP("transport|NOx|Asthma symptoms cough", US_national_yearly!$D:$AM, 10, FALSE), 1)</f>
        <v>3.9676935291593158E-3</v>
      </c>
      <c r="D6" s="7">
        <f>$B6 * IFERROR(VLOOKUP("transport|NOx|Asthma symptoms cough", US_national_yearly!$D:$AM, 12, FALSE) / VLOOKUP("transport|NOx|Asthma symptoms cough", US_national_yearly!$D:$AM, 10, FALSE), 1)</f>
        <v>4.0212067730898407E-3</v>
      </c>
      <c r="E6" s="7">
        <f>$B6 * IFERROR(VLOOKUP("transport|NOx|Asthma symptoms cough", US_national_yearly!$D:$AM, 13, FALSE) / VLOOKUP("transport|NOx|Asthma symptoms cough", US_national_yearly!$D:$AM, 10, FALSE), 1)</f>
        <v>4.0747200170203647E-3</v>
      </c>
      <c r="F6" s="7">
        <f>$B6 * IFERROR(VLOOKUP("transport|NOx|Asthma symptoms cough", US_national_yearly!$D:$AM, 14, FALSE) / VLOOKUP("transport|NOx|Asthma symptoms cough", US_national_yearly!$D:$AM, 10, FALSE), 1)</f>
        <v>4.1282332609508896E-3</v>
      </c>
      <c r="G6" s="7">
        <f>$B6 * IFERROR(VLOOKUP("transport|NOx|Asthma symptoms cough", US_national_yearly!$D:$AM, 15, FALSE) / VLOOKUP("transport|NOx|Asthma symptoms cough", US_national_yearly!$D:$AM, 10, FALSE), 1)</f>
        <v>4.170956108258783E-3</v>
      </c>
      <c r="H6" s="7">
        <f>$B6 * IFERROR(VLOOKUP("transport|NOx|Asthma symptoms cough", US_national_yearly!$D:$AM, 16, FALSE) / VLOOKUP("transport|NOx|Asthma symptoms cough", US_national_yearly!$D:$AM, 10, FALSE), 1)</f>
        <v>4.2136789555666772E-3</v>
      </c>
      <c r="I6" s="7">
        <f>$B6 * IFERROR(VLOOKUP("transport|NOx|Asthma symptoms cough", US_national_yearly!$D:$AM, 17, FALSE) / VLOOKUP("transport|NOx|Asthma symptoms cough", US_national_yearly!$D:$AM, 10, FALSE), 1)</f>
        <v>4.2283835488548535E-3</v>
      </c>
      <c r="J6" s="7">
        <f>$B6 * IFERROR(VLOOKUP("transport|NOx|Asthma symptoms cough", US_national_yearly!$D:$AM, 18, FALSE) / VLOOKUP("transport|NOx|Asthma symptoms cough", US_national_yearly!$D:$AM, 10, FALSE), 1)</f>
        <v>4.2430881421430307E-3</v>
      </c>
      <c r="K6" s="7">
        <f>$B6 * IFERROR(VLOOKUP("transport|NOx|Asthma symptoms cough", US_national_yearly!$D:$AM, 19, FALSE) / VLOOKUP("transport|NOx|Asthma symptoms cough", US_national_yearly!$D:$AM, 10, FALSE), 1)</f>
        <v>4.2577927354312071E-3</v>
      </c>
      <c r="L6" s="7">
        <f>$B6 * IFERROR(VLOOKUP("transport|NOx|Asthma symptoms cough", US_national_yearly!$D:$AM, 20, FALSE) / VLOOKUP("transport|NOx|Asthma symptoms cough", US_national_yearly!$D:$AM, 10, FALSE), 1)</f>
        <v>4.2724973287193834E-3</v>
      </c>
      <c r="M6" s="7">
        <f>$B6 * IFERROR(VLOOKUP("transport|NOx|Asthma symptoms cough", US_national_yearly!$D:$AM, 21, FALSE) / VLOOKUP("transport|NOx|Asthma symptoms cough", US_national_yearly!$D:$AM, 10, FALSE), 1)</f>
        <v>4.2872019220075606E-3</v>
      </c>
      <c r="N6" s="7">
        <f>$B6 * IFERROR(VLOOKUP("transport|NOx|Asthma symptoms cough", US_national_yearly!$D:$AM, 22, FALSE) / VLOOKUP("transport|NOx|Asthma symptoms cough", US_national_yearly!$D:$AM, 10, FALSE), 1)</f>
        <v>4.304252992936115E-3</v>
      </c>
      <c r="O6" s="7">
        <f>$B6 * IFERROR(VLOOKUP("transport|NOx|Asthma symptoms cough", US_national_yearly!$D:$AM, 23, FALSE) / VLOOKUP("transport|NOx|Asthma symptoms cough", US_national_yearly!$D:$AM, 10, FALSE), 1)</f>
        <v>4.3213040638646685E-3</v>
      </c>
      <c r="P6" s="7">
        <f>$B6 * IFERROR(VLOOKUP("transport|NOx|Asthma symptoms cough", US_national_yearly!$D:$AM, 24, FALSE) / VLOOKUP("transport|NOx|Asthma symptoms cough", US_national_yearly!$D:$AM, 10, FALSE), 1)</f>
        <v>4.3383551347932221E-3</v>
      </c>
      <c r="Q6" s="7">
        <f>$B6 * IFERROR(VLOOKUP("transport|NOx|Asthma symptoms cough", US_national_yearly!$D:$AM, 25, FALSE) / VLOOKUP("transport|NOx|Asthma symptoms cough", US_national_yearly!$D:$AM, 10, FALSE), 1)</f>
        <v>4.3554062057217773E-3</v>
      </c>
      <c r="R6" s="7">
        <f>$B6 * IFERROR(VLOOKUP("transport|NOx|Asthma symptoms cough", US_national_yearly!$D:$AM, 26, FALSE) / VLOOKUP("transport|NOx|Asthma symptoms cough", US_national_yearly!$D:$AM, 10, FALSE), 1)</f>
        <v>4.3724572766503308E-3</v>
      </c>
      <c r="S6" s="7">
        <f>$B6 * IFERROR(VLOOKUP("transport|NOx|Asthma symptoms cough", US_national_yearly!$D:$AM, 27, FALSE) / VLOOKUP("transport|NOx|Asthma symptoms cough", US_national_yearly!$D:$AM, 10, FALSE), 1)</f>
        <v>4.3947314060088722E-3</v>
      </c>
      <c r="T6" s="7">
        <f>$B6 * IFERROR(VLOOKUP("transport|NOx|Asthma symptoms cough", US_national_yearly!$D:$AM, 28, FALSE) / VLOOKUP("transport|NOx|Asthma symptoms cough", US_national_yearly!$D:$AM, 10, FALSE), 1)</f>
        <v>4.4170055353674118E-3</v>
      </c>
      <c r="U6" s="7">
        <f>$B6 * IFERROR(VLOOKUP("transport|NOx|Asthma symptoms cough", US_national_yearly!$D:$AM, 29, FALSE) / VLOOKUP("transport|NOx|Asthma symptoms cough", US_national_yearly!$D:$AM, 10, FALSE), 1)</f>
        <v>4.4392796647259513E-3</v>
      </c>
      <c r="V6" s="7">
        <f>$B6 * IFERROR(VLOOKUP("transport|NOx|Asthma symptoms cough", US_national_yearly!$D:$AM, 30, FALSE) / VLOOKUP("transport|NOx|Asthma symptoms cough", US_national_yearly!$D:$AM, 10, FALSE), 1)</f>
        <v>4.4615537940844918E-3</v>
      </c>
      <c r="W6" s="7">
        <f>$B6 * IFERROR(VLOOKUP("transport|NOx|Asthma symptoms cough", US_national_yearly!$D:$AM, 31, FALSE) / VLOOKUP("transport|NOx|Asthma symptoms cough", US_national_yearly!$D:$AM, 10, FALSE), 1)</f>
        <v>4.4838279234430322E-3</v>
      </c>
      <c r="X6" s="7">
        <f>$B6 * IFERROR(VLOOKUP("transport|NOx|Asthma symptoms cough", US_national_yearly!$D:$AM, 32, FALSE) / VLOOKUP("transport|NOx|Asthma symptoms cough", US_national_yearly!$D:$AM, 10, FALSE), 1)</f>
        <v>4.5045237900875924E-3</v>
      </c>
      <c r="Y6" s="7">
        <f>$B6 * IFERROR(VLOOKUP("transport|NOx|Asthma symptoms cough", US_national_yearly!$D:$AM, 33, FALSE) / VLOOKUP("transport|NOx|Asthma symptoms cough", US_national_yearly!$D:$AM, 10, FALSE), 1)</f>
        <v>4.5252196567321518E-3</v>
      </c>
      <c r="Z6" s="7">
        <f>$B6 * IFERROR(VLOOKUP("transport|NOx|Asthma symptoms cough", US_national_yearly!$D:$AM, 34, FALSE) / VLOOKUP("transport|NOx|Asthma symptoms cough", US_national_yearly!$D:$AM, 10, FALSE), 1)</f>
        <v>4.545915523376712E-3</v>
      </c>
      <c r="AA6" s="7">
        <f>$B6 * IFERROR(VLOOKUP("transport|NOx|Asthma symptoms cough", US_national_yearly!$D:$AM, 35, FALSE) / VLOOKUP("transport|NOx|Asthma symptoms cough", US_national_yearly!$D:$AM, 10, FALSE), 1)</f>
        <v>4.5666113900212722E-3</v>
      </c>
      <c r="AB6" s="7">
        <f>$B6 * IFERROR(VLOOKUP("transport|NOx|Asthma symptoms cough", US_national_yearly!$D:$AM, 36, FALSE) / VLOOKUP("transport|NOx|Asthma symptoms cough", US_national_yearly!$D:$AM, 10, FALSE), 1)</f>
        <v>4.5873072566658332E-3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5.2707390355578674E-3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5.3427986554347804E-3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5.4148582753116917E-3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5.4869178951886047E-3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5.5589775150655177E-3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5.6165070518356761E-3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5.6740365886058346E-3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5.6938374326355873E-3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5.71363827666534E-3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5.7334391206950927E-3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5.7532399647248446E-3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5.7730408087545973E-3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5.7960013619996111E-3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5.8189619152446241E-3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5.8419224684896371E-3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5.8648830217346501E-3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5.887843574979664E-3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5.9178373704837257E-3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5.9478311659877893E-3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5.9778249614918511E-3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6.0078187569959128E-3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6.0378125524999746E-3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6.06568109817982E-3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6.0935496438596654E-3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6.1214181895395117E-3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6.1492867352193571E-3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6.1771552808992016E-3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8.0537678714282142E-3</v>
      </c>
      <c r="C8" s="7">
        <f>$B8 * IFERROR(VLOOKUP("transport|NOx|Asthma symptoms wheeze", US_national_yearly!$D:$AM, 11, FALSE) / VLOOKUP("transport|NOx|Asthma symptoms wheeze", US_national_yearly!$D:$AM, 10, FALSE), 1)</f>
        <v>8.163876045771715E-3</v>
      </c>
      <c r="D8" s="7">
        <f>$B8 * IFERROR(VLOOKUP("transport|NOx|Asthma symptoms wheeze", US_national_yearly!$D:$AM, 12, FALSE) / VLOOKUP("transport|NOx|Asthma symptoms wheeze", US_national_yearly!$D:$AM, 10, FALSE), 1)</f>
        <v>8.2739842201152193E-3</v>
      </c>
      <c r="E8" s="7">
        <f>$B8 * IFERROR(VLOOKUP("transport|NOx|Asthma symptoms wheeze", US_national_yearly!$D:$AM, 13, FALSE) / VLOOKUP("transport|NOx|Asthma symptoms wheeze", US_national_yearly!$D:$AM, 10, FALSE), 1)</f>
        <v>8.3840923944587201E-3</v>
      </c>
      <c r="F8" s="7">
        <f>$B8 * IFERROR(VLOOKUP("transport|NOx|Asthma symptoms wheeze", US_national_yearly!$D:$AM, 14, FALSE) / VLOOKUP("transport|NOx|Asthma symptoms wheeze", US_national_yearly!$D:$AM, 10, FALSE), 1)</f>
        <v>8.4942005688022192E-3</v>
      </c>
      <c r="G8" s="7">
        <f>$B8 * IFERROR(VLOOKUP("transport|NOx|Asthma symptoms wheeze", US_national_yearly!$D:$AM, 15, FALSE) / VLOOKUP("transport|NOx|Asthma symptoms wheeze", US_national_yearly!$D:$AM, 10, FALSE), 1)</f>
        <v>8.5821065595031408E-3</v>
      </c>
      <c r="H8" s="7">
        <f>$B8 * IFERROR(VLOOKUP("transport|NOx|Asthma symptoms wheeze", US_national_yearly!$D:$AM, 16, FALSE) / VLOOKUP("transport|NOx|Asthma symptoms wheeze", US_national_yearly!$D:$AM, 10, FALSE), 1)</f>
        <v>8.6700125502040606E-3</v>
      </c>
      <c r="I8" s="7">
        <f>$B8 * IFERROR(VLOOKUP("transport|NOx|Asthma symptoms wheeze", US_national_yearly!$D:$AM, 17, FALSE) / VLOOKUP("transport|NOx|Asthma symptoms wheeze", US_national_yearly!$D:$AM, 10, FALSE), 1)</f>
        <v>8.7002685356328806E-3</v>
      </c>
      <c r="J8" s="7">
        <f>$B8 * IFERROR(VLOOKUP("transport|NOx|Asthma symptoms wheeze", US_national_yearly!$D:$AM, 18, FALSE) / VLOOKUP("transport|NOx|Asthma symptoms wheeze", US_national_yearly!$D:$AM, 10, FALSE), 1)</f>
        <v>8.7305245210617007E-3</v>
      </c>
      <c r="K8" s="7">
        <f>$B8 * IFERROR(VLOOKUP("transport|NOx|Asthma symptoms wheeze", US_national_yearly!$D:$AM, 19, FALSE) / VLOOKUP("transport|NOx|Asthma symptoms wheeze", US_national_yearly!$D:$AM, 10, FALSE), 1)</f>
        <v>8.7607805064905189E-3</v>
      </c>
      <c r="L8" s="7">
        <f>$B8 * IFERROR(VLOOKUP("transport|NOx|Asthma symptoms wheeze", US_national_yearly!$D:$AM, 20, FALSE) / VLOOKUP("transport|NOx|Asthma symptoms wheeze", US_national_yearly!$D:$AM, 10, FALSE), 1)</f>
        <v>8.7910364919193389E-3</v>
      </c>
      <c r="M8" s="7">
        <f>$B8 * IFERROR(VLOOKUP("transport|NOx|Asthma symptoms wheeze", US_national_yearly!$D:$AM, 21, FALSE) / VLOOKUP("transport|NOx|Asthma symptoms wheeze", US_national_yearly!$D:$AM, 10, FALSE), 1)</f>
        <v>8.8212924773481572E-3</v>
      </c>
      <c r="N8" s="7">
        <f>$B8 * IFERROR(VLOOKUP("transport|NOx|Asthma symptoms wheeze", US_national_yearly!$D:$AM, 22, FALSE) / VLOOKUP("transport|NOx|Asthma symptoms wheeze", US_national_yearly!$D:$AM, 10, FALSE), 1)</f>
        <v>8.8563765455474969E-3</v>
      </c>
      <c r="O8" s="7">
        <f>$B8 * IFERROR(VLOOKUP("transport|NOx|Asthma symptoms wheeze", US_national_yearly!$D:$AM, 23, FALSE) / VLOOKUP("transport|NOx|Asthma symptoms wheeze", US_national_yearly!$D:$AM, 10, FALSE), 1)</f>
        <v>8.8914606137468367E-3</v>
      </c>
      <c r="P8" s="7">
        <f>$B8 * IFERROR(VLOOKUP("transport|NOx|Asthma symptoms wheeze", US_national_yearly!$D:$AM, 24, FALSE) / VLOOKUP("transport|NOx|Asthma symptoms wheeze", US_national_yearly!$D:$AM, 10, FALSE), 1)</f>
        <v>8.9265446819461747E-3</v>
      </c>
      <c r="Q8" s="7">
        <f>$B8 * IFERROR(VLOOKUP("transport|NOx|Asthma symptoms wheeze", US_national_yearly!$D:$AM, 25, FALSE) / VLOOKUP("transport|NOx|Asthma symptoms wheeze", US_national_yearly!$D:$AM, 10, FALSE), 1)</f>
        <v>8.9616287501455161E-3</v>
      </c>
      <c r="R8" s="7">
        <f>$B8 * IFERROR(VLOOKUP("transport|NOx|Asthma symptoms wheeze", US_national_yearly!$D:$AM, 26, FALSE) / VLOOKUP("transport|NOx|Asthma symptoms wheeze", US_national_yearly!$D:$AM, 10, FALSE), 1)</f>
        <v>8.9967128183448541E-3</v>
      </c>
      <c r="S8" s="7">
        <f>$B8 * IFERROR(VLOOKUP("transport|NOx|Asthma symptoms wheeze", US_national_yearly!$D:$AM, 27, FALSE) / VLOOKUP("transport|NOx|Asthma symptoms wheeze", US_national_yearly!$D:$AM, 10, FALSE), 1)</f>
        <v>9.0425437855789631E-3</v>
      </c>
      <c r="T8" s="7">
        <f>$B8 * IFERROR(VLOOKUP("transport|NOx|Asthma symptoms wheeze", US_national_yearly!$D:$AM, 28, FALSE) / VLOOKUP("transport|NOx|Asthma symptoms wheeze", US_national_yearly!$D:$AM, 10, FALSE), 1)</f>
        <v>9.0883747528130721E-3</v>
      </c>
      <c r="U8" s="7">
        <f>$B8 * IFERROR(VLOOKUP("transport|NOx|Asthma symptoms wheeze", US_national_yearly!$D:$AM, 29, FALSE) / VLOOKUP("transport|NOx|Asthma symptoms wheeze", US_national_yearly!$D:$AM, 10, FALSE), 1)</f>
        <v>9.1342057200471793E-3</v>
      </c>
      <c r="V8" s="7">
        <f>$B8 * IFERROR(VLOOKUP("transport|NOx|Asthma symptoms wheeze", US_national_yearly!$D:$AM, 30, FALSE) / VLOOKUP("transport|NOx|Asthma symptoms wheeze", US_national_yearly!$D:$AM, 10, FALSE), 1)</f>
        <v>9.18003668728129E-3</v>
      </c>
      <c r="W8" s="7">
        <f>$B8 * IFERROR(VLOOKUP("transport|NOx|Asthma symptoms wheeze", US_national_yearly!$D:$AM, 31, FALSE) / VLOOKUP("transport|NOx|Asthma symptoms wheeze", US_national_yearly!$D:$AM, 10, FALSE), 1)</f>
        <v>9.2258676545153972E-3</v>
      </c>
      <c r="X8" s="7">
        <f>$B8 * IFERROR(VLOOKUP("transport|NOx|Asthma symptoms wheeze", US_national_yearly!$D:$AM, 32, FALSE) / VLOOKUP("transport|NOx|Asthma symptoms wheeze", US_national_yearly!$D:$AM, 10, FALSE), 1)</f>
        <v>9.2684512083090441E-3</v>
      </c>
      <c r="Y8" s="7">
        <f>$B8 * IFERROR(VLOOKUP("transport|NOx|Asthma symptoms wheeze", US_national_yearly!$D:$AM, 33, FALSE) / VLOOKUP("transport|NOx|Asthma symptoms wheeze", US_national_yearly!$D:$AM, 10, FALSE), 1)</f>
        <v>9.3110347621026893E-3</v>
      </c>
      <c r="Z8" s="7">
        <f>$B8 * IFERROR(VLOOKUP("transport|NOx|Asthma symptoms wheeze", US_national_yearly!$D:$AM, 34, FALSE) / VLOOKUP("transport|NOx|Asthma symptoms wheeze", US_national_yearly!$D:$AM, 10, FALSE), 1)</f>
        <v>9.3536183158963362E-3</v>
      </c>
      <c r="AA8" s="7">
        <f>$B8 * IFERROR(VLOOKUP("transport|NOx|Asthma symptoms wheeze", US_national_yearly!$D:$AM, 35, FALSE) / VLOOKUP("transport|NOx|Asthma symptoms wheeze", US_national_yearly!$D:$AM, 10, FALSE), 1)</f>
        <v>9.3962018696899813E-3</v>
      </c>
      <c r="AB8" s="7">
        <f>$B8 * IFERROR(VLOOKUP("transport|NOx|Asthma symptoms wheeze", US_national_yearly!$D:$AM, 36, FALSE) / VLOOKUP("transport|NOx|Asthma symptoms wheeze", US_national_yearly!$D:$AM, 10, FALSE), 1)</f>
        <v>9.4387854234836283E-3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8.277574003670209E-5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8.484055311742657E-5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8.6905366198151076E-5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8.8970179278875582E-5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9.1034992359600089E-5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9.3009023942644434E-5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9.4983055525688765E-5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9.665904892167583E-5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9.8335042317662869E-5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1.0001103571364993E-4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1.01687029109637E-4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1.0336302250562407E-4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1.0448345426636398E-4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1.0560388602710394E-4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1.0672431778784387E-4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1.0784474954858382E-4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1.0896518130932375E-4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1.0956547828654421E-4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1.1016577526376468E-4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1.1076607224098514E-4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1.1136636921820559E-4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1.1196666619542607E-4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1.1237689119088302E-4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1.1278711618634001E-4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1.1319734118179699E-4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1.1360756617725396E-4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1.1401779117271093E-4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5.2294739821810688E-4</v>
      </c>
      <c r="C13" s="7">
        <f>$B13 * IFERROR(VLOOKUP("transport|NOx|Non-fatal heart attacks", US_national_yearly!$D:$AM, 11, FALSE) / VLOOKUP("transport|NOx|Non-fatal heart attacks", US_national_yearly!$D:$AM, 10, FALSE), 1)</f>
        <v>5.3789800358710802E-4</v>
      </c>
      <c r="D13" s="7">
        <f>$B13 * IFERROR(VLOOKUP("transport|NOx|Non-fatal heart attacks", US_national_yearly!$D:$AM, 12, FALSE) / VLOOKUP("transport|NOx|Non-fatal heart attacks", US_national_yearly!$D:$AM, 10, FALSE), 1)</f>
        <v>5.5284860895610927E-4</v>
      </c>
      <c r="E13" s="7">
        <f>$B13 * IFERROR(VLOOKUP("transport|NOx|Non-fatal heart attacks", US_national_yearly!$D:$AM, 13, FALSE) / VLOOKUP("transport|NOx|Non-fatal heart attacks", US_national_yearly!$D:$AM, 10, FALSE), 1)</f>
        <v>5.677992143251103E-4</v>
      </c>
      <c r="F13" s="7">
        <f>$B13 * IFERROR(VLOOKUP("transport|NOx|Non-fatal heart attacks", US_national_yearly!$D:$AM, 14, FALSE) / VLOOKUP("transport|NOx|Non-fatal heart attacks", US_national_yearly!$D:$AM, 10, FALSE), 1)</f>
        <v>5.8274981969411144E-4</v>
      </c>
      <c r="G13" s="7">
        <f>$B13 * IFERROR(VLOOKUP("transport|NOx|Non-fatal heart attacks", US_national_yearly!$D:$AM, 15, FALSE) / VLOOKUP("transport|NOx|Non-fatal heart attacks", US_national_yearly!$D:$AM, 10, FALSE), 1)</f>
        <v>5.9672112933889553E-4</v>
      </c>
      <c r="H13" s="7">
        <f>$B13 * IFERROR(VLOOKUP("transport|NOx|Non-fatal heart attacks", US_national_yearly!$D:$AM, 16, FALSE) / VLOOKUP("transport|NOx|Non-fatal heart attacks", US_national_yearly!$D:$AM, 10, FALSE), 1)</f>
        <v>6.1069243898367951E-4</v>
      </c>
      <c r="I13" s="7">
        <f>$B13 * IFERROR(VLOOKUP("transport|NOx|Non-fatal heart attacks", US_national_yearly!$D:$AM, 17, FALSE) / VLOOKUP("transport|NOx|Non-fatal heart attacks", US_national_yearly!$D:$AM, 10, FALSE), 1)</f>
        <v>6.217072195654087E-4</v>
      </c>
      <c r="J13" s="7">
        <f>$B13 * IFERROR(VLOOKUP("transport|NOx|Non-fatal heart attacks", US_national_yearly!$D:$AM, 18, FALSE) / VLOOKUP("transport|NOx|Non-fatal heart attacks", US_national_yearly!$D:$AM, 10, FALSE), 1)</f>
        <v>6.3272200014713789E-4</v>
      </c>
      <c r="K13" s="7">
        <f>$B13 * IFERROR(VLOOKUP("transport|NOx|Non-fatal heart attacks", US_national_yearly!$D:$AM, 19, FALSE) / VLOOKUP("transport|NOx|Non-fatal heart attacks", US_national_yearly!$D:$AM, 10, FALSE), 1)</f>
        <v>6.4373678072886665E-4</v>
      </c>
      <c r="L13" s="7">
        <f>$B13 * IFERROR(VLOOKUP("transport|NOx|Non-fatal heart attacks", US_national_yearly!$D:$AM, 20, FALSE) / VLOOKUP("transport|NOx|Non-fatal heart attacks", US_national_yearly!$D:$AM, 10, FALSE), 1)</f>
        <v>6.5475156131059628E-4</v>
      </c>
      <c r="M13" s="7">
        <f>$B13 * IFERROR(VLOOKUP("transport|NOx|Non-fatal heart attacks", US_national_yearly!$D:$AM, 21, FALSE) / VLOOKUP("transport|NOx|Non-fatal heart attacks", US_national_yearly!$D:$AM, 10, FALSE), 1)</f>
        <v>6.6576634189232525E-4</v>
      </c>
      <c r="N13" s="7">
        <f>$B13 * IFERROR(VLOOKUP("transport|NOx|Non-fatal heart attacks", US_national_yearly!$D:$AM, 22, FALSE) / VLOOKUP("transport|NOx|Non-fatal heart attacks", US_national_yearly!$D:$AM, 10, FALSE), 1)</f>
        <v>6.7239316793089312E-4</v>
      </c>
      <c r="O13" s="7">
        <f>$B13 * IFERROR(VLOOKUP("transport|NOx|Non-fatal heart attacks", US_national_yearly!$D:$AM, 23, FALSE) / VLOOKUP("transport|NOx|Non-fatal heart attacks", US_national_yearly!$D:$AM, 10, FALSE), 1)</f>
        <v>6.7901999396946099E-4</v>
      </c>
      <c r="P13" s="7">
        <f>$B13 * IFERROR(VLOOKUP("transport|NOx|Non-fatal heart attacks", US_national_yearly!$D:$AM, 24, FALSE) / VLOOKUP("transport|NOx|Non-fatal heart attacks", US_national_yearly!$D:$AM, 10, FALSE), 1)</f>
        <v>6.8564682000802864E-4</v>
      </c>
      <c r="Q13" s="7">
        <f>$B13 * IFERROR(VLOOKUP("transport|NOx|Non-fatal heart attacks", US_national_yearly!$D:$AM, 25, FALSE) / VLOOKUP("transport|NOx|Non-fatal heart attacks", US_national_yearly!$D:$AM, 10, FALSE), 1)</f>
        <v>6.9227364604659662E-4</v>
      </c>
      <c r="R13" s="7">
        <f>$B13 * IFERROR(VLOOKUP("transport|NOx|Non-fatal heart attacks", US_national_yearly!$D:$AM, 26, FALSE) / VLOOKUP("transport|NOx|Non-fatal heart attacks", US_national_yearly!$D:$AM, 10, FALSE), 1)</f>
        <v>6.9890047208516438E-4</v>
      </c>
      <c r="S13" s="7">
        <f>$B13 * IFERROR(VLOOKUP("transport|NOx|Non-fatal heart attacks", US_national_yearly!$D:$AM, 27, FALSE) / VLOOKUP("transport|NOx|Non-fatal heart attacks", US_national_yearly!$D:$AM, 10, FALSE), 1)</f>
        <v>7.0190644620985289E-4</v>
      </c>
      <c r="T13" s="7">
        <f>$B13 * IFERROR(VLOOKUP("transport|NOx|Non-fatal heart attacks", US_national_yearly!$D:$AM, 28, FALSE) / VLOOKUP("transport|NOx|Non-fatal heart attacks", US_national_yearly!$D:$AM, 10, FALSE), 1)</f>
        <v>7.049124203345414E-4</v>
      </c>
      <c r="U13" s="7">
        <f>$B13 * IFERROR(VLOOKUP("transport|NOx|Non-fatal heart attacks", US_national_yearly!$D:$AM, 29, FALSE) / VLOOKUP("transport|NOx|Non-fatal heart attacks", US_national_yearly!$D:$AM, 10, FALSE), 1)</f>
        <v>7.0791839445922991E-4</v>
      </c>
      <c r="V13" s="7">
        <f>$B13 * IFERROR(VLOOKUP("transport|NOx|Non-fatal heart attacks", US_national_yearly!$D:$AM, 30, FALSE) / VLOOKUP("transport|NOx|Non-fatal heart attacks", US_national_yearly!$D:$AM, 10, FALSE), 1)</f>
        <v>7.1092436858391842E-4</v>
      </c>
      <c r="W13" s="7">
        <f>$B13 * IFERROR(VLOOKUP("transport|NOx|Non-fatal heart attacks", US_national_yearly!$D:$AM, 31, FALSE) / VLOOKUP("transport|NOx|Non-fatal heart attacks", US_national_yearly!$D:$AM, 10, FALSE), 1)</f>
        <v>7.1393034270860693E-4</v>
      </c>
      <c r="X13" s="7">
        <f>$B13 * IFERROR(VLOOKUP("transport|NOx|Non-fatal heart attacks", US_national_yearly!$D:$AM, 32, FALSE) / VLOOKUP("transport|NOx|Non-fatal heart attacks", US_national_yearly!$D:$AM, 10, FALSE), 1)</f>
        <v>7.1593909278770305E-4</v>
      </c>
      <c r="Y13" s="7">
        <f>$B13 * IFERROR(VLOOKUP("transport|NOx|Non-fatal heart attacks", US_national_yearly!$D:$AM, 33, FALSE) / VLOOKUP("transport|NOx|Non-fatal heart attacks", US_national_yearly!$D:$AM, 10, FALSE), 1)</f>
        <v>7.1794784286679928E-4</v>
      </c>
      <c r="Z13" s="7">
        <f>$B13 * IFERROR(VLOOKUP("transport|NOx|Non-fatal heart attacks", US_national_yearly!$D:$AM, 34, FALSE) / VLOOKUP("transport|NOx|Non-fatal heart attacks", US_national_yearly!$D:$AM, 10, FALSE), 1)</f>
        <v>7.1995659294589529E-4</v>
      </c>
      <c r="AA13" s="7">
        <f>$B13 * IFERROR(VLOOKUP("transport|NOx|Non-fatal heart attacks", US_national_yearly!$D:$AM, 35, FALSE) / VLOOKUP("transport|NOx|Non-fatal heart attacks", US_national_yearly!$D:$AM, 10, FALSE), 1)</f>
        <v>7.2196534302499142E-4</v>
      </c>
      <c r="AB13" s="7">
        <f>$B13 * IFERROR(VLOOKUP("transport|NOx|Non-fatal heart attacks", US_national_yearly!$D:$AM, 36, FALSE) / VLOOKUP("transport|NOx|Non-fatal heart attacks", US_national_yearly!$D:$AM, 10, FALSE), 1)</f>
        <v>7.2397409310408765E-4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0.50595418850962459</v>
      </c>
      <c r="C14" s="7">
        <f>$B14 * IFERROR(VLOOKUP("transport|NOx|Minor restricted activity days", US_national_yearly!$D:$AM, 11, FALSE) / VLOOKUP("transport|NOx|Minor restricted activity days", US_national_yearly!$D:$AM, 10, FALSE), 1)</f>
        <v>0.50672990118914474</v>
      </c>
      <c r="D14" s="7">
        <f>$B14 * IFERROR(VLOOKUP("transport|NOx|Minor restricted activity days", US_national_yearly!$D:$AM, 12, FALSE) / VLOOKUP("transport|NOx|Minor restricted activity days", US_national_yearly!$D:$AM, 10, FALSE), 1)</f>
        <v>0.507505613868665</v>
      </c>
      <c r="E14" s="7">
        <f>$B14 * IFERROR(VLOOKUP("transport|NOx|Minor restricted activity days", US_national_yearly!$D:$AM, 13, FALSE) / VLOOKUP("transport|NOx|Minor restricted activity days", US_national_yearly!$D:$AM, 10, FALSE), 1)</f>
        <v>0.50828132654818525</v>
      </c>
      <c r="F14" s="7">
        <f>$B14 * IFERROR(VLOOKUP("transport|NOx|Minor restricted activity days", US_national_yearly!$D:$AM, 14, FALSE) / VLOOKUP("transport|NOx|Minor restricted activity days", US_national_yearly!$D:$AM, 10, FALSE), 1)</f>
        <v>0.5090570392277054</v>
      </c>
      <c r="G14" s="7">
        <f>$B14 * IFERROR(VLOOKUP("transport|NOx|Minor restricted activity days", US_national_yearly!$D:$AM, 15, FALSE) / VLOOKUP("transport|NOx|Minor restricted activity days", US_national_yearly!$D:$AM, 10, FALSE), 1)</f>
        <v>0.51045779169143557</v>
      </c>
      <c r="H14" s="7">
        <f>$B14 * IFERROR(VLOOKUP("transport|NOx|Minor restricted activity days", US_national_yearly!$D:$AM, 16, FALSE) / VLOOKUP("transport|NOx|Minor restricted activity days", US_national_yearly!$D:$AM, 10, FALSE), 1)</f>
        <v>0.51185854415516574</v>
      </c>
      <c r="I14" s="7">
        <f>$B14 * IFERROR(VLOOKUP("transport|NOx|Minor restricted activity days", US_national_yearly!$D:$AM, 17, FALSE) / VLOOKUP("transport|NOx|Minor restricted activity days", US_national_yearly!$D:$AM, 10, FALSE), 1)</f>
        <v>0.514598360582738</v>
      </c>
      <c r="J14" s="7">
        <f>$B14 * IFERROR(VLOOKUP("transport|NOx|Minor restricted activity days", US_national_yearly!$D:$AM, 18, FALSE) / VLOOKUP("transport|NOx|Minor restricted activity days", US_national_yearly!$D:$AM, 10, FALSE), 1)</f>
        <v>0.51733817701031015</v>
      </c>
      <c r="K14" s="7">
        <f>$B14 * IFERROR(VLOOKUP("transport|NOx|Minor restricted activity days", US_national_yearly!$D:$AM, 19, FALSE) / VLOOKUP("transport|NOx|Minor restricted activity days", US_national_yearly!$D:$AM, 10, FALSE), 1)</f>
        <v>0.52007799343788241</v>
      </c>
      <c r="L14" s="7">
        <f>$B14 * IFERROR(VLOOKUP("transport|NOx|Minor restricted activity days", US_national_yearly!$D:$AM, 20, FALSE) / VLOOKUP("transport|NOx|Minor restricted activity days", US_national_yearly!$D:$AM, 10, FALSE), 1)</f>
        <v>0.52281780986545456</v>
      </c>
      <c r="M14" s="7">
        <f>$B14 * IFERROR(VLOOKUP("transport|NOx|Minor restricted activity days", US_national_yearly!$D:$AM, 21, FALSE) / VLOOKUP("transport|NOx|Minor restricted activity days", US_national_yearly!$D:$AM, 10, FALSE), 1)</f>
        <v>0.52555762629302682</v>
      </c>
      <c r="N14" s="7">
        <f>$B14 * IFERROR(VLOOKUP("transport|NOx|Minor restricted activity days", US_national_yearly!$D:$AM, 22, FALSE) / VLOOKUP("transport|NOx|Minor restricted activity days", US_national_yearly!$D:$AM, 10, FALSE), 1)</f>
        <v>0.529480422177391</v>
      </c>
      <c r="O14" s="7">
        <f>$B14 * IFERROR(VLOOKUP("transport|NOx|Minor restricted activity days", US_national_yearly!$D:$AM, 23, FALSE) / VLOOKUP("transport|NOx|Minor restricted activity days", US_national_yearly!$D:$AM, 10, FALSE), 1)</f>
        <v>0.53340321806175517</v>
      </c>
      <c r="P14" s="7">
        <f>$B14 * IFERROR(VLOOKUP("transport|NOx|Minor restricted activity days", US_national_yearly!$D:$AM, 24, FALSE) / VLOOKUP("transport|NOx|Minor restricted activity days", US_national_yearly!$D:$AM, 10, FALSE), 1)</f>
        <v>0.53732601394611934</v>
      </c>
      <c r="Q14" s="7">
        <f>$B14 * IFERROR(VLOOKUP("transport|NOx|Minor restricted activity days", US_national_yearly!$D:$AM, 25, FALSE) / VLOOKUP("transport|NOx|Minor restricted activity days", US_national_yearly!$D:$AM, 10, FALSE), 1)</f>
        <v>0.54124880983048351</v>
      </c>
      <c r="R14" s="7">
        <f>$B14 * IFERROR(VLOOKUP("transport|NOx|Minor restricted activity days", US_national_yearly!$D:$AM, 26, FALSE) / VLOOKUP("transport|NOx|Minor restricted activity days", US_national_yearly!$D:$AM, 10, FALSE), 1)</f>
        <v>0.54517160571484768</v>
      </c>
      <c r="S14" s="7">
        <f>$B14 * IFERROR(VLOOKUP("transport|NOx|Minor restricted activity days", US_national_yearly!$D:$AM, 27, FALSE) / VLOOKUP("transport|NOx|Minor restricted activity days", US_national_yearly!$D:$AM, 10, FALSE), 1)</f>
        <v>0.54909357683977333</v>
      </c>
      <c r="T14" s="7">
        <f>$B14 * IFERROR(VLOOKUP("transport|NOx|Minor restricted activity days", US_national_yearly!$D:$AM, 28, FALSE) / VLOOKUP("transport|NOx|Minor restricted activity days", US_national_yearly!$D:$AM, 10, FALSE), 1)</f>
        <v>0.55301554796469887</v>
      </c>
      <c r="U14" s="7">
        <f>$B14 * IFERROR(VLOOKUP("transport|NOx|Minor restricted activity days", US_national_yearly!$D:$AM, 29, FALSE) / VLOOKUP("transport|NOx|Minor restricted activity days", US_national_yearly!$D:$AM, 10, FALSE), 1)</f>
        <v>0.55693751908962452</v>
      </c>
      <c r="V14" s="7">
        <f>$B14 * IFERROR(VLOOKUP("transport|NOx|Minor restricted activity days", US_national_yearly!$D:$AM, 30, FALSE) / VLOOKUP("transport|NOx|Minor restricted activity days", US_national_yearly!$D:$AM, 10, FALSE), 1)</f>
        <v>0.56085949021455017</v>
      </c>
      <c r="W14" s="7">
        <f>$B14 * IFERROR(VLOOKUP("transport|NOx|Minor restricted activity days", US_national_yearly!$D:$AM, 31, FALSE) / VLOOKUP("transport|NOx|Minor restricted activity days", US_national_yearly!$D:$AM, 10, FALSE), 1)</f>
        <v>0.56478146133947571</v>
      </c>
      <c r="X14" s="7">
        <f>$B14 * IFERROR(VLOOKUP("transport|NOx|Minor restricted activity days", US_national_yearly!$D:$AM, 32, FALSE) / VLOOKUP("transport|NOx|Minor restricted activity days", US_national_yearly!$D:$AM, 10, FALSE), 1)</f>
        <v>0.56809733851485555</v>
      </c>
      <c r="Y14" s="7">
        <f>$B14 * IFERROR(VLOOKUP("transport|NOx|Minor restricted activity days", US_national_yearly!$D:$AM, 33, FALSE) / VLOOKUP("transport|NOx|Minor restricted activity days", US_national_yearly!$D:$AM, 10, FALSE), 1)</f>
        <v>0.5714132156902354</v>
      </c>
      <c r="Z14" s="7">
        <f>$B14 * IFERROR(VLOOKUP("transport|NOx|Minor restricted activity days", US_national_yearly!$D:$AM, 34, FALSE) / VLOOKUP("transport|NOx|Minor restricted activity days", US_national_yearly!$D:$AM, 10, FALSE), 1)</f>
        <v>0.57472909286561535</v>
      </c>
      <c r="AA14" s="7">
        <f>$B14 * IFERROR(VLOOKUP("transport|NOx|Minor restricted activity days", US_national_yearly!$D:$AM, 35, FALSE) / VLOOKUP("transport|NOx|Minor restricted activity days", US_national_yearly!$D:$AM, 10, FALSE), 1)</f>
        <v>0.5780449700409952</v>
      </c>
      <c r="AB14" s="7">
        <f>$B14 * IFERROR(VLOOKUP("transport|NOx|Minor restricted activity days", US_national_yearly!$D:$AM, 36, FALSE) / VLOOKUP("transport|NOx|Minor restricted activity days", US_national_yearly!$D:$AM, 10, FALSE), 1)</f>
        <v>0.58136084721637504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8.6749804129130165E-2</v>
      </c>
      <c r="C15" s="7">
        <f>$B15 * IFERROR(VLOOKUP("transport|NOx|Work loss days", US_national_yearly!$D:$AM, 11, FALSE) / VLOOKUP("transport|NOx|Work loss days", US_national_yearly!$D:$AM, 10, FALSE), 1)</f>
        <v>8.6942774401570749E-2</v>
      </c>
      <c r="D15" s="7">
        <f>$B15 * IFERROR(VLOOKUP("transport|NOx|Work loss days", US_national_yearly!$D:$AM, 12, FALSE) / VLOOKUP("transport|NOx|Work loss days", US_national_yearly!$D:$AM, 10, FALSE), 1)</f>
        <v>8.7135744674011348E-2</v>
      </c>
      <c r="E15" s="7">
        <f>$B15 * IFERROR(VLOOKUP("transport|NOx|Work loss days", US_national_yearly!$D:$AM, 13, FALSE) / VLOOKUP("transport|NOx|Work loss days", US_national_yearly!$D:$AM, 10, FALSE), 1)</f>
        <v>8.7328714946451932E-2</v>
      </c>
      <c r="F15" s="7">
        <f>$B15 * IFERROR(VLOOKUP("transport|NOx|Work loss days", US_national_yearly!$D:$AM, 14, FALSE) / VLOOKUP("transport|NOx|Work loss days", US_national_yearly!$D:$AM, 10, FALSE), 1)</f>
        <v>8.7521685218892545E-2</v>
      </c>
      <c r="G15" s="7">
        <f>$B15 * IFERROR(VLOOKUP("transport|NOx|Work loss days", US_national_yearly!$D:$AM, 15, FALSE) / VLOOKUP("transport|NOx|Work loss days", US_national_yearly!$D:$AM, 10, FALSE), 1)</f>
        <v>8.7803423462777905E-2</v>
      </c>
      <c r="H15" s="7">
        <f>$B15 * IFERROR(VLOOKUP("transport|NOx|Work loss days", US_national_yearly!$D:$AM, 16, FALSE) / VLOOKUP("transport|NOx|Work loss days", US_national_yearly!$D:$AM, 10, FALSE), 1)</f>
        <v>8.8085161706663292E-2</v>
      </c>
      <c r="I15" s="7">
        <f>$B15 * IFERROR(VLOOKUP("transport|NOx|Work loss days", US_national_yearly!$D:$AM, 17, FALSE) / VLOOKUP("transport|NOx|Work loss days", US_national_yearly!$D:$AM, 10, FALSE), 1)</f>
        <v>8.854156239261067E-2</v>
      </c>
      <c r="J15" s="7">
        <f>$B15 * IFERROR(VLOOKUP("transport|NOx|Work loss days", US_national_yearly!$D:$AM, 18, FALSE) / VLOOKUP("transport|NOx|Work loss days", US_national_yearly!$D:$AM, 10, FALSE), 1)</f>
        <v>8.8997963078558062E-2</v>
      </c>
      <c r="K15" s="7">
        <f>$B15 * IFERROR(VLOOKUP("transport|NOx|Work loss days", US_national_yearly!$D:$AM, 19, FALSE) / VLOOKUP("transport|NOx|Work loss days", US_national_yearly!$D:$AM, 10, FALSE), 1)</f>
        <v>8.945436376450544E-2</v>
      </c>
      <c r="L15" s="7">
        <f>$B15 * IFERROR(VLOOKUP("transport|NOx|Work loss days", US_national_yearly!$D:$AM, 20, FALSE) / VLOOKUP("transport|NOx|Work loss days", US_national_yearly!$D:$AM, 10, FALSE), 1)</f>
        <v>8.9910764450452818E-2</v>
      </c>
      <c r="M15" s="7">
        <f>$B15 * IFERROR(VLOOKUP("transport|NOx|Work loss days", US_national_yearly!$D:$AM, 21, FALSE) / VLOOKUP("transport|NOx|Work loss days", US_national_yearly!$D:$AM, 10, FALSE), 1)</f>
        <v>9.036716513640021E-2</v>
      </c>
      <c r="N15" s="7">
        <f>$B15 * IFERROR(VLOOKUP("transport|NOx|Work loss days", US_national_yearly!$D:$AM, 22, FALSE) / VLOOKUP("transport|NOx|Work loss days", US_national_yearly!$D:$AM, 10, FALSE), 1)</f>
        <v>9.0961142623167165E-2</v>
      </c>
      <c r="O15" s="7">
        <f>$B15 * IFERROR(VLOOKUP("transport|NOx|Work loss days", US_national_yearly!$D:$AM, 23, FALSE) / VLOOKUP("transport|NOx|Work loss days", US_national_yearly!$D:$AM, 10, FALSE), 1)</f>
        <v>9.1555120109934121E-2</v>
      </c>
      <c r="P15" s="7">
        <f>$B15 * IFERROR(VLOOKUP("transport|NOx|Work loss days", US_national_yearly!$D:$AM, 24, FALSE) / VLOOKUP("transport|NOx|Work loss days", US_national_yearly!$D:$AM, 10, FALSE), 1)</f>
        <v>9.2149097596701077E-2</v>
      </c>
      <c r="Q15" s="7">
        <f>$B15 * IFERROR(VLOOKUP("transport|NOx|Work loss days", US_national_yearly!$D:$AM, 25, FALSE) / VLOOKUP("transport|NOx|Work loss days", US_national_yearly!$D:$AM, 10, FALSE), 1)</f>
        <v>9.2743075083468005E-2</v>
      </c>
      <c r="R15" s="7">
        <f>$B15 * IFERROR(VLOOKUP("transport|NOx|Work loss days", US_national_yearly!$D:$AM, 26, FALSE) / VLOOKUP("transport|NOx|Work loss days", US_national_yearly!$D:$AM, 10, FALSE), 1)</f>
        <v>9.3337052570234974E-2</v>
      </c>
      <c r="S15" s="7">
        <f>$B15 * IFERROR(VLOOKUP("transport|NOx|Work loss days", US_national_yearly!$D:$AM, 27, FALSE) / VLOOKUP("transport|NOx|Work loss days", US_national_yearly!$D:$AM, 10, FALSE), 1)</f>
        <v>9.3999261520827937E-2</v>
      </c>
      <c r="T15" s="7">
        <f>$B15 * IFERROR(VLOOKUP("transport|NOx|Work loss days", US_national_yearly!$D:$AM, 28, FALSE) / VLOOKUP("transport|NOx|Work loss days", US_national_yearly!$D:$AM, 10, FALSE), 1)</f>
        <v>9.4661470471420886E-2</v>
      </c>
      <c r="U15" s="7">
        <f>$B15 * IFERROR(VLOOKUP("transport|NOx|Work loss days", US_national_yearly!$D:$AM, 29, FALSE) / VLOOKUP("transport|NOx|Work loss days", US_national_yearly!$D:$AM, 10, FALSE), 1)</f>
        <v>9.5323679422013835E-2</v>
      </c>
      <c r="V15" s="7">
        <f>$B15 * IFERROR(VLOOKUP("transport|NOx|Work loss days", US_national_yearly!$D:$AM, 30, FALSE) / VLOOKUP("transport|NOx|Work loss days", US_national_yearly!$D:$AM, 10, FALSE), 1)</f>
        <v>9.5985888372606784E-2</v>
      </c>
      <c r="W15" s="7">
        <f>$B15 * IFERROR(VLOOKUP("transport|NOx|Work loss days", US_national_yearly!$D:$AM, 31, FALSE) / VLOOKUP("transport|NOx|Work loss days", US_national_yearly!$D:$AM, 10, FALSE), 1)</f>
        <v>9.6648097323199747E-2</v>
      </c>
      <c r="X15" s="7">
        <f>$B15 * IFERROR(VLOOKUP("transport|NOx|Work loss days", US_national_yearly!$D:$AM, 32, FALSE) / VLOOKUP("transport|NOx|Work loss days", US_national_yearly!$D:$AM, 10, FALSE), 1)</f>
        <v>9.7222859385491606E-2</v>
      </c>
      <c r="Y15" s="7">
        <f>$B15 * IFERROR(VLOOKUP("transport|NOx|Work loss days", US_national_yearly!$D:$AM, 33, FALSE) / VLOOKUP("transport|NOx|Work loss days", US_national_yearly!$D:$AM, 10, FALSE), 1)</f>
        <v>9.7797621447783464E-2</v>
      </c>
      <c r="Z15" s="7">
        <f>$B15 * IFERROR(VLOOKUP("transport|NOx|Work loss days", US_national_yearly!$D:$AM, 34, FALSE) / VLOOKUP("transport|NOx|Work loss days", US_national_yearly!$D:$AM, 10, FALSE), 1)</f>
        <v>9.8372383510075323E-2</v>
      </c>
      <c r="AA15" s="7">
        <f>$B15 * IFERROR(VLOOKUP("transport|NOx|Work loss days", US_national_yearly!$D:$AM, 35, FALSE) / VLOOKUP("transport|NOx|Work loss days", US_national_yearly!$D:$AM, 10, FALSE), 1)</f>
        <v>9.8947145572367182E-2</v>
      </c>
      <c r="AB15" s="7">
        <f>$B15 * IFERROR(VLOOKUP("transport|NOx|Work loss days", US_national_yearly!$D:$AM, 36, FALSE) / VLOOKUP("transport|NOx|Work loss days", US_national_yearly!$D:$AM, 10, FALSE), 1)</f>
        <v>9.952190763465904E-2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1.0121093192985343E-4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1.0418497789029687E-4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1.0715902385074029E-4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1.1013306981118371E-4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1.1310711577162716E-4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1.1593196760239178E-4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1.1875681943315641E-4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1.2113230189781109E-4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1.2350778436246576E-4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1.2588326682712043E-4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1.2825874929177513E-4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1.3063423175642983E-4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1.3211969965268107E-4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1.3360516754893235E-4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1.3509063544518362E-4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1.365761033414349E-4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1.3806157123768615E-4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1.3873934944708311E-4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1.3941712765648008E-4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1.4009490586587702E-4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1.4077268407527399E-4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1.4145046228467093E-4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1.4182766935650983E-4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1.422048764283487E-4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1.4258208350018757E-4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1.4295929057202644E-4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1.4333649764386534E-4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2.9075375048281363E-3</v>
      </c>
      <c r="C2" s="7">
        <f>$B2 * IFERROR(VLOOKUP("transport|SO2|Premature mortality", US_national_yearly!$D:$AM, 11, FALSE) / VLOOKUP("transport|SO2|Premature mortality", US_national_yearly!$D:$AM, 10, FALSE), 1)</f>
        <v>2.9443598941616593E-3</v>
      </c>
      <c r="D2" s="7">
        <f>$B2 * IFERROR(VLOOKUP("transport|SO2|Premature mortality", US_national_yearly!$D:$AM, 12, FALSE) / VLOOKUP("transport|SO2|Premature mortality", US_national_yearly!$D:$AM, 10, FALSE), 1)</f>
        <v>2.9811822834951828E-3</v>
      </c>
      <c r="E2" s="7">
        <f>$B2 * IFERROR(VLOOKUP("transport|SO2|Premature mortality", US_national_yearly!$D:$AM, 13, FALSE) / VLOOKUP("transport|SO2|Premature mortality", US_national_yearly!$D:$AM, 10, FALSE), 1)</f>
        <v>3.0180046728287059E-3</v>
      </c>
      <c r="F2" s="7">
        <f>$B2 * IFERROR(VLOOKUP("transport|SO2|Premature mortality", US_national_yearly!$D:$AM, 14, FALSE) / VLOOKUP("transport|SO2|Premature mortality", US_national_yearly!$D:$AM, 10, FALSE), 1)</f>
        <v>3.0548270621622289E-3</v>
      </c>
      <c r="G2" s="7">
        <f>$B2 * IFERROR(VLOOKUP("transport|SO2|Premature mortality", US_national_yearly!$D:$AM, 15, FALSE) / VLOOKUP("transport|SO2|Premature mortality", US_national_yearly!$D:$AM, 10, FALSE), 1)</f>
        <v>3.125781719541294E-3</v>
      </c>
      <c r="H2" s="7">
        <f>$B2 * IFERROR(VLOOKUP("transport|SO2|Premature mortality", US_national_yearly!$D:$AM, 16, FALSE) / VLOOKUP("transport|SO2|Premature mortality", US_national_yearly!$D:$AM, 10, FALSE), 1)</f>
        <v>3.1967363769203581E-3</v>
      </c>
      <c r="I2" s="7">
        <f>$B2 * IFERROR(VLOOKUP("transport|SO2|Premature mortality", US_national_yearly!$D:$AM, 17, FALSE) / VLOOKUP("transport|SO2|Premature mortality", US_national_yearly!$D:$AM, 10, FALSE), 1)</f>
        <v>3.243627562193499E-3</v>
      </c>
      <c r="J2" s="7">
        <f>$B2 * IFERROR(VLOOKUP("transport|SO2|Premature mortality", US_national_yearly!$D:$AM, 18, FALSE) / VLOOKUP("transport|SO2|Premature mortality", US_national_yearly!$D:$AM, 10, FALSE), 1)</f>
        <v>3.2905187474666395E-3</v>
      </c>
      <c r="K2" s="7">
        <f>$B2 * IFERROR(VLOOKUP("transport|SO2|Premature mortality", US_national_yearly!$D:$AM, 19, FALSE) / VLOOKUP("transport|SO2|Premature mortality", US_national_yearly!$D:$AM, 10, FALSE), 1)</f>
        <v>3.3374099327397795E-3</v>
      </c>
      <c r="L2" s="7">
        <f>$B2 * IFERROR(VLOOKUP("transport|SO2|Premature mortality", US_national_yearly!$D:$AM, 20, FALSE) / VLOOKUP("transport|SO2|Premature mortality", US_national_yearly!$D:$AM, 10, FALSE), 1)</f>
        <v>3.3843011180129203E-3</v>
      </c>
      <c r="M2" s="7">
        <f>$B2 * IFERROR(VLOOKUP("transport|SO2|Premature mortality", US_national_yearly!$D:$AM, 21, FALSE) / VLOOKUP("transport|SO2|Premature mortality", US_national_yearly!$D:$AM, 10, FALSE), 1)</f>
        <v>3.4311923032860608E-3</v>
      </c>
      <c r="N2" s="7">
        <f>$B2 * IFERROR(VLOOKUP("transport|SO2|Premature mortality", US_national_yearly!$D:$AM, 22, FALSE) / VLOOKUP("transport|SO2|Premature mortality", US_national_yearly!$D:$AM, 10, FALSE), 1)</f>
        <v>3.4678305319527443E-3</v>
      </c>
      <c r="O2" s="7">
        <f>$B2 * IFERROR(VLOOKUP("transport|SO2|Premature mortality", US_national_yearly!$D:$AM, 23, FALSE) / VLOOKUP("transport|SO2|Premature mortality", US_national_yearly!$D:$AM, 10, FALSE), 1)</f>
        <v>3.5044687606194279E-3</v>
      </c>
      <c r="P2" s="7">
        <f>$B2 * IFERROR(VLOOKUP("transport|SO2|Premature mortality", US_national_yearly!$D:$AM, 24, FALSE) / VLOOKUP("transport|SO2|Premature mortality", US_national_yearly!$D:$AM, 10, FALSE), 1)</f>
        <v>3.5411069892861114E-3</v>
      </c>
      <c r="Q2" s="7">
        <f>$B2 * IFERROR(VLOOKUP("transport|SO2|Premature mortality", US_national_yearly!$D:$AM, 25, FALSE) / VLOOKUP("transport|SO2|Premature mortality", US_national_yearly!$D:$AM, 10, FALSE), 1)</f>
        <v>3.5777452179527949E-3</v>
      </c>
      <c r="R2" s="7">
        <f>$B2 * IFERROR(VLOOKUP("transport|SO2|Premature mortality", US_national_yearly!$D:$AM, 26, FALSE) / VLOOKUP("transport|SO2|Premature mortality", US_national_yearly!$D:$AM, 10, FALSE), 1)</f>
        <v>3.614383446619478E-3</v>
      </c>
      <c r="S2" s="7">
        <f>$B2 * IFERROR(VLOOKUP("transport|SO2|Premature mortality", US_national_yearly!$D:$AM, 27, FALSE) / VLOOKUP("transport|SO2|Premature mortality", US_national_yearly!$D:$AM, 10, FALSE), 1)</f>
        <v>3.6340037059158017E-3</v>
      </c>
      <c r="T2" s="7">
        <f>$B2 * IFERROR(VLOOKUP("transport|SO2|Premature mortality", US_national_yearly!$D:$AM, 28, FALSE) / VLOOKUP("transport|SO2|Premature mortality", US_national_yearly!$D:$AM, 10, FALSE), 1)</f>
        <v>3.653623965212125E-3</v>
      </c>
      <c r="U2" s="7">
        <f>$B2 * IFERROR(VLOOKUP("transport|SO2|Premature mortality", US_national_yearly!$D:$AM, 29, FALSE) / VLOOKUP("transport|SO2|Premature mortality", US_national_yearly!$D:$AM, 10, FALSE), 1)</f>
        <v>3.6732442245084487E-3</v>
      </c>
      <c r="V2" s="7">
        <f>$B2 * IFERROR(VLOOKUP("transport|SO2|Premature mortality", US_national_yearly!$D:$AM, 30, FALSE) / VLOOKUP("transport|SO2|Premature mortality", US_national_yearly!$D:$AM, 10, FALSE), 1)</f>
        <v>3.692864483804772E-3</v>
      </c>
      <c r="W2" s="7">
        <f>$B2 * IFERROR(VLOOKUP("transport|SO2|Premature mortality", US_national_yearly!$D:$AM, 31, FALSE) / VLOOKUP("transport|SO2|Premature mortality", US_national_yearly!$D:$AM, 10, FALSE), 1)</f>
        <v>3.7124847431010957E-3</v>
      </c>
      <c r="X2" s="7">
        <f>$B2 * IFERROR(VLOOKUP("transport|SO2|Premature mortality", US_national_yearly!$D:$AM, 32, FALSE) / VLOOKUP("transport|SO2|Premature mortality", US_national_yearly!$D:$AM, 10, FALSE), 1)</f>
        <v>3.7164706587910039E-3</v>
      </c>
      <c r="Y2" s="7">
        <f>$B2 * IFERROR(VLOOKUP("transport|SO2|Premature mortality", US_national_yearly!$D:$AM, 33, FALSE) / VLOOKUP("transport|SO2|Premature mortality", US_national_yearly!$D:$AM, 10, FALSE), 1)</f>
        <v>3.7204565744809121E-3</v>
      </c>
      <c r="Z2" s="7">
        <f>$B2 * IFERROR(VLOOKUP("transport|SO2|Premature mortality", US_national_yearly!$D:$AM, 34, FALSE) / VLOOKUP("transport|SO2|Premature mortality", US_national_yearly!$D:$AM, 10, FALSE), 1)</f>
        <v>3.7244424901708207E-3</v>
      </c>
      <c r="AA2" s="7">
        <f>$B2 * IFERROR(VLOOKUP("transport|SO2|Premature mortality", US_national_yearly!$D:$AM, 35, FALSE) / VLOOKUP("transport|SO2|Premature mortality", US_national_yearly!$D:$AM, 10, FALSE), 1)</f>
        <v>3.7284284058607293E-3</v>
      </c>
      <c r="AB2" s="7">
        <f>$B2 * IFERROR(VLOOKUP("transport|SO2|Premature mortality", US_national_yearly!$D:$AM, 36, FALSE) / VLOOKUP("transport|SO2|Premature mortality", US_national_yearly!$D:$AM, 10, FALSE), 1)</f>
        <v>3.7324143215506371E-3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9.8962036374813737E-6</v>
      </c>
      <c r="C3" s="7">
        <f>$B3 * IFERROR(VLOOKUP("transport|SO2|Infant mortality", US_national_yearly!$D:$AM, 11, FALSE) / VLOOKUP("transport|SO2|Infant mortality", US_national_yearly!$D:$AM, 10, FALSE), 1)</f>
        <v>9.8111934431127344E-6</v>
      </c>
      <c r="D3" s="7">
        <f>$B3 * IFERROR(VLOOKUP("transport|SO2|Infant mortality", US_national_yearly!$D:$AM, 12, FALSE) / VLOOKUP("transport|SO2|Infant mortality", US_national_yearly!$D:$AM, 10, FALSE), 1)</f>
        <v>9.7261832487440951E-6</v>
      </c>
      <c r="E3" s="7">
        <f>$B3 * IFERROR(VLOOKUP("transport|SO2|Infant mortality", US_national_yearly!$D:$AM, 13, FALSE) / VLOOKUP("transport|SO2|Infant mortality", US_national_yearly!$D:$AM, 10, FALSE), 1)</f>
        <v>9.6411730543754541E-6</v>
      </c>
      <c r="F3" s="7">
        <f>$B3 * IFERROR(VLOOKUP("transport|SO2|Infant mortality", US_national_yearly!$D:$AM, 14, FALSE) / VLOOKUP("transport|SO2|Infant mortality", US_national_yearly!$D:$AM, 10, FALSE), 1)</f>
        <v>9.5561628600068148E-6</v>
      </c>
      <c r="G3" s="7">
        <f>$B3 * IFERROR(VLOOKUP("transport|SO2|Infant mortality", US_national_yearly!$D:$AM, 15, FALSE) / VLOOKUP("transport|SO2|Infant mortality", US_national_yearly!$D:$AM, 10, FALSE), 1)</f>
        <v>6.3651741332266242E-6</v>
      </c>
      <c r="H3" s="7">
        <f>$B3 * IFERROR(VLOOKUP("transport|SO2|Infant mortality", US_national_yearly!$D:$AM, 16, FALSE) / VLOOKUP("transport|SO2|Infant mortality", US_national_yearly!$D:$AM, 10, FALSE), 1)</f>
        <v>3.1741854064464379E-6</v>
      </c>
      <c r="I3" s="7">
        <f>$B3 * IFERROR(VLOOKUP("transport|SO2|Infant mortality", US_national_yearly!$D:$AM, 17, FALSE) / VLOOKUP("transport|SO2|Infant mortality", US_national_yearly!$D:$AM, 10, FALSE), 1)</f>
        <v>3.1542727828701025E-6</v>
      </c>
      <c r="J3" s="7">
        <f>$B3 * IFERROR(VLOOKUP("transport|SO2|Infant mortality", US_national_yearly!$D:$AM, 18, FALSE) / VLOOKUP("transport|SO2|Infant mortality", US_national_yearly!$D:$AM, 10, FALSE), 1)</f>
        <v>3.1343601592937676E-6</v>
      </c>
      <c r="K3" s="7">
        <f>$B3 * IFERROR(VLOOKUP("transport|SO2|Infant mortality", US_national_yearly!$D:$AM, 19, FALSE) / VLOOKUP("transport|SO2|Infant mortality", US_national_yearly!$D:$AM, 10, FALSE), 1)</f>
        <v>3.1144475357174326E-6</v>
      </c>
      <c r="L3" s="7">
        <f>$B3 * IFERROR(VLOOKUP("transport|SO2|Infant mortality", US_national_yearly!$D:$AM, 20, FALSE) / VLOOKUP("transport|SO2|Infant mortality", US_national_yearly!$D:$AM, 10, FALSE), 1)</f>
        <v>3.0945349121410981E-6</v>
      </c>
      <c r="M3" s="7">
        <f>$B3 * IFERROR(VLOOKUP("transport|SO2|Infant mortality", US_national_yearly!$D:$AM, 21, FALSE) / VLOOKUP("transport|SO2|Infant mortality", US_national_yearly!$D:$AM, 10, FALSE), 1)</f>
        <v>3.0746222885647627E-6</v>
      </c>
      <c r="N3" s="7">
        <f>$B3 * IFERROR(VLOOKUP("transport|SO2|Infant mortality", US_national_yearly!$D:$AM, 22, FALSE) / VLOOKUP("transport|SO2|Infant mortality", US_national_yearly!$D:$AM, 10, FALSE), 1)</f>
        <v>3.0621232838249844E-6</v>
      </c>
      <c r="O3" s="7">
        <f>$B3 * IFERROR(VLOOKUP("transport|SO2|Infant mortality", US_national_yearly!$D:$AM, 23, FALSE) / VLOOKUP("transport|SO2|Infant mortality", US_national_yearly!$D:$AM, 10, FALSE), 1)</f>
        <v>3.0496242790852057E-6</v>
      </c>
      <c r="P3" s="7">
        <f>$B3 * IFERROR(VLOOKUP("transport|SO2|Infant mortality", US_national_yearly!$D:$AM, 24, FALSE) / VLOOKUP("transport|SO2|Infant mortality", US_national_yearly!$D:$AM, 10, FALSE), 1)</f>
        <v>3.0371252743454265E-6</v>
      </c>
      <c r="Q3" s="7">
        <f>$B3 * IFERROR(VLOOKUP("transport|SO2|Infant mortality", US_national_yearly!$D:$AM, 25, FALSE) / VLOOKUP("transport|SO2|Infant mortality", US_national_yearly!$D:$AM, 10, FALSE), 1)</f>
        <v>3.0246262696056477E-6</v>
      </c>
      <c r="R3" s="7">
        <f>$B3 * IFERROR(VLOOKUP("transport|SO2|Infant mortality", US_national_yearly!$D:$AM, 26, FALSE) / VLOOKUP("transport|SO2|Infant mortality", US_national_yearly!$D:$AM, 10, FALSE), 1)</f>
        <v>3.0121272648658686E-6</v>
      </c>
      <c r="S3" s="7">
        <f>$B3 * IFERROR(VLOOKUP("transport|SO2|Infant mortality", US_national_yearly!$D:$AM, 27, FALSE) / VLOOKUP("transport|SO2|Infant mortality", US_national_yearly!$D:$AM, 10, FALSE), 1)</f>
        <v>2.9964340029594077E-6</v>
      </c>
      <c r="T3" s="7">
        <f>$B3 * IFERROR(VLOOKUP("transport|SO2|Infant mortality", US_national_yearly!$D:$AM, 28, FALSE) / VLOOKUP("transport|SO2|Infant mortality", US_national_yearly!$D:$AM, 10, FALSE), 1)</f>
        <v>2.9807407410529472E-6</v>
      </c>
      <c r="U3" s="7">
        <f>$B3 * IFERROR(VLOOKUP("transport|SO2|Infant mortality", US_national_yearly!$D:$AM, 29, FALSE) / VLOOKUP("transport|SO2|Infant mortality", US_national_yearly!$D:$AM, 10, FALSE), 1)</f>
        <v>2.9650474791464854E-6</v>
      </c>
      <c r="V3" s="7">
        <f>$B3 * IFERROR(VLOOKUP("transport|SO2|Infant mortality", US_national_yearly!$D:$AM, 30, FALSE) / VLOOKUP("transport|SO2|Infant mortality", US_national_yearly!$D:$AM, 10, FALSE), 1)</f>
        <v>2.9493542172400253E-6</v>
      </c>
      <c r="W3" s="7">
        <f>$B3 * IFERROR(VLOOKUP("transport|SO2|Infant mortality", US_national_yearly!$D:$AM, 31, FALSE) / VLOOKUP("transport|SO2|Infant mortality", US_national_yearly!$D:$AM, 10, FALSE), 1)</f>
        <v>2.9336609553335644E-6</v>
      </c>
      <c r="X3" s="7">
        <f>$B3 * IFERROR(VLOOKUP("transport|SO2|Infant mortality", US_national_yearly!$D:$AM, 32, FALSE) / VLOOKUP("transport|SO2|Infant mortality", US_national_yearly!$D:$AM, 10, FALSE), 1)</f>
        <v>2.9165033759981369E-6</v>
      </c>
      <c r="Y3" s="7">
        <f>$B3 * IFERROR(VLOOKUP("transport|SO2|Infant mortality", US_national_yearly!$D:$AM, 33, FALSE) / VLOOKUP("transport|SO2|Infant mortality", US_national_yearly!$D:$AM, 10, FALSE), 1)</f>
        <v>2.8993457966627084E-6</v>
      </c>
      <c r="Z3" s="7">
        <f>$B3 * IFERROR(VLOOKUP("transport|SO2|Infant mortality", US_national_yearly!$D:$AM, 34, FALSE) / VLOOKUP("transport|SO2|Infant mortality", US_national_yearly!$D:$AM, 10, FALSE), 1)</f>
        <v>2.8821882173272813E-6</v>
      </c>
      <c r="AA3" s="7">
        <f>$B3 * IFERROR(VLOOKUP("transport|SO2|Infant mortality", US_national_yearly!$D:$AM, 35, FALSE) / VLOOKUP("transport|SO2|Infant mortality", US_national_yearly!$D:$AM, 10, FALSE), 1)</f>
        <v>2.8650306379918529E-6</v>
      </c>
      <c r="AB3" s="7">
        <f>$B3 * IFERROR(VLOOKUP("transport|SO2|Infant mortality", US_national_yearly!$D:$AM, 36, FALSE) / VLOOKUP("transport|SO2|Infant mortality", US_national_yearly!$D:$AM, 10, FALSE), 1)</f>
        <v>2.8478730586564253E-6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1.0012145064003521E-2</v>
      </c>
      <c r="C6" s="7">
        <f>$B6 * IFERROR(VLOOKUP("transport|SO2|Asthma symptoms cough", US_national_yearly!$D:$AM, 11, FALSE) / VLOOKUP("transport|SO2|Asthma symptoms cough", US_national_yearly!$D:$AM, 10, FALSE), 1)</f>
        <v>1.0012145064003521E-2</v>
      </c>
      <c r="D6" s="7">
        <f>$B6 * IFERROR(VLOOKUP("transport|SO2|Asthma symptoms cough", US_national_yearly!$D:$AM, 12, FALSE) / VLOOKUP("transport|SO2|Asthma symptoms cough", US_national_yearly!$D:$AM, 10, FALSE), 1)</f>
        <v>1.0012145064003521E-2</v>
      </c>
      <c r="E6" s="7">
        <f>$B6 * IFERROR(VLOOKUP("transport|SO2|Asthma symptoms cough", US_national_yearly!$D:$AM, 13, FALSE) / VLOOKUP("transport|SO2|Asthma symptoms cough", US_national_yearly!$D:$AM, 10, FALSE), 1)</f>
        <v>1.0012145064003521E-2</v>
      </c>
      <c r="F6" s="7">
        <f>$B6 * IFERROR(VLOOKUP("transport|SO2|Asthma symptoms cough", US_national_yearly!$D:$AM, 14, FALSE) / VLOOKUP("transport|SO2|Asthma symptoms cough", US_national_yearly!$D:$AM, 10, FALSE), 1)</f>
        <v>1.0012145064003521E-2</v>
      </c>
      <c r="G6" s="7">
        <f>$B6 * IFERROR(VLOOKUP("transport|SO2|Asthma symptoms cough", US_national_yearly!$D:$AM, 15, FALSE) / VLOOKUP("transport|SO2|Asthma symptoms cough", US_national_yearly!$D:$AM, 10, FALSE), 1)</f>
        <v>1.0012145064003521E-2</v>
      </c>
      <c r="H6" s="7">
        <f>$B6 * IFERROR(VLOOKUP("transport|SO2|Asthma symptoms cough", US_national_yearly!$D:$AM, 16, FALSE) / VLOOKUP("transport|SO2|Asthma symptoms cough", US_national_yearly!$D:$AM, 10, FALSE), 1)</f>
        <v>1.0012145064003521E-2</v>
      </c>
      <c r="I6" s="7">
        <f>$B6 * IFERROR(VLOOKUP("transport|SO2|Asthma symptoms cough", US_national_yearly!$D:$AM, 17, FALSE) / VLOOKUP("transport|SO2|Asthma symptoms cough", US_national_yearly!$D:$AM, 10, FALSE), 1)</f>
        <v>1.0012145064003521E-2</v>
      </c>
      <c r="J6" s="7">
        <f>$B6 * IFERROR(VLOOKUP("transport|SO2|Asthma symptoms cough", US_national_yearly!$D:$AM, 18, FALSE) / VLOOKUP("transport|SO2|Asthma symptoms cough", US_national_yearly!$D:$AM, 10, FALSE), 1)</f>
        <v>1.0012145064003521E-2</v>
      </c>
      <c r="K6" s="7">
        <f>$B6 * IFERROR(VLOOKUP("transport|SO2|Asthma symptoms cough", US_national_yearly!$D:$AM, 19, FALSE) / VLOOKUP("transport|SO2|Asthma symptoms cough", US_national_yearly!$D:$AM, 10, FALSE), 1)</f>
        <v>1.0012145064003521E-2</v>
      </c>
      <c r="L6" s="7">
        <f>$B6 * IFERROR(VLOOKUP("transport|SO2|Asthma symptoms cough", US_national_yearly!$D:$AM, 20, FALSE) / VLOOKUP("transport|SO2|Asthma symptoms cough", US_national_yearly!$D:$AM, 10, FALSE), 1)</f>
        <v>1.0012145064003521E-2</v>
      </c>
      <c r="M6" s="7">
        <f>$B6 * IFERROR(VLOOKUP("transport|SO2|Asthma symptoms cough", US_national_yearly!$D:$AM, 21, FALSE) / VLOOKUP("transport|SO2|Asthma symptoms cough", US_national_yearly!$D:$AM, 10, FALSE), 1)</f>
        <v>1.0012145064003521E-2</v>
      </c>
      <c r="N6" s="7">
        <f>$B6 * IFERROR(VLOOKUP("transport|SO2|Asthma symptoms cough", US_national_yearly!$D:$AM, 22, FALSE) / VLOOKUP("transport|SO2|Asthma symptoms cough", US_national_yearly!$D:$AM, 10, FALSE), 1)</f>
        <v>1.0012145064003521E-2</v>
      </c>
      <c r="O6" s="7">
        <f>$B6 * IFERROR(VLOOKUP("transport|SO2|Asthma symptoms cough", US_national_yearly!$D:$AM, 23, FALSE) / VLOOKUP("transport|SO2|Asthma symptoms cough", US_national_yearly!$D:$AM, 10, FALSE), 1)</f>
        <v>1.0012145064003521E-2</v>
      </c>
      <c r="P6" s="7">
        <f>$B6 * IFERROR(VLOOKUP("transport|SO2|Asthma symptoms cough", US_national_yearly!$D:$AM, 24, FALSE) / VLOOKUP("transport|SO2|Asthma symptoms cough", US_national_yearly!$D:$AM, 10, FALSE), 1)</f>
        <v>1.0012145064003521E-2</v>
      </c>
      <c r="Q6" s="7">
        <f>$B6 * IFERROR(VLOOKUP("transport|SO2|Asthma symptoms cough", US_national_yearly!$D:$AM, 25, FALSE) / VLOOKUP("transport|SO2|Asthma symptoms cough", US_national_yearly!$D:$AM, 10, FALSE), 1)</f>
        <v>1.0012145064003521E-2</v>
      </c>
      <c r="R6" s="7">
        <f>$B6 * IFERROR(VLOOKUP("transport|SO2|Asthma symptoms cough", US_national_yearly!$D:$AM, 26, FALSE) / VLOOKUP("transport|SO2|Asthma symptoms cough", US_national_yearly!$D:$AM, 10, FALSE), 1)</f>
        <v>1.0012145064003521E-2</v>
      </c>
      <c r="S6" s="7">
        <f>$B6 * IFERROR(VLOOKUP("transport|SO2|Asthma symptoms cough", US_national_yearly!$D:$AM, 27, FALSE) / VLOOKUP("transport|SO2|Asthma symptoms cough", US_national_yearly!$D:$AM, 10, FALSE), 1)</f>
        <v>1.0012145064003521E-2</v>
      </c>
      <c r="T6" s="7">
        <f>$B6 * IFERROR(VLOOKUP("transport|SO2|Asthma symptoms cough", US_national_yearly!$D:$AM, 28, FALSE) / VLOOKUP("transport|SO2|Asthma symptoms cough", US_national_yearly!$D:$AM, 10, FALSE), 1)</f>
        <v>1.0012145064003521E-2</v>
      </c>
      <c r="U6" s="7">
        <f>$B6 * IFERROR(VLOOKUP("transport|SO2|Asthma symptoms cough", US_national_yearly!$D:$AM, 29, FALSE) / VLOOKUP("transport|SO2|Asthma symptoms cough", US_national_yearly!$D:$AM, 10, FALSE), 1)</f>
        <v>1.0012145064003521E-2</v>
      </c>
      <c r="V6" s="7">
        <f>$B6 * IFERROR(VLOOKUP("transport|SO2|Asthma symptoms cough", US_national_yearly!$D:$AM, 30, FALSE) / VLOOKUP("transport|SO2|Asthma symptoms cough", US_national_yearly!$D:$AM, 10, FALSE), 1)</f>
        <v>1.0012145064003521E-2</v>
      </c>
      <c r="W6" s="7">
        <f>$B6 * IFERROR(VLOOKUP("transport|SO2|Asthma symptoms cough", US_national_yearly!$D:$AM, 31, FALSE) / VLOOKUP("transport|SO2|Asthma symptoms cough", US_national_yearly!$D:$AM, 10, FALSE), 1)</f>
        <v>1.0012145064003521E-2</v>
      </c>
      <c r="X6" s="7">
        <f>$B6 * IFERROR(VLOOKUP("transport|SO2|Asthma symptoms cough", US_national_yearly!$D:$AM, 32, FALSE) / VLOOKUP("transport|SO2|Asthma symptoms cough", US_national_yearly!$D:$AM, 10, FALSE), 1)</f>
        <v>1.0012145064003521E-2</v>
      </c>
      <c r="Y6" s="7">
        <f>$B6 * IFERROR(VLOOKUP("transport|SO2|Asthma symptoms cough", US_national_yearly!$D:$AM, 33, FALSE) / VLOOKUP("transport|SO2|Asthma symptoms cough", US_national_yearly!$D:$AM, 10, FALSE), 1)</f>
        <v>1.0012145064003521E-2</v>
      </c>
      <c r="Z6" s="7">
        <f>$B6 * IFERROR(VLOOKUP("transport|SO2|Asthma symptoms cough", US_national_yearly!$D:$AM, 34, FALSE) / VLOOKUP("transport|SO2|Asthma symptoms cough", US_national_yearly!$D:$AM, 10, FALSE), 1)</f>
        <v>1.0012145064003521E-2</v>
      </c>
      <c r="AA6" s="7">
        <f>$B6 * IFERROR(VLOOKUP("transport|SO2|Asthma symptoms cough", US_national_yearly!$D:$AM, 35, FALSE) / VLOOKUP("transport|SO2|Asthma symptoms cough", US_national_yearly!$D:$AM, 10, FALSE), 1)</f>
        <v>1.0012145064003521E-2</v>
      </c>
      <c r="AB6" s="7">
        <f>$B6 * IFERROR(VLOOKUP("transport|SO2|Asthma symptoms cough", US_national_yearly!$D:$AM, 36, FALSE) / VLOOKUP("transport|SO2|Asthma symptoms cough", US_national_yearly!$D:$AM, 10, FALSE), 1)</f>
        <v>1.0012145064003521E-2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1.3482788094911132E-2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1.3482788094911132E-2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1.3482788094911132E-2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1.3482788094911132E-2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1.3482788094911132E-2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1.3482788094911132E-2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1.3482788094911132E-2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1.3482788094911132E-2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1.3482788094911132E-2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1.3482788094911132E-2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1.3482788094911132E-2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1.3482788094911132E-2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1.3482788094911132E-2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1.3482788094911132E-2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1.3482788094911132E-2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1.3482788094911132E-2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1.3482788094911132E-2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1.3482788094911132E-2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1.3482788094911132E-2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1.3482788094911132E-2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1.3482788094911132E-2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1.3482788094911132E-2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1.3482788094911132E-2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1.3482788094911132E-2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1.3482788094911132E-2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1.3482788094911132E-2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1.3482788094911132E-2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2.0599479596638895E-2</v>
      </c>
      <c r="C8" s="7">
        <f>$B8 * IFERROR(VLOOKUP("transport|SO2|Asthma symptoms wheeze", US_national_yearly!$D:$AM, 11, FALSE) / VLOOKUP("transport|SO2|Asthma symptoms wheeze", US_national_yearly!$D:$AM, 10, FALSE), 1)</f>
        <v>2.0599479596638895E-2</v>
      </c>
      <c r="D8" s="7">
        <f>$B8 * IFERROR(VLOOKUP("transport|SO2|Asthma symptoms wheeze", US_national_yearly!$D:$AM, 12, FALSE) / VLOOKUP("transport|SO2|Asthma symptoms wheeze", US_national_yearly!$D:$AM, 10, FALSE), 1)</f>
        <v>2.0599479596638895E-2</v>
      </c>
      <c r="E8" s="7">
        <f>$B8 * IFERROR(VLOOKUP("transport|SO2|Asthma symptoms wheeze", US_national_yearly!$D:$AM, 13, FALSE) / VLOOKUP("transport|SO2|Asthma symptoms wheeze", US_national_yearly!$D:$AM, 10, FALSE), 1)</f>
        <v>2.0599479596638895E-2</v>
      </c>
      <c r="F8" s="7">
        <f>$B8 * IFERROR(VLOOKUP("transport|SO2|Asthma symptoms wheeze", US_national_yearly!$D:$AM, 14, FALSE) / VLOOKUP("transport|SO2|Asthma symptoms wheeze", US_national_yearly!$D:$AM, 10, FALSE), 1)</f>
        <v>2.0599479596638895E-2</v>
      </c>
      <c r="G8" s="7">
        <f>$B8 * IFERROR(VLOOKUP("transport|SO2|Asthma symptoms wheeze", US_national_yearly!$D:$AM, 15, FALSE) / VLOOKUP("transport|SO2|Asthma symptoms wheeze", US_national_yearly!$D:$AM, 10, FALSE), 1)</f>
        <v>2.0599479596638895E-2</v>
      </c>
      <c r="H8" s="7">
        <f>$B8 * IFERROR(VLOOKUP("transport|SO2|Asthma symptoms wheeze", US_national_yearly!$D:$AM, 16, FALSE) / VLOOKUP("transport|SO2|Asthma symptoms wheeze", US_national_yearly!$D:$AM, 10, FALSE), 1)</f>
        <v>2.0599479596638895E-2</v>
      </c>
      <c r="I8" s="7">
        <f>$B8 * IFERROR(VLOOKUP("transport|SO2|Asthma symptoms wheeze", US_national_yearly!$D:$AM, 17, FALSE) / VLOOKUP("transport|SO2|Asthma symptoms wheeze", US_national_yearly!$D:$AM, 10, FALSE), 1)</f>
        <v>2.0599479596638895E-2</v>
      </c>
      <c r="J8" s="7">
        <f>$B8 * IFERROR(VLOOKUP("transport|SO2|Asthma symptoms wheeze", US_national_yearly!$D:$AM, 18, FALSE) / VLOOKUP("transport|SO2|Asthma symptoms wheeze", US_national_yearly!$D:$AM, 10, FALSE), 1)</f>
        <v>2.0599479596638895E-2</v>
      </c>
      <c r="K8" s="7">
        <f>$B8 * IFERROR(VLOOKUP("transport|SO2|Asthma symptoms wheeze", US_national_yearly!$D:$AM, 19, FALSE) / VLOOKUP("transport|SO2|Asthma symptoms wheeze", US_national_yearly!$D:$AM, 10, FALSE), 1)</f>
        <v>2.0599479596638895E-2</v>
      </c>
      <c r="L8" s="7">
        <f>$B8 * IFERROR(VLOOKUP("transport|SO2|Asthma symptoms wheeze", US_national_yearly!$D:$AM, 20, FALSE) / VLOOKUP("transport|SO2|Asthma symptoms wheeze", US_national_yearly!$D:$AM, 10, FALSE), 1)</f>
        <v>2.0599479596638895E-2</v>
      </c>
      <c r="M8" s="7">
        <f>$B8 * IFERROR(VLOOKUP("transport|SO2|Asthma symptoms wheeze", US_national_yearly!$D:$AM, 21, FALSE) / VLOOKUP("transport|SO2|Asthma symptoms wheeze", US_national_yearly!$D:$AM, 10, FALSE), 1)</f>
        <v>2.0599479596638895E-2</v>
      </c>
      <c r="N8" s="7">
        <f>$B8 * IFERROR(VLOOKUP("transport|SO2|Asthma symptoms wheeze", US_national_yearly!$D:$AM, 22, FALSE) / VLOOKUP("transport|SO2|Asthma symptoms wheeze", US_national_yearly!$D:$AM, 10, FALSE), 1)</f>
        <v>2.0599479596638895E-2</v>
      </c>
      <c r="O8" s="7">
        <f>$B8 * IFERROR(VLOOKUP("transport|SO2|Asthma symptoms wheeze", US_national_yearly!$D:$AM, 23, FALSE) / VLOOKUP("transport|SO2|Asthma symptoms wheeze", US_national_yearly!$D:$AM, 10, FALSE), 1)</f>
        <v>2.0599479596638895E-2</v>
      </c>
      <c r="P8" s="7">
        <f>$B8 * IFERROR(VLOOKUP("transport|SO2|Asthma symptoms wheeze", US_national_yearly!$D:$AM, 24, FALSE) / VLOOKUP("transport|SO2|Asthma symptoms wheeze", US_national_yearly!$D:$AM, 10, FALSE), 1)</f>
        <v>2.0599479596638895E-2</v>
      </c>
      <c r="Q8" s="7">
        <f>$B8 * IFERROR(VLOOKUP("transport|SO2|Asthma symptoms wheeze", US_national_yearly!$D:$AM, 25, FALSE) / VLOOKUP("transport|SO2|Asthma symptoms wheeze", US_national_yearly!$D:$AM, 10, FALSE), 1)</f>
        <v>2.0599479596638895E-2</v>
      </c>
      <c r="R8" s="7">
        <f>$B8 * IFERROR(VLOOKUP("transport|SO2|Asthma symptoms wheeze", US_national_yearly!$D:$AM, 26, FALSE) / VLOOKUP("transport|SO2|Asthma symptoms wheeze", US_national_yearly!$D:$AM, 10, FALSE), 1)</f>
        <v>2.0599479596638895E-2</v>
      </c>
      <c r="S8" s="7">
        <f>$B8 * IFERROR(VLOOKUP("transport|SO2|Asthma symptoms wheeze", US_national_yearly!$D:$AM, 27, FALSE) / VLOOKUP("transport|SO2|Asthma symptoms wheeze", US_national_yearly!$D:$AM, 10, FALSE), 1)</f>
        <v>2.0599479596638895E-2</v>
      </c>
      <c r="T8" s="7">
        <f>$B8 * IFERROR(VLOOKUP("transport|SO2|Asthma symptoms wheeze", US_national_yearly!$D:$AM, 28, FALSE) / VLOOKUP("transport|SO2|Asthma symptoms wheeze", US_national_yearly!$D:$AM, 10, FALSE), 1)</f>
        <v>2.0599479596638895E-2</v>
      </c>
      <c r="U8" s="7">
        <f>$B8 * IFERROR(VLOOKUP("transport|SO2|Asthma symptoms wheeze", US_national_yearly!$D:$AM, 29, FALSE) / VLOOKUP("transport|SO2|Asthma symptoms wheeze", US_national_yearly!$D:$AM, 10, FALSE), 1)</f>
        <v>2.0599479596638895E-2</v>
      </c>
      <c r="V8" s="7">
        <f>$B8 * IFERROR(VLOOKUP("transport|SO2|Asthma symptoms wheeze", US_national_yearly!$D:$AM, 30, FALSE) / VLOOKUP("transport|SO2|Asthma symptoms wheeze", US_national_yearly!$D:$AM, 10, FALSE), 1)</f>
        <v>2.0599479596638895E-2</v>
      </c>
      <c r="W8" s="7">
        <f>$B8 * IFERROR(VLOOKUP("transport|SO2|Asthma symptoms wheeze", US_national_yearly!$D:$AM, 31, FALSE) / VLOOKUP("transport|SO2|Asthma symptoms wheeze", US_national_yearly!$D:$AM, 10, FALSE), 1)</f>
        <v>2.0599479596638895E-2</v>
      </c>
      <c r="X8" s="7">
        <f>$B8 * IFERROR(VLOOKUP("transport|SO2|Asthma symptoms wheeze", US_national_yearly!$D:$AM, 32, FALSE) / VLOOKUP("transport|SO2|Asthma symptoms wheeze", US_national_yearly!$D:$AM, 10, FALSE), 1)</f>
        <v>2.0599479596638895E-2</v>
      </c>
      <c r="Y8" s="7">
        <f>$B8 * IFERROR(VLOOKUP("transport|SO2|Asthma symptoms wheeze", US_national_yearly!$D:$AM, 33, FALSE) / VLOOKUP("transport|SO2|Asthma symptoms wheeze", US_national_yearly!$D:$AM, 10, FALSE), 1)</f>
        <v>2.0599479596638895E-2</v>
      </c>
      <c r="Z8" s="7">
        <f>$B8 * IFERROR(VLOOKUP("transport|SO2|Asthma symptoms wheeze", US_national_yearly!$D:$AM, 34, FALSE) / VLOOKUP("transport|SO2|Asthma symptoms wheeze", US_national_yearly!$D:$AM, 10, FALSE), 1)</f>
        <v>2.0599479596638895E-2</v>
      </c>
      <c r="AA8" s="7">
        <f>$B8 * IFERROR(VLOOKUP("transport|SO2|Asthma symptoms wheeze", US_national_yearly!$D:$AM, 35, FALSE) / VLOOKUP("transport|SO2|Asthma symptoms wheeze", US_national_yearly!$D:$AM, 10, FALSE), 1)</f>
        <v>2.0599479596638895E-2</v>
      </c>
      <c r="AB8" s="7">
        <f>$B8 * IFERROR(VLOOKUP("transport|SO2|Asthma symptoms wheeze", US_national_yearly!$D:$AM, 36, FALSE) / VLOOKUP("transport|SO2|Asthma symptoms wheeze", US_national_yearly!$D:$AM, 10, FALSE), 1)</f>
        <v>2.0599479596638895E-2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1.9177886413942791E-4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1.9290998541055362E-4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1.9404110668167935E-4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1.9517222795280506E-4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1.963033492239308E-4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1.9753646219680779E-4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1.9876957516968478E-4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1.9998557138046542E-4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2.0120156759124608E-4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2.0241756380202667E-4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2.0363356001280736E-4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2.0484955622358794E-4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2.0573719592136003E-4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2.0662483561913205E-4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2.0751247531690408E-4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2.0840011501467617E-4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2.0928775471244822E-4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2.1013449525530265E-4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2.1098123579815707E-4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2.118279763410115E-4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2.1267471688386595E-4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2.1352145742672041E-4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2.1432487518361298E-4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2.1512829294050557E-4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2.1593171069739817E-4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2.1673512845429073E-4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2.1753854621118336E-4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1.2520233773765186E-3</v>
      </c>
      <c r="C13" s="7">
        <f>$B13 * IFERROR(VLOOKUP("transport|SO2|Non-fatal heart attacks", US_national_yearly!$D:$AM, 11, FALSE) / VLOOKUP("transport|SO2|Non-fatal heart attacks", US_national_yearly!$D:$AM, 10, FALSE), 1)</f>
        <v>1.2887782361380381E-3</v>
      </c>
      <c r="D13" s="7">
        <f>$B13 * IFERROR(VLOOKUP("transport|SO2|Non-fatal heart attacks", US_national_yearly!$D:$AM, 12, FALSE) / VLOOKUP("transport|SO2|Non-fatal heart attacks", US_national_yearly!$D:$AM, 10, FALSE), 1)</f>
        <v>1.3255330948995579E-3</v>
      </c>
      <c r="E13" s="7">
        <f>$B13 * IFERROR(VLOOKUP("transport|SO2|Non-fatal heart attacks", US_national_yearly!$D:$AM, 13, FALSE) / VLOOKUP("transport|SO2|Non-fatal heart attacks", US_national_yearly!$D:$AM, 10, FALSE), 1)</f>
        <v>1.3622879536610774E-3</v>
      </c>
      <c r="F13" s="7">
        <f>$B13 * IFERROR(VLOOKUP("transport|SO2|Non-fatal heart attacks", US_national_yearly!$D:$AM, 14, FALSE) / VLOOKUP("transport|SO2|Non-fatal heart attacks", US_national_yearly!$D:$AM, 10, FALSE), 1)</f>
        <v>1.3990428124225969E-3</v>
      </c>
      <c r="G13" s="7">
        <f>$B13 * IFERROR(VLOOKUP("transport|SO2|Non-fatal heart attacks", US_national_yearly!$D:$AM, 15, FALSE) / VLOOKUP("transport|SO2|Non-fatal heart attacks", US_national_yearly!$D:$AM, 10, FALSE), 1)</f>
        <v>1.4337060534561289E-3</v>
      </c>
      <c r="H13" s="7">
        <f>$B13 * IFERROR(VLOOKUP("transport|SO2|Non-fatal heart attacks", US_national_yearly!$D:$AM, 16, FALSE) / VLOOKUP("transport|SO2|Non-fatal heart attacks", US_national_yearly!$D:$AM, 10, FALSE), 1)</f>
        <v>1.4683692944896607E-3</v>
      </c>
      <c r="I13" s="7">
        <f>$B13 * IFERROR(VLOOKUP("transport|SO2|Non-fatal heart attacks", US_national_yearly!$D:$AM, 17, FALSE) / VLOOKUP("transport|SO2|Non-fatal heart attacks", US_national_yearly!$D:$AM, 10, FALSE), 1)</f>
        <v>1.4962623370981516E-3</v>
      </c>
      <c r="J13" s="7">
        <f>$B13 * IFERROR(VLOOKUP("transport|SO2|Non-fatal heart attacks", US_national_yearly!$D:$AM, 18, FALSE) / VLOOKUP("transport|SO2|Non-fatal heart attacks", US_national_yearly!$D:$AM, 10, FALSE), 1)</f>
        <v>1.5241553797066428E-3</v>
      </c>
      <c r="K13" s="7">
        <f>$B13 * IFERROR(VLOOKUP("transport|SO2|Non-fatal heart attacks", US_national_yearly!$D:$AM, 19, FALSE) / VLOOKUP("transport|SO2|Non-fatal heart attacks", US_national_yearly!$D:$AM, 10, FALSE), 1)</f>
        <v>1.5520484223151337E-3</v>
      </c>
      <c r="L13" s="7">
        <f>$B13 * IFERROR(VLOOKUP("transport|SO2|Non-fatal heart attacks", US_national_yearly!$D:$AM, 20, FALSE) / VLOOKUP("transport|SO2|Non-fatal heart attacks", US_national_yearly!$D:$AM, 10, FALSE), 1)</f>
        <v>1.5799414649236251E-3</v>
      </c>
      <c r="M13" s="7">
        <f>$B13 * IFERROR(VLOOKUP("transport|SO2|Non-fatal heart attacks", US_national_yearly!$D:$AM, 21, FALSE) / VLOOKUP("transport|SO2|Non-fatal heart attacks", US_national_yearly!$D:$AM, 10, FALSE), 1)</f>
        <v>1.6078345075321162E-3</v>
      </c>
      <c r="N13" s="7">
        <f>$B13 * IFERROR(VLOOKUP("transport|SO2|Non-fatal heart attacks", US_national_yearly!$D:$AM, 22, FALSE) / VLOOKUP("transport|SO2|Non-fatal heart attacks", US_national_yearly!$D:$AM, 10, FALSE), 1)</f>
        <v>1.6259457970904743E-3</v>
      </c>
      <c r="O13" s="7">
        <f>$B13 * IFERROR(VLOOKUP("transport|SO2|Non-fatal heart attacks", US_national_yearly!$D:$AM, 23, FALSE) / VLOOKUP("transport|SO2|Non-fatal heart attacks", US_national_yearly!$D:$AM, 10, FALSE), 1)</f>
        <v>1.6440570866488331E-3</v>
      </c>
      <c r="P13" s="7">
        <f>$B13 * IFERROR(VLOOKUP("transport|SO2|Non-fatal heart attacks", US_national_yearly!$D:$AM, 24, FALSE) / VLOOKUP("transport|SO2|Non-fatal heart attacks", US_national_yearly!$D:$AM, 10, FALSE), 1)</f>
        <v>1.6621683762071918E-3</v>
      </c>
      <c r="Q13" s="7">
        <f>$B13 * IFERROR(VLOOKUP("transport|SO2|Non-fatal heart attacks", US_national_yearly!$D:$AM, 25, FALSE) / VLOOKUP("transport|SO2|Non-fatal heart attacks", US_national_yearly!$D:$AM, 10, FALSE), 1)</f>
        <v>1.6802796657655501E-3</v>
      </c>
      <c r="R13" s="7">
        <f>$B13 * IFERROR(VLOOKUP("transport|SO2|Non-fatal heart attacks", US_national_yearly!$D:$AM, 26, FALSE) / VLOOKUP("transport|SO2|Non-fatal heart attacks", US_national_yearly!$D:$AM, 10, FALSE), 1)</f>
        <v>1.6983909553239087E-3</v>
      </c>
      <c r="S13" s="7">
        <f>$B13 * IFERROR(VLOOKUP("transport|SO2|Non-fatal heart attacks", US_national_yearly!$D:$AM, 27, FALSE) / VLOOKUP("transport|SO2|Non-fatal heart attacks", US_national_yearly!$D:$AM, 10, FALSE), 1)</f>
        <v>1.7078467577301445E-3</v>
      </c>
      <c r="T13" s="7">
        <f>$B13 * IFERROR(VLOOKUP("transport|SO2|Non-fatal heart attacks", US_national_yearly!$D:$AM, 28, FALSE) / VLOOKUP("transport|SO2|Non-fatal heart attacks", US_national_yearly!$D:$AM, 10, FALSE), 1)</f>
        <v>1.7173025601363806E-3</v>
      </c>
      <c r="U13" s="7">
        <f>$B13 * IFERROR(VLOOKUP("transport|SO2|Non-fatal heart attacks", US_national_yearly!$D:$AM, 29, FALSE) / VLOOKUP("transport|SO2|Non-fatal heart attacks", US_national_yearly!$D:$AM, 10, FALSE), 1)</f>
        <v>1.7267583625426163E-3</v>
      </c>
      <c r="V13" s="7">
        <f>$B13 * IFERROR(VLOOKUP("transport|SO2|Non-fatal heart attacks", US_national_yearly!$D:$AM, 30, FALSE) / VLOOKUP("transport|SO2|Non-fatal heart attacks", US_national_yearly!$D:$AM, 10, FALSE), 1)</f>
        <v>1.7362141649488519E-3</v>
      </c>
      <c r="W13" s="7">
        <f>$B13 * IFERROR(VLOOKUP("transport|SO2|Non-fatal heart attacks", US_national_yearly!$D:$AM, 31, FALSE) / VLOOKUP("transport|SO2|Non-fatal heart attacks", US_national_yearly!$D:$AM, 10, FALSE), 1)</f>
        <v>1.745669967355088E-3</v>
      </c>
      <c r="X13" s="7">
        <f>$B13 * IFERROR(VLOOKUP("transport|SO2|Non-fatal heart attacks", US_national_yearly!$D:$AM, 32, FALSE) / VLOOKUP("transport|SO2|Non-fatal heart attacks", US_national_yearly!$D:$AM, 10, FALSE), 1)</f>
        <v>1.7528082710363436E-3</v>
      </c>
      <c r="Y13" s="7">
        <f>$B13 * IFERROR(VLOOKUP("transport|SO2|Non-fatal heart attacks", US_national_yearly!$D:$AM, 33, FALSE) / VLOOKUP("transport|SO2|Non-fatal heart attacks", US_national_yearly!$D:$AM, 10, FALSE), 1)</f>
        <v>1.7599465747175991E-3</v>
      </c>
      <c r="Z13" s="7">
        <f>$B13 * IFERROR(VLOOKUP("transport|SO2|Non-fatal heart attacks", US_national_yearly!$D:$AM, 34, FALSE) / VLOOKUP("transport|SO2|Non-fatal heart attacks", US_national_yearly!$D:$AM, 10, FALSE), 1)</f>
        <v>1.7670848783988547E-3</v>
      </c>
      <c r="AA13" s="7">
        <f>$B13 * IFERROR(VLOOKUP("transport|SO2|Non-fatal heart attacks", US_national_yearly!$D:$AM, 35, FALSE) / VLOOKUP("transport|SO2|Non-fatal heart attacks", US_national_yearly!$D:$AM, 10, FALSE), 1)</f>
        <v>1.7742231820801102E-3</v>
      </c>
      <c r="AB13" s="7">
        <f>$B13 * IFERROR(VLOOKUP("transport|SO2|Non-fatal heart attacks", US_national_yearly!$D:$AM, 36, FALSE) / VLOOKUP("transport|SO2|Non-fatal heart attacks", US_national_yearly!$D:$AM, 10, FALSE), 1)</f>
        <v>1.7813614857613658E-3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1.3472147202887093</v>
      </c>
      <c r="C14" s="7">
        <f>$B14 * IFERROR(VLOOKUP("transport|SO2|Minor restricted activity days", US_national_yearly!$D:$AM, 11, FALSE) / VLOOKUP("transport|SO2|Minor restricted activity days", US_national_yearly!$D:$AM, 10, FALSE), 1)</f>
        <v>1.3506105997169557</v>
      </c>
      <c r="D14" s="7">
        <f>$B14 * IFERROR(VLOOKUP("transport|SO2|Minor restricted activity days", US_national_yearly!$D:$AM, 12, FALSE) / VLOOKUP("transport|SO2|Minor restricted activity days", US_national_yearly!$D:$AM, 10, FALSE), 1)</f>
        <v>1.3540064791452018</v>
      </c>
      <c r="E14" s="7">
        <f>$B14 * IFERROR(VLOOKUP("transport|SO2|Minor restricted activity days", US_national_yearly!$D:$AM, 13, FALSE) / VLOOKUP("transport|SO2|Minor restricted activity days", US_national_yearly!$D:$AM, 10, FALSE), 1)</f>
        <v>1.3574023585734483</v>
      </c>
      <c r="F14" s="7">
        <f>$B14 * IFERROR(VLOOKUP("transport|SO2|Minor restricted activity days", US_national_yearly!$D:$AM, 14, FALSE) / VLOOKUP("transport|SO2|Minor restricted activity days", US_national_yearly!$D:$AM, 10, FALSE), 1)</f>
        <v>1.3607982380016943</v>
      </c>
      <c r="G14" s="7">
        <f>$B14 * IFERROR(VLOOKUP("transport|SO2|Minor restricted activity days", US_national_yearly!$D:$AM, 15, FALSE) / VLOOKUP("transport|SO2|Minor restricted activity days", US_national_yearly!$D:$AM, 10, FALSE), 1)</f>
        <v>1.3657966389070149</v>
      </c>
      <c r="H14" s="7">
        <f>$B14 * IFERROR(VLOOKUP("transport|SO2|Minor restricted activity days", US_national_yearly!$D:$AM, 16, FALSE) / VLOOKUP("transport|SO2|Minor restricted activity days", US_national_yearly!$D:$AM, 10, FALSE), 1)</f>
        <v>1.3707950398123356</v>
      </c>
      <c r="I14" s="7">
        <f>$B14 * IFERROR(VLOOKUP("transport|SO2|Minor restricted activity days", US_national_yearly!$D:$AM, 17, FALSE) / VLOOKUP("transport|SO2|Minor restricted activity days", US_national_yearly!$D:$AM, 10, FALSE), 1)</f>
        <v>1.3793193466508085</v>
      </c>
      <c r="J14" s="7">
        <f>$B14 * IFERROR(VLOOKUP("transport|SO2|Minor restricted activity days", US_national_yearly!$D:$AM, 18, FALSE) / VLOOKUP("transport|SO2|Minor restricted activity days", US_national_yearly!$D:$AM, 10, FALSE), 1)</f>
        <v>1.3878436534892813</v>
      </c>
      <c r="K14" s="7">
        <f>$B14 * IFERROR(VLOOKUP("transport|SO2|Minor restricted activity days", US_national_yearly!$D:$AM, 19, FALSE) / VLOOKUP("transport|SO2|Minor restricted activity days", US_national_yearly!$D:$AM, 10, FALSE), 1)</f>
        <v>1.3963679603277546</v>
      </c>
      <c r="L14" s="7">
        <f>$B14 * IFERROR(VLOOKUP("transport|SO2|Minor restricted activity days", US_national_yearly!$D:$AM, 20, FALSE) / VLOOKUP("transport|SO2|Minor restricted activity days", US_national_yearly!$D:$AM, 10, FALSE), 1)</f>
        <v>1.4048922671662274</v>
      </c>
      <c r="M14" s="7">
        <f>$B14 * IFERROR(VLOOKUP("transport|SO2|Minor restricted activity days", US_national_yearly!$D:$AM, 21, FALSE) / VLOOKUP("transport|SO2|Minor restricted activity days", US_national_yearly!$D:$AM, 10, FALSE), 1)</f>
        <v>1.4134165740047002</v>
      </c>
      <c r="N14" s="7">
        <f>$B14 * IFERROR(VLOOKUP("transport|SO2|Minor restricted activity days", US_national_yearly!$D:$AM, 22, FALSE) / VLOOKUP("transport|SO2|Minor restricted activity days", US_national_yearly!$D:$AM, 10, FALSE), 1)</f>
        <v>1.4250764579581643</v>
      </c>
      <c r="O14" s="7">
        <f>$B14 * IFERROR(VLOOKUP("transport|SO2|Minor restricted activity days", US_national_yearly!$D:$AM, 23, FALSE) / VLOOKUP("transport|SO2|Minor restricted activity days", US_national_yearly!$D:$AM, 10, FALSE), 1)</f>
        <v>1.4367363419116284</v>
      </c>
      <c r="P14" s="7">
        <f>$B14 * IFERROR(VLOOKUP("transport|SO2|Minor restricted activity days", US_national_yearly!$D:$AM, 24, FALSE) / VLOOKUP("transport|SO2|Minor restricted activity days", US_national_yearly!$D:$AM, 10, FALSE), 1)</f>
        <v>1.4483962258650924</v>
      </c>
      <c r="Q14" s="7">
        <f>$B14 * IFERROR(VLOOKUP("transport|SO2|Minor restricted activity days", US_national_yearly!$D:$AM, 25, FALSE) / VLOOKUP("transport|SO2|Minor restricted activity days", US_national_yearly!$D:$AM, 10, FALSE), 1)</f>
        <v>1.4600561098185565</v>
      </c>
      <c r="R14" s="7">
        <f>$B14 * IFERROR(VLOOKUP("transport|SO2|Minor restricted activity days", US_national_yearly!$D:$AM, 26, FALSE) / VLOOKUP("transport|SO2|Minor restricted activity days", US_national_yearly!$D:$AM, 10, FALSE), 1)</f>
        <v>1.4717159937720206</v>
      </c>
      <c r="S14" s="7">
        <f>$B14 * IFERROR(VLOOKUP("transport|SO2|Minor restricted activity days", US_national_yearly!$D:$AM, 27, FALSE) / VLOOKUP("transport|SO2|Minor restricted activity days", US_national_yearly!$D:$AM, 10, FALSE), 1)</f>
        <v>1.4836043866611832</v>
      </c>
      <c r="T14" s="7">
        <f>$B14 * IFERROR(VLOOKUP("transport|SO2|Minor restricted activity days", US_national_yearly!$D:$AM, 28, FALSE) / VLOOKUP("transport|SO2|Minor restricted activity days", US_national_yearly!$D:$AM, 10, FALSE), 1)</f>
        <v>1.4954927795503461</v>
      </c>
      <c r="U14" s="7">
        <f>$B14 * IFERROR(VLOOKUP("transport|SO2|Minor restricted activity days", US_national_yearly!$D:$AM, 29, FALSE) / VLOOKUP("transport|SO2|Minor restricted activity days", US_national_yearly!$D:$AM, 10, FALSE), 1)</f>
        <v>1.5073811724395088</v>
      </c>
      <c r="V14" s="7">
        <f>$B14 * IFERROR(VLOOKUP("transport|SO2|Minor restricted activity days", US_national_yearly!$D:$AM, 30, FALSE) / VLOOKUP("transport|SO2|Minor restricted activity days", US_national_yearly!$D:$AM, 10, FALSE), 1)</f>
        <v>1.5192695653286716</v>
      </c>
      <c r="W14" s="7">
        <f>$B14 * IFERROR(VLOOKUP("transport|SO2|Minor restricted activity days", US_national_yearly!$D:$AM, 31, FALSE) / VLOOKUP("transport|SO2|Minor restricted activity days", US_national_yearly!$D:$AM, 10, FALSE), 1)</f>
        <v>1.5311579582178347</v>
      </c>
      <c r="X14" s="7">
        <f>$B14 * IFERROR(VLOOKUP("transport|SO2|Minor restricted activity days", US_national_yearly!$D:$AM, 32, FALSE) / VLOOKUP("transport|SO2|Minor restricted activity days", US_national_yearly!$D:$AM, 10, FALSE), 1)</f>
        <v>1.541612852391895</v>
      </c>
      <c r="Y14" s="7">
        <f>$B14 * IFERROR(VLOOKUP("transport|SO2|Minor restricted activity days", US_national_yearly!$D:$AM, 33, FALSE) / VLOOKUP("transport|SO2|Minor restricted activity days", US_national_yearly!$D:$AM, 10, FALSE), 1)</f>
        <v>1.5520677465659554</v>
      </c>
      <c r="Z14" s="7">
        <f>$B14 * IFERROR(VLOOKUP("transport|SO2|Minor restricted activity days", US_national_yearly!$D:$AM, 34, FALSE) / VLOOKUP("transport|SO2|Minor restricted activity days", US_national_yearly!$D:$AM, 10, FALSE), 1)</f>
        <v>1.5625226407400159</v>
      </c>
      <c r="AA14" s="7">
        <f>$B14 * IFERROR(VLOOKUP("transport|SO2|Minor restricted activity days", US_national_yearly!$D:$AM, 35, FALSE) / VLOOKUP("transport|SO2|Minor restricted activity days", US_national_yearly!$D:$AM, 10, FALSE), 1)</f>
        <v>1.5729775349140762</v>
      </c>
      <c r="AB14" s="7">
        <f>$B14 * IFERROR(VLOOKUP("transport|SO2|Minor restricted activity days", US_national_yearly!$D:$AM, 36, FALSE) / VLOOKUP("transport|SO2|Minor restricted activity days", US_national_yearly!$D:$AM, 10, FALSE), 1)</f>
        <v>1.5834324290881368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0.23222789873206068</v>
      </c>
      <c r="C15" s="7">
        <f>$B15 * IFERROR(VLOOKUP("transport|SO2|Work loss days", US_national_yearly!$D:$AM, 11, FALSE) / VLOOKUP("transport|SO2|Work loss days", US_national_yearly!$D:$AM, 10, FALSE), 1)</f>
        <v>0.23298028021459286</v>
      </c>
      <c r="D15" s="7">
        <f>$B15 * IFERROR(VLOOKUP("transport|SO2|Work loss days", US_national_yearly!$D:$AM, 12, FALSE) / VLOOKUP("transport|SO2|Work loss days", US_national_yearly!$D:$AM, 10, FALSE), 1)</f>
        <v>0.23373266169712503</v>
      </c>
      <c r="E15" s="7">
        <f>$B15 * IFERROR(VLOOKUP("transport|SO2|Work loss days", US_national_yearly!$D:$AM, 13, FALSE) / VLOOKUP("transport|SO2|Work loss days", US_national_yearly!$D:$AM, 10, FALSE), 1)</f>
        <v>0.23448504317965721</v>
      </c>
      <c r="F15" s="7">
        <f>$B15 * IFERROR(VLOOKUP("transport|SO2|Work loss days", US_national_yearly!$D:$AM, 14, FALSE) / VLOOKUP("transport|SO2|Work loss days", US_national_yearly!$D:$AM, 10, FALSE), 1)</f>
        <v>0.23523742466218939</v>
      </c>
      <c r="G15" s="7">
        <f>$B15 * IFERROR(VLOOKUP("transport|SO2|Work loss days", US_national_yearly!$D:$AM, 15, FALSE) / VLOOKUP("transport|SO2|Work loss days", US_national_yearly!$D:$AM, 10, FALSE), 1)</f>
        <v>0.23622050312887613</v>
      </c>
      <c r="H15" s="7">
        <f>$B15 * IFERROR(VLOOKUP("transport|SO2|Work loss days", US_national_yearly!$D:$AM, 16, FALSE) / VLOOKUP("transport|SO2|Work loss days", US_national_yearly!$D:$AM, 10, FALSE), 1)</f>
        <v>0.23720358159556282</v>
      </c>
      <c r="I15" s="7">
        <f>$B15 * IFERROR(VLOOKUP("transport|SO2|Work loss days", US_national_yearly!$D:$AM, 17, FALSE) / VLOOKUP("transport|SO2|Work loss days", US_national_yearly!$D:$AM, 10, FALSE), 1)</f>
        <v>0.23864169342356215</v>
      </c>
      <c r="J15" s="7">
        <f>$B15 * IFERROR(VLOOKUP("transport|SO2|Work loss days", US_national_yearly!$D:$AM, 18, FALSE) / VLOOKUP("transport|SO2|Work loss days", US_national_yearly!$D:$AM, 10, FALSE), 1)</f>
        <v>0.24007980525156145</v>
      </c>
      <c r="K15" s="7">
        <f>$B15 * IFERROR(VLOOKUP("transport|SO2|Work loss days", US_national_yearly!$D:$AM, 19, FALSE) / VLOOKUP("transport|SO2|Work loss days", US_national_yearly!$D:$AM, 10, FALSE), 1)</f>
        <v>0.24151791707956077</v>
      </c>
      <c r="L15" s="7">
        <f>$B15 * IFERROR(VLOOKUP("transport|SO2|Work loss days", US_national_yearly!$D:$AM, 20, FALSE) / VLOOKUP("transport|SO2|Work loss days", US_national_yearly!$D:$AM, 10, FALSE), 1)</f>
        <v>0.24295602890756013</v>
      </c>
      <c r="M15" s="7">
        <f>$B15 * IFERROR(VLOOKUP("transport|SO2|Work loss days", US_national_yearly!$D:$AM, 21, FALSE) / VLOOKUP("transport|SO2|Work loss days", US_national_yearly!$D:$AM, 10, FALSE), 1)</f>
        <v>0.24439414073555946</v>
      </c>
      <c r="N15" s="7">
        <f>$B15 * IFERROR(VLOOKUP("transport|SO2|Work loss days", US_national_yearly!$D:$AM, 22, FALSE) / VLOOKUP("transport|SO2|Work loss days", US_national_yearly!$D:$AM, 10, FALSE), 1)</f>
        <v>0.24619729992101744</v>
      </c>
      <c r="O15" s="7">
        <f>$B15 * IFERROR(VLOOKUP("transport|SO2|Work loss days", US_national_yearly!$D:$AM, 23, FALSE) / VLOOKUP("transport|SO2|Work loss days", US_national_yearly!$D:$AM, 10, FALSE), 1)</f>
        <v>0.24800045910647545</v>
      </c>
      <c r="P15" s="7">
        <f>$B15 * IFERROR(VLOOKUP("transport|SO2|Work loss days", US_national_yearly!$D:$AM, 24, FALSE) / VLOOKUP("transport|SO2|Work loss days", US_national_yearly!$D:$AM, 10, FALSE), 1)</f>
        <v>0.24980361829193337</v>
      </c>
      <c r="Q15" s="7">
        <f>$B15 * IFERROR(VLOOKUP("transport|SO2|Work loss days", US_national_yearly!$D:$AM, 25, FALSE) / VLOOKUP("transport|SO2|Work loss days", US_national_yearly!$D:$AM, 10, FALSE), 1)</f>
        <v>0.25160677747739135</v>
      </c>
      <c r="R15" s="7">
        <f>$B15 * IFERROR(VLOOKUP("transport|SO2|Work loss days", US_national_yearly!$D:$AM, 26, FALSE) / VLOOKUP("transport|SO2|Work loss days", US_national_yearly!$D:$AM, 10, FALSE), 1)</f>
        <v>0.25340993666284939</v>
      </c>
      <c r="S15" s="7">
        <f>$B15 * IFERROR(VLOOKUP("transport|SO2|Work loss days", US_national_yearly!$D:$AM, 27, FALSE) / VLOOKUP("transport|SO2|Work loss days", US_national_yearly!$D:$AM, 10, FALSE), 1)</f>
        <v>0.25542496110765878</v>
      </c>
      <c r="T15" s="7">
        <f>$B15 * IFERROR(VLOOKUP("transport|SO2|Work loss days", US_national_yearly!$D:$AM, 28, FALSE) / VLOOKUP("transport|SO2|Work loss days", US_national_yearly!$D:$AM, 10, FALSE), 1)</f>
        <v>0.25743998555246822</v>
      </c>
      <c r="U15" s="7">
        <f>$B15 * IFERROR(VLOOKUP("transport|SO2|Work loss days", US_national_yearly!$D:$AM, 29, FALSE) / VLOOKUP("transport|SO2|Work loss days", US_national_yearly!$D:$AM, 10, FALSE), 1)</f>
        <v>0.25945500999727761</v>
      </c>
      <c r="V15" s="7">
        <f>$B15 * IFERROR(VLOOKUP("transport|SO2|Work loss days", US_national_yearly!$D:$AM, 30, FALSE) / VLOOKUP("transport|SO2|Work loss days", US_national_yearly!$D:$AM, 10, FALSE), 1)</f>
        <v>0.261470034442087</v>
      </c>
      <c r="W15" s="7">
        <f>$B15 * IFERROR(VLOOKUP("transport|SO2|Work loss days", US_national_yearly!$D:$AM, 31, FALSE) / VLOOKUP("transport|SO2|Work loss days", US_national_yearly!$D:$AM, 10, FALSE), 1)</f>
        <v>0.26348505888689644</v>
      </c>
      <c r="X15" s="7">
        <f>$B15 * IFERROR(VLOOKUP("transport|SO2|Work loss days", US_national_yearly!$D:$AM, 32, FALSE) / VLOOKUP("transport|SO2|Work loss days", US_national_yearly!$D:$AM, 10, FALSE), 1)</f>
        <v>0.26529427309418591</v>
      </c>
      <c r="Y15" s="7">
        <f>$B15 * IFERROR(VLOOKUP("transport|SO2|Work loss days", US_national_yearly!$D:$AM, 33, FALSE) / VLOOKUP("transport|SO2|Work loss days", US_national_yearly!$D:$AM, 10, FALSE), 1)</f>
        <v>0.26710348730147537</v>
      </c>
      <c r="Z15" s="7">
        <f>$B15 * IFERROR(VLOOKUP("transport|SO2|Work loss days", US_national_yearly!$D:$AM, 34, FALSE) / VLOOKUP("transport|SO2|Work loss days", US_national_yearly!$D:$AM, 10, FALSE), 1)</f>
        <v>0.2689127015087649</v>
      </c>
      <c r="AA15" s="7">
        <f>$B15 * IFERROR(VLOOKUP("transport|SO2|Work loss days", US_national_yearly!$D:$AM, 35, FALSE) / VLOOKUP("transport|SO2|Work loss days", US_national_yearly!$D:$AM, 10, FALSE), 1)</f>
        <v>0.27072191571605442</v>
      </c>
      <c r="AB15" s="7">
        <f>$B15 * IFERROR(VLOOKUP("transport|SO2|Work loss days", US_national_yearly!$D:$AM, 36, FALSE) / VLOOKUP("transport|SO2|Work loss days", US_national_yearly!$D:$AM, 10, FALSE), 1)</f>
        <v>0.27253112992334394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2.3355515511354796E-4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2.4061875738537743E-4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2.4768235965720689E-4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2.5474596192903639E-4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2.6180956420086593E-4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2.6857582353368391E-4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2.7534208286650189E-4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2.8113944669074485E-4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2.8693681051498781E-4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2.9273417433923078E-4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2.9853153816347368E-4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3.0432890198771659E-4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3.0822340989742687E-4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3.1211791780713703E-4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3.1601242571684725E-4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3.1990693362655742E-4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3.2380144153626764E-4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3.2584967540755309E-4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3.2789790927883848E-4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3.2994614315012388E-4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3.3199437702140927E-4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3.3404261089269472E-4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3.3541765799992729E-4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3.3679270510715993E-4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3.381677522143925E-4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3.3954279932162519E-4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3.4091784642885771E-4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8.4566590454370795E-3</v>
      </c>
      <c r="C2" s="7">
        <f>$B2 * IFERROR(VLOOKUP("electricity|PM25|Premature mortality", US_national_yearly!$D:$AM, 11, FALSE) / VLOOKUP("electricity|PM25|Premature mortality", US_national_yearly!$D:$AM, 10, FALSE), 1)</f>
        <v>8.5614052348411841E-3</v>
      </c>
      <c r="D2" s="7">
        <f>$B2 * IFERROR(VLOOKUP("electricity|PM25|Premature mortality", US_national_yearly!$D:$AM, 12, FALSE) / VLOOKUP("electricity|PM25|Premature mortality", US_national_yearly!$D:$AM, 10, FALSE), 1)</f>
        <v>8.6661514242452886E-3</v>
      </c>
      <c r="E2" s="7">
        <f>$B2 * IFERROR(VLOOKUP("electricity|PM25|Premature mortality", US_national_yearly!$D:$AM, 13, FALSE) / VLOOKUP("electricity|PM25|Premature mortality", US_national_yearly!$D:$AM, 10, FALSE), 1)</f>
        <v>8.7708976136493932E-3</v>
      </c>
      <c r="F2" s="7">
        <f>$B2 * IFERROR(VLOOKUP("electricity|PM25|Premature mortality", US_national_yearly!$D:$AM, 14, FALSE) / VLOOKUP("electricity|PM25|Premature mortality", US_national_yearly!$D:$AM, 10, FALSE), 1)</f>
        <v>8.8756438030534995E-3</v>
      </c>
      <c r="G2" s="7">
        <f>$B2 * IFERROR(VLOOKUP("electricity|PM25|Premature mortality", US_national_yearly!$D:$AM, 15, FALSE) / VLOOKUP("electricity|PM25|Premature mortality", US_national_yearly!$D:$AM, 10, FALSE), 1)</f>
        <v>9.0813708896209672E-3</v>
      </c>
      <c r="H2" s="7">
        <f>$B2 * IFERROR(VLOOKUP("electricity|PM25|Premature mortality", US_national_yearly!$D:$AM, 16, FALSE) / VLOOKUP("electricity|PM25|Premature mortality", US_national_yearly!$D:$AM, 10, FALSE), 1)</f>
        <v>9.2870979761884367E-3</v>
      </c>
      <c r="I2" s="7">
        <f>$B2 * IFERROR(VLOOKUP("electricity|PM25|Premature mortality", US_national_yearly!$D:$AM, 17, FALSE) / VLOOKUP("electricity|PM25|Premature mortality", US_national_yearly!$D:$AM, 10, FALSE), 1)</f>
        <v>9.4253277531756805E-3</v>
      </c>
      <c r="J2" s="7">
        <f>$B2 * IFERROR(VLOOKUP("electricity|PM25|Premature mortality", US_national_yearly!$D:$AM, 18, FALSE) / VLOOKUP("electricity|PM25|Premature mortality", US_national_yearly!$D:$AM, 10, FALSE), 1)</f>
        <v>9.563557530162926E-3</v>
      </c>
      <c r="K2" s="7">
        <f>$B2 * IFERROR(VLOOKUP("electricity|PM25|Premature mortality", US_national_yearly!$D:$AM, 19, FALSE) / VLOOKUP("electricity|PM25|Premature mortality", US_national_yearly!$D:$AM, 10, FALSE), 1)</f>
        <v>9.7017873071501681E-3</v>
      </c>
      <c r="L2" s="7">
        <f>$B2 * IFERROR(VLOOKUP("electricity|PM25|Premature mortality", US_national_yearly!$D:$AM, 20, FALSE) / VLOOKUP("electricity|PM25|Premature mortality", US_national_yearly!$D:$AM, 10, FALSE), 1)</f>
        <v>9.8400170841374136E-3</v>
      </c>
      <c r="M2" s="7">
        <f>$B2 * IFERROR(VLOOKUP("electricity|PM25|Premature mortality", US_national_yearly!$D:$AM, 21, FALSE) / VLOOKUP("electricity|PM25|Premature mortality", US_national_yearly!$D:$AM, 10, FALSE), 1)</f>
        <v>9.9782468611246573E-3</v>
      </c>
      <c r="N2" s="7">
        <f>$B2 * IFERROR(VLOOKUP("electricity|PM25|Premature mortality", US_national_yearly!$D:$AM, 22, FALSE) / VLOOKUP("electricity|PM25|Premature mortality", US_national_yearly!$D:$AM, 10, FALSE), 1)</f>
        <v>1.0088431643275128E-2</v>
      </c>
      <c r="O2" s="7">
        <f>$B2 * IFERROR(VLOOKUP("electricity|PM25|Premature mortality", US_national_yearly!$D:$AM, 23, FALSE) / VLOOKUP("electricity|PM25|Premature mortality", US_national_yearly!$D:$AM, 10, FALSE), 1)</f>
        <v>1.0198616425425595E-2</v>
      </c>
      <c r="P2" s="7">
        <f>$B2 * IFERROR(VLOOKUP("electricity|PM25|Premature mortality", US_national_yearly!$D:$AM, 24, FALSE) / VLOOKUP("electricity|PM25|Premature mortality", US_national_yearly!$D:$AM, 10, FALSE), 1)</f>
        <v>1.0308801207576065E-2</v>
      </c>
      <c r="Q2" s="7">
        <f>$B2 * IFERROR(VLOOKUP("electricity|PM25|Premature mortality", US_national_yearly!$D:$AM, 25, FALSE) / VLOOKUP("electricity|PM25|Premature mortality", US_national_yearly!$D:$AM, 10, FALSE), 1)</f>
        <v>1.0418985989726534E-2</v>
      </c>
      <c r="R2" s="7">
        <f>$B2 * IFERROR(VLOOKUP("electricity|PM25|Premature mortality", US_national_yearly!$D:$AM, 26, FALSE) / VLOOKUP("electricity|PM25|Premature mortality", US_national_yearly!$D:$AM, 10, FALSE), 1)</f>
        <v>1.0529170771877004E-2</v>
      </c>
      <c r="S2" s="7">
        <f>$B2 * IFERROR(VLOOKUP("electricity|PM25|Premature mortality", US_national_yearly!$D:$AM, 27, FALSE) / VLOOKUP("electricity|PM25|Premature mortality", US_national_yearly!$D:$AM, 10, FALSE), 1)</f>
        <v>1.0592219094786186E-2</v>
      </c>
      <c r="T2" s="7">
        <f>$B2 * IFERROR(VLOOKUP("electricity|PM25|Premature mortality", US_national_yearly!$D:$AM, 28, FALSE) / VLOOKUP("electricity|PM25|Premature mortality", US_national_yearly!$D:$AM, 10, FALSE), 1)</f>
        <v>1.0655267417695364E-2</v>
      </c>
      <c r="U2" s="7">
        <f>$B2 * IFERROR(VLOOKUP("electricity|PM25|Premature mortality", US_national_yearly!$D:$AM, 29, FALSE) / VLOOKUP("electricity|PM25|Premature mortality", US_national_yearly!$D:$AM, 10, FALSE), 1)</f>
        <v>1.0718315740604547E-2</v>
      </c>
      <c r="V2" s="7">
        <f>$B2 * IFERROR(VLOOKUP("electricity|PM25|Premature mortality", US_national_yearly!$D:$AM, 30, FALSE) / VLOOKUP("electricity|PM25|Premature mortality", US_national_yearly!$D:$AM, 10, FALSE), 1)</f>
        <v>1.0781364063513727E-2</v>
      </c>
      <c r="W2" s="7">
        <f>$B2 * IFERROR(VLOOKUP("electricity|PM25|Premature mortality", US_national_yearly!$D:$AM, 31, FALSE) / VLOOKUP("electricity|PM25|Premature mortality", US_national_yearly!$D:$AM, 10, FALSE), 1)</f>
        <v>1.0844412386422909E-2</v>
      </c>
      <c r="X2" s="7">
        <f>$B2 * IFERROR(VLOOKUP("electricity|PM25|Premature mortality", US_national_yearly!$D:$AM, 32, FALSE) / VLOOKUP("electricity|PM25|Premature mortality", US_national_yearly!$D:$AM, 10, FALSE), 1)</f>
        <v>1.08619268028823E-2</v>
      </c>
      <c r="Y2" s="7">
        <f>$B2 * IFERROR(VLOOKUP("electricity|PM25|Premature mortality", US_national_yearly!$D:$AM, 33, FALSE) / VLOOKUP("electricity|PM25|Premature mortality", US_national_yearly!$D:$AM, 10, FALSE), 1)</f>
        <v>1.0879441219341692E-2</v>
      </c>
      <c r="Z2" s="7">
        <f>$B2 * IFERROR(VLOOKUP("electricity|PM25|Premature mortality", US_national_yearly!$D:$AM, 34, FALSE) / VLOOKUP("electricity|PM25|Premature mortality", US_national_yearly!$D:$AM, 10, FALSE), 1)</f>
        <v>1.0896955635801083E-2</v>
      </c>
      <c r="AA2" s="7">
        <f>$B2 * IFERROR(VLOOKUP("electricity|PM25|Premature mortality", US_national_yearly!$D:$AM, 35, FALSE) / VLOOKUP("electricity|PM25|Premature mortality", US_national_yearly!$D:$AM, 10, FALSE), 1)</f>
        <v>1.0914470052260478E-2</v>
      </c>
      <c r="AB2" s="7">
        <f>$B2 * IFERROR(VLOOKUP("electricity|PM25|Premature mortality", US_national_yearly!$D:$AM, 36, FALSE) / VLOOKUP("electricity|PM25|Premature mortality", US_national_yearly!$D:$AM, 10, FALSE), 1)</f>
        <v>1.0931984468719869E-2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2.4187401017038682E-5</v>
      </c>
      <c r="C3" s="7">
        <f>$B3 * IFERROR(VLOOKUP("electricity|PM25|Infant mortality", US_national_yearly!$D:$AM, 11, FALSE) / VLOOKUP("electricity|PM25|Infant mortality", US_national_yearly!$D:$AM, 10, FALSE), 1)</f>
        <v>2.3976656252902652E-5</v>
      </c>
      <c r="D3" s="7">
        <f>$B3 * IFERROR(VLOOKUP("electricity|PM25|Infant mortality", US_national_yearly!$D:$AM, 12, FALSE) / VLOOKUP("electricity|PM25|Infant mortality", US_national_yearly!$D:$AM, 10, FALSE), 1)</f>
        <v>2.3765911488766629E-5</v>
      </c>
      <c r="E3" s="7">
        <f>$B3 * IFERROR(VLOOKUP("electricity|PM25|Infant mortality", US_national_yearly!$D:$AM, 13, FALSE) / VLOOKUP("electricity|PM25|Infant mortality", US_national_yearly!$D:$AM, 10, FALSE), 1)</f>
        <v>2.3555166724630603E-5</v>
      </c>
      <c r="F3" s="7">
        <f>$B3 * IFERROR(VLOOKUP("electricity|PM25|Infant mortality", US_national_yearly!$D:$AM, 14, FALSE) / VLOOKUP("electricity|PM25|Infant mortality", US_national_yearly!$D:$AM, 10, FALSE), 1)</f>
        <v>2.3344421960494573E-5</v>
      </c>
      <c r="G3" s="7">
        <f>$B3 * IFERROR(VLOOKUP("electricity|PM25|Infant mortality", US_national_yearly!$D:$AM, 15, FALSE) / VLOOKUP("electricity|PM25|Infant mortality", US_national_yearly!$D:$AM, 10, FALSE), 1)</f>
        <v>1.5481293035552397E-5</v>
      </c>
      <c r="H3" s="7">
        <f>$B3 * IFERROR(VLOOKUP("electricity|PM25|Infant mortality", US_national_yearly!$D:$AM, 16, FALSE) / VLOOKUP("electricity|PM25|Infant mortality", US_national_yearly!$D:$AM, 10, FALSE), 1)</f>
        <v>7.6181641106102193E-6</v>
      </c>
      <c r="I3" s="7">
        <f>$B3 * IFERROR(VLOOKUP("electricity|PM25|Infant mortality", US_national_yearly!$D:$AM, 17, FALSE) / VLOOKUP("electricity|PM25|Infant mortality", US_national_yearly!$D:$AM, 10, FALSE), 1)</f>
        <v>7.5643763811611198E-6</v>
      </c>
      <c r="J3" s="7">
        <f>$B3 * IFERROR(VLOOKUP("electricity|PM25|Infant mortality", US_national_yearly!$D:$AM, 18, FALSE) / VLOOKUP("electricity|PM25|Infant mortality", US_national_yearly!$D:$AM, 10, FALSE), 1)</f>
        <v>7.510588651712022E-6</v>
      </c>
      <c r="K3" s="7">
        <f>$B3 * IFERROR(VLOOKUP("electricity|PM25|Infant mortality", US_national_yearly!$D:$AM, 19, FALSE) / VLOOKUP("electricity|PM25|Infant mortality", US_national_yearly!$D:$AM, 10, FALSE), 1)</f>
        <v>7.4568009222629225E-6</v>
      </c>
      <c r="L3" s="7">
        <f>$B3 * IFERROR(VLOOKUP("electricity|PM25|Infant mortality", US_national_yearly!$D:$AM, 20, FALSE) / VLOOKUP("electricity|PM25|Infant mortality", US_national_yearly!$D:$AM, 10, FALSE), 1)</f>
        <v>7.4030131928138238E-6</v>
      </c>
      <c r="M3" s="7">
        <f>$B3 * IFERROR(VLOOKUP("electricity|PM25|Infant mortality", US_national_yearly!$D:$AM, 21, FALSE) / VLOOKUP("electricity|PM25|Infant mortality", US_national_yearly!$D:$AM, 10, FALSE), 1)</f>
        <v>7.3492254633647261E-6</v>
      </c>
      <c r="N3" s="7">
        <f>$B3 * IFERROR(VLOOKUP("electricity|PM25|Infant mortality", US_national_yearly!$D:$AM, 22, FALSE) / VLOOKUP("electricity|PM25|Infant mortality", US_national_yearly!$D:$AM, 10, FALSE), 1)</f>
        <v>7.3146328120561509E-6</v>
      </c>
      <c r="O3" s="7">
        <f>$B3 * IFERROR(VLOOKUP("electricity|PM25|Infant mortality", US_national_yearly!$D:$AM, 23, FALSE) / VLOOKUP("electricity|PM25|Infant mortality", US_national_yearly!$D:$AM, 10, FALSE), 1)</f>
        <v>7.2800401607475766E-6</v>
      </c>
      <c r="P3" s="7">
        <f>$B3 * IFERROR(VLOOKUP("electricity|PM25|Infant mortality", US_national_yearly!$D:$AM, 24, FALSE) / VLOOKUP("electricity|PM25|Infant mortality", US_national_yearly!$D:$AM, 10, FALSE), 1)</f>
        <v>7.2454475094390006E-6</v>
      </c>
      <c r="Q3" s="7">
        <f>$B3 * IFERROR(VLOOKUP("electricity|PM25|Infant mortality", US_national_yearly!$D:$AM, 25, FALSE) / VLOOKUP("electricity|PM25|Infant mortality", US_national_yearly!$D:$AM, 10, FALSE), 1)</f>
        <v>7.2108548581304264E-6</v>
      </c>
      <c r="R3" s="7">
        <f>$B3 * IFERROR(VLOOKUP("electricity|PM25|Infant mortality", US_national_yearly!$D:$AM, 26, FALSE) / VLOOKUP("electricity|PM25|Infant mortality", US_national_yearly!$D:$AM, 10, FALSE), 1)</f>
        <v>7.1762622068218504E-6</v>
      </c>
      <c r="S3" s="7">
        <f>$B3 * IFERROR(VLOOKUP("electricity|PM25|Infant mortality", US_national_yearly!$D:$AM, 27, FALSE) / VLOOKUP("electricity|PM25|Infant mortality", US_national_yearly!$D:$AM, 10, FALSE), 1)</f>
        <v>7.1348194375289017E-6</v>
      </c>
      <c r="T3" s="7">
        <f>$B3 * IFERROR(VLOOKUP("electricity|PM25|Infant mortality", US_national_yearly!$D:$AM, 28, FALSE) / VLOOKUP("electricity|PM25|Infant mortality", US_national_yearly!$D:$AM, 10, FALSE), 1)</f>
        <v>7.0933766682359539E-6</v>
      </c>
      <c r="U3" s="7">
        <f>$B3 * IFERROR(VLOOKUP("electricity|PM25|Infant mortality", US_national_yearly!$D:$AM, 29, FALSE) / VLOOKUP("electricity|PM25|Infant mortality", US_national_yearly!$D:$AM, 10, FALSE), 1)</f>
        <v>7.051933898943007E-6</v>
      </c>
      <c r="V3" s="7">
        <f>$B3 * IFERROR(VLOOKUP("electricity|PM25|Infant mortality", US_national_yearly!$D:$AM, 30, FALSE) / VLOOKUP("electricity|PM25|Infant mortality", US_national_yearly!$D:$AM, 10, FALSE), 1)</f>
        <v>7.0104911296500592E-6</v>
      </c>
      <c r="W3" s="7">
        <f>$B3 * IFERROR(VLOOKUP("electricity|PM25|Infant mortality", US_national_yearly!$D:$AM, 31, FALSE) / VLOOKUP("electricity|PM25|Infant mortality", US_national_yearly!$D:$AM, 10, FALSE), 1)</f>
        <v>6.9690483603571114E-6</v>
      </c>
      <c r="X3" s="7">
        <f>$B3 * IFERROR(VLOOKUP("electricity|PM25|Infant mortality", US_national_yearly!$D:$AM, 32, FALSE) / VLOOKUP("electricity|PM25|Infant mortality", US_national_yearly!$D:$AM, 10, FALSE), 1)</f>
        <v>6.9262224326591084E-6</v>
      </c>
      <c r="Y3" s="7">
        <f>$B3 * IFERROR(VLOOKUP("electricity|PM25|Infant mortality", US_national_yearly!$D:$AM, 33, FALSE) / VLOOKUP("electricity|PM25|Infant mortality", US_national_yearly!$D:$AM, 10, FALSE), 1)</f>
        <v>6.8833965049611055E-6</v>
      </c>
      <c r="Z3" s="7">
        <f>$B3 * IFERROR(VLOOKUP("electricity|PM25|Infant mortality", US_national_yearly!$D:$AM, 34, FALSE) / VLOOKUP("electricity|PM25|Infant mortality", US_national_yearly!$D:$AM, 10, FALSE), 1)</f>
        <v>6.8405705772631025E-6</v>
      </c>
      <c r="AA3" s="7">
        <f>$B3 * IFERROR(VLOOKUP("electricity|PM25|Infant mortality", US_national_yearly!$D:$AM, 35, FALSE) / VLOOKUP("electricity|PM25|Infant mortality", US_national_yearly!$D:$AM, 10, FALSE), 1)</f>
        <v>6.7977446495650995E-6</v>
      </c>
      <c r="AB3" s="7">
        <f>$B3 * IFERROR(VLOOKUP("electricity|PM25|Infant mortality", US_national_yearly!$D:$AM, 36, FALSE) / VLOOKUP("electricity|PM25|Infant mortality", US_national_yearly!$D:$AM, 10, FALSE), 1)</f>
        <v>6.7549187218670957E-6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2.9168143291324347E-2</v>
      </c>
      <c r="C6" s="7">
        <f>$B6 * IFERROR(VLOOKUP("electricity|PM25|Asthma symptoms cough", US_national_yearly!$D:$AM, 11, FALSE) / VLOOKUP("electricity|PM25|Asthma symptoms cough", US_national_yearly!$D:$AM, 10, FALSE), 1)</f>
        <v>2.9168143291324347E-2</v>
      </c>
      <c r="D6" s="7">
        <f>$B6 * IFERROR(VLOOKUP("electricity|PM25|Asthma symptoms cough", US_national_yearly!$D:$AM, 12, FALSE) / VLOOKUP("electricity|PM25|Asthma symptoms cough", US_national_yearly!$D:$AM, 10, FALSE), 1)</f>
        <v>2.9168143291324347E-2</v>
      </c>
      <c r="E6" s="7">
        <f>$B6 * IFERROR(VLOOKUP("electricity|PM25|Asthma symptoms cough", US_national_yearly!$D:$AM, 13, FALSE) / VLOOKUP("electricity|PM25|Asthma symptoms cough", US_national_yearly!$D:$AM, 10, FALSE), 1)</f>
        <v>2.9168143291324347E-2</v>
      </c>
      <c r="F6" s="7">
        <f>$B6 * IFERROR(VLOOKUP("electricity|PM25|Asthma symptoms cough", US_national_yearly!$D:$AM, 14, FALSE) / VLOOKUP("electricity|PM25|Asthma symptoms cough", US_national_yearly!$D:$AM, 10, FALSE), 1)</f>
        <v>2.9168143291324347E-2</v>
      </c>
      <c r="G6" s="7">
        <f>$B6 * IFERROR(VLOOKUP("electricity|PM25|Asthma symptoms cough", US_national_yearly!$D:$AM, 15, FALSE) / VLOOKUP("electricity|PM25|Asthma symptoms cough", US_national_yearly!$D:$AM, 10, FALSE), 1)</f>
        <v>2.9168143291324347E-2</v>
      </c>
      <c r="H6" s="7">
        <f>$B6 * IFERROR(VLOOKUP("electricity|PM25|Asthma symptoms cough", US_national_yearly!$D:$AM, 16, FALSE) / VLOOKUP("electricity|PM25|Asthma symptoms cough", US_national_yearly!$D:$AM, 10, FALSE), 1)</f>
        <v>2.9168143291324347E-2</v>
      </c>
      <c r="I6" s="7">
        <f>$B6 * IFERROR(VLOOKUP("electricity|PM25|Asthma symptoms cough", US_national_yearly!$D:$AM, 17, FALSE) / VLOOKUP("electricity|PM25|Asthma symptoms cough", US_national_yearly!$D:$AM, 10, FALSE), 1)</f>
        <v>2.9168143291324347E-2</v>
      </c>
      <c r="J6" s="7">
        <f>$B6 * IFERROR(VLOOKUP("electricity|PM25|Asthma symptoms cough", US_national_yearly!$D:$AM, 18, FALSE) / VLOOKUP("electricity|PM25|Asthma symptoms cough", US_national_yearly!$D:$AM, 10, FALSE), 1)</f>
        <v>2.9168143291324347E-2</v>
      </c>
      <c r="K6" s="7">
        <f>$B6 * IFERROR(VLOOKUP("electricity|PM25|Asthma symptoms cough", US_national_yearly!$D:$AM, 19, FALSE) / VLOOKUP("electricity|PM25|Asthma symptoms cough", US_national_yearly!$D:$AM, 10, FALSE), 1)</f>
        <v>2.9168143291324347E-2</v>
      </c>
      <c r="L6" s="7">
        <f>$B6 * IFERROR(VLOOKUP("electricity|PM25|Asthma symptoms cough", US_national_yearly!$D:$AM, 20, FALSE) / VLOOKUP("electricity|PM25|Asthma symptoms cough", US_national_yearly!$D:$AM, 10, FALSE), 1)</f>
        <v>2.9168143291324347E-2</v>
      </c>
      <c r="M6" s="7">
        <f>$B6 * IFERROR(VLOOKUP("electricity|PM25|Asthma symptoms cough", US_national_yearly!$D:$AM, 21, FALSE) / VLOOKUP("electricity|PM25|Asthma symptoms cough", US_national_yearly!$D:$AM, 10, FALSE), 1)</f>
        <v>2.9168143291324347E-2</v>
      </c>
      <c r="N6" s="7">
        <f>$B6 * IFERROR(VLOOKUP("electricity|PM25|Asthma symptoms cough", US_national_yearly!$D:$AM, 22, FALSE) / VLOOKUP("electricity|PM25|Asthma symptoms cough", US_national_yearly!$D:$AM, 10, FALSE), 1)</f>
        <v>2.9168143291324347E-2</v>
      </c>
      <c r="O6" s="7">
        <f>$B6 * IFERROR(VLOOKUP("electricity|PM25|Asthma symptoms cough", US_national_yearly!$D:$AM, 23, FALSE) / VLOOKUP("electricity|PM25|Asthma symptoms cough", US_national_yearly!$D:$AM, 10, FALSE), 1)</f>
        <v>2.9168143291324347E-2</v>
      </c>
      <c r="P6" s="7">
        <f>$B6 * IFERROR(VLOOKUP("electricity|PM25|Asthma symptoms cough", US_national_yearly!$D:$AM, 24, FALSE) / VLOOKUP("electricity|PM25|Asthma symptoms cough", US_national_yearly!$D:$AM, 10, FALSE), 1)</f>
        <v>2.9168143291324347E-2</v>
      </c>
      <c r="Q6" s="7">
        <f>$B6 * IFERROR(VLOOKUP("electricity|PM25|Asthma symptoms cough", US_national_yearly!$D:$AM, 25, FALSE) / VLOOKUP("electricity|PM25|Asthma symptoms cough", US_national_yearly!$D:$AM, 10, FALSE), 1)</f>
        <v>2.9168143291324347E-2</v>
      </c>
      <c r="R6" s="7">
        <f>$B6 * IFERROR(VLOOKUP("electricity|PM25|Asthma symptoms cough", US_national_yearly!$D:$AM, 26, FALSE) / VLOOKUP("electricity|PM25|Asthma symptoms cough", US_national_yearly!$D:$AM, 10, FALSE), 1)</f>
        <v>2.9168143291324347E-2</v>
      </c>
      <c r="S6" s="7">
        <f>$B6 * IFERROR(VLOOKUP("electricity|PM25|Asthma symptoms cough", US_national_yearly!$D:$AM, 27, FALSE) / VLOOKUP("electricity|PM25|Asthma symptoms cough", US_national_yearly!$D:$AM, 10, FALSE), 1)</f>
        <v>2.9168143291324347E-2</v>
      </c>
      <c r="T6" s="7">
        <f>$B6 * IFERROR(VLOOKUP("electricity|PM25|Asthma symptoms cough", US_national_yearly!$D:$AM, 28, FALSE) / VLOOKUP("electricity|PM25|Asthma symptoms cough", US_national_yearly!$D:$AM, 10, FALSE), 1)</f>
        <v>2.9168143291324347E-2</v>
      </c>
      <c r="U6" s="7">
        <f>$B6 * IFERROR(VLOOKUP("electricity|PM25|Asthma symptoms cough", US_national_yearly!$D:$AM, 29, FALSE) / VLOOKUP("electricity|PM25|Asthma symptoms cough", US_national_yearly!$D:$AM, 10, FALSE), 1)</f>
        <v>2.9168143291324347E-2</v>
      </c>
      <c r="V6" s="7">
        <f>$B6 * IFERROR(VLOOKUP("electricity|PM25|Asthma symptoms cough", US_national_yearly!$D:$AM, 30, FALSE) / VLOOKUP("electricity|PM25|Asthma symptoms cough", US_national_yearly!$D:$AM, 10, FALSE), 1)</f>
        <v>2.9168143291324347E-2</v>
      </c>
      <c r="W6" s="7">
        <f>$B6 * IFERROR(VLOOKUP("electricity|PM25|Asthma symptoms cough", US_national_yearly!$D:$AM, 31, FALSE) / VLOOKUP("electricity|PM25|Asthma symptoms cough", US_national_yearly!$D:$AM, 10, FALSE), 1)</f>
        <v>2.9168143291324347E-2</v>
      </c>
      <c r="X6" s="7">
        <f>$B6 * IFERROR(VLOOKUP("electricity|PM25|Asthma symptoms cough", US_national_yearly!$D:$AM, 32, FALSE) / VLOOKUP("electricity|PM25|Asthma symptoms cough", US_national_yearly!$D:$AM, 10, FALSE), 1)</f>
        <v>2.9168143291324347E-2</v>
      </c>
      <c r="Y6" s="7">
        <f>$B6 * IFERROR(VLOOKUP("electricity|PM25|Asthma symptoms cough", US_national_yearly!$D:$AM, 33, FALSE) / VLOOKUP("electricity|PM25|Asthma symptoms cough", US_national_yearly!$D:$AM, 10, FALSE), 1)</f>
        <v>2.9168143291324347E-2</v>
      </c>
      <c r="Z6" s="7">
        <f>$B6 * IFERROR(VLOOKUP("electricity|PM25|Asthma symptoms cough", US_national_yearly!$D:$AM, 34, FALSE) / VLOOKUP("electricity|PM25|Asthma symptoms cough", US_national_yearly!$D:$AM, 10, FALSE), 1)</f>
        <v>2.9168143291324347E-2</v>
      </c>
      <c r="AA6" s="7">
        <f>$B6 * IFERROR(VLOOKUP("electricity|PM25|Asthma symptoms cough", US_national_yearly!$D:$AM, 35, FALSE) / VLOOKUP("electricity|PM25|Asthma symptoms cough", US_national_yearly!$D:$AM, 10, FALSE), 1)</f>
        <v>2.9168143291324347E-2</v>
      </c>
      <c r="AB6" s="7">
        <f>$B6 * IFERROR(VLOOKUP("electricity|PM25|Asthma symptoms cough", US_national_yearly!$D:$AM, 36, FALSE) / VLOOKUP("electricity|PM25|Asthma symptoms cough", US_national_yearly!$D:$AM, 10, FALSE), 1)</f>
        <v>2.9168143291324347E-2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3.9279059576807426E-2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3.9279059576807426E-2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3.9279059576807426E-2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3.9279059576807426E-2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3.9279059576807426E-2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3.9279059576807426E-2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3.9279059576807426E-2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3.9279059576807426E-2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3.9279059576807426E-2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3.9279059576807426E-2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3.9279059576807426E-2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3.9279059576807426E-2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3.9279059576807426E-2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3.9279059576807426E-2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3.9279059576807426E-2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3.9279059576807426E-2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3.9279059576807426E-2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3.9279059576807426E-2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3.9279059576807426E-2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3.9279059576807426E-2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3.9279059576807426E-2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3.9279059576807426E-2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3.9279059576807426E-2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3.9279059576807426E-2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3.9279059576807426E-2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3.9279059576807426E-2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3.9279059576807426E-2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6.0012023682667157E-2</v>
      </c>
      <c r="C8" s="7">
        <f>$B8 * IFERROR(VLOOKUP("electricity|PM25|Asthma symptoms wheeze", US_national_yearly!$D:$AM, 11, FALSE) / VLOOKUP("electricity|PM25|Asthma symptoms wheeze", US_national_yearly!$D:$AM, 10, FALSE), 1)</f>
        <v>6.0012023682667157E-2</v>
      </c>
      <c r="D8" s="7">
        <f>$B8 * IFERROR(VLOOKUP("electricity|PM25|Asthma symptoms wheeze", US_national_yearly!$D:$AM, 12, FALSE) / VLOOKUP("electricity|PM25|Asthma symptoms wheeze", US_national_yearly!$D:$AM, 10, FALSE), 1)</f>
        <v>6.0012023682667157E-2</v>
      </c>
      <c r="E8" s="7">
        <f>$B8 * IFERROR(VLOOKUP("electricity|PM25|Asthma symptoms wheeze", US_national_yearly!$D:$AM, 13, FALSE) / VLOOKUP("electricity|PM25|Asthma symptoms wheeze", US_national_yearly!$D:$AM, 10, FALSE), 1)</f>
        <v>6.0012023682667157E-2</v>
      </c>
      <c r="F8" s="7">
        <f>$B8 * IFERROR(VLOOKUP("electricity|PM25|Asthma symptoms wheeze", US_national_yearly!$D:$AM, 14, FALSE) / VLOOKUP("electricity|PM25|Asthma symptoms wheeze", US_national_yearly!$D:$AM, 10, FALSE), 1)</f>
        <v>6.0012023682667157E-2</v>
      </c>
      <c r="G8" s="7">
        <f>$B8 * IFERROR(VLOOKUP("electricity|PM25|Asthma symptoms wheeze", US_national_yearly!$D:$AM, 15, FALSE) / VLOOKUP("electricity|PM25|Asthma symptoms wheeze", US_national_yearly!$D:$AM, 10, FALSE), 1)</f>
        <v>6.0012023682667157E-2</v>
      </c>
      <c r="H8" s="7">
        <f>$B8 * IFERROR(VLOOKUP("electricity|PM25|Asthma symptoms wheeze", US_national_yearly!$D:$AM, 16, FALSE) / VLOOKUP("electricity|PM25|Asthma symptoms wheeze", US_national_yearly!$D:$AM, 10, FALSE), 1)</f>
        <v>6.0012023682667157E-2</v>
      </c>
      <c r="I8" s="7">
        <f>$B8 * IFERROR(VLOOKUP("electricity|PM25|Asthma symptoms wheeze", US_national_yearly!$D:$AM, 17, FALSE) / VLOOKUP("electricity|PM25|Asthma symptoms wheeze", US_national_yearly!$D:$AM, 10, FALSE), 1)</f>
        <v>6.0012023682667157E-2</v>
      </c>
      <c r="J8" s="7">
        <f>$B8 * IFERROR(VLOOKUP("electricity|PM25|Asthma symptoms wheeze", US_national_yearly!$D:$AM, 18, FALSE) / VLOOKUP("electricity|PM25|Asthma symptoms wheeze", US_national_yearly!$D:$AM, 10, FALSE), 1)</f>
        <v>6.0012023682667157E-2</v>
      </c>
      <c r="K8" s="7">
        <f>$B8 * IFERROR(VLOOKUP("electricity|PM25|Asthma symptoms wheeze", US_national_yearly!$D:$AM, 19, FALSE) / VLOOKUP("electricity|PM25|Asthma symptoms wheeze", US_national_yearly!$D:$AM, 10, FALSE), 1)</f>
        <v>6.0012023682667157E-2</v>
      </c>
      <c r="L8" s="7">
        <f>$B8 * IFERROR(VLOOKUP("electricity|PM25|Asthma symptoms wheeze", US_national_yearly!$D:$AM, 20, FALSE) / VLOOKUP("electricity|PM25|Asthma symptoms wheeze", US_national_yearly!$D:$AM, 10, FALSE), 1)</f>
        <v>6.0012023682667157E-2</v>
      </c>
      <c r="M8" s="7">
        <f>$B8 * IFERROR(VLOOKUP("electricity|PM25|Asthma symptoms wheeze", US_national_yearly!$D:$AM, 21, FALSE) / VLOOKUP("electricity|PM25|Asthma symptoms wheeze", US_national_yearly!$D:$AM, 10, FALSE), 1)</f>
        <v>6.0012023682667157E-2</v>
      </c>
      <c r="N8" s="7">
        <f>$B8 * IFERROR(VLOOKUP("electricity|PM25|Asthma symptoms wheeze", US_national_yearly!$D:$AM, 22, FALSE) / VLOOKUP("electricity|PM25|Asthma symptoms wheeze", US_national_yearly!$D:$AM, 10, FALSE), 1)</f>
        <v>6.0012023682667157E-2</v>
      </c>
      <c r="O8" s="7">
        <f>$B8 * IFERROR(VLOOKUP("electricity|PM25|Asthma symptoms wheeze", US_national_yearly!$D:$AM, 23, FALSE) / VLOOKUP("electricity|PM25|Asthma symptoms wheeze", US_national_yearly!$D:$AM, 10, FALSE), 1)</f>
        <v>6.0012023682667157E-2</v>
      </c>
      <c r="P8" s="7">
        <f>$B8 * IFERROR(VLOOKUP("electricity|PM25|Asthma symptoms wheeze", US_national_yearly!$D:$AM, 24, FALSE) / VLOOKUP("electricity|PM25|Asthma symptoms wheeze", US_national_yearly!$D:$AM, 10, FALSE), 1)</f>
        <v>6.0012023682667157E-2</v>
      </c>
      <c r="Q8" s="7">
        <f>$B8 * IFERROR(VLOOKUP("electricity|PM25|Asthma symptoms wheeze", US_national_yearly!$D:$AM, 25, FALSE) / VLOOKUP("electricity|PM25|Asthma symptoms wheeze", US_national_yearly!$D:$AM, 10, FALSE), 1)</f>
        <v>6.0012023682667157E-2</v>
      </c>
      <c r="R8" s="7">
        <f>$B8 * IFERROR(VLOOKUP("electricity|PM25|Asthma symptoms wheeze", US_national_yearly!$D:$AM, 26, FALSE) / VLOOKUP("electricity|PM25|Asthma symptoms wheeze", US_national_yearly!$D:$AM, 10, FALSE), 1)</f>
        <v>6.0012023682667157E-2</v>
      </c>
      <c r="S8" s="7">
        <f>$B8 * IFERROR(VLOOKUP("electricity|PM25|Asthma symptoms wheeze", US_national_yearly!$D:$AM, 27, FALSE) / VLOOKUP("electricity|PM25|Asthma symptoms wheeze", US_national_yearly!$D:$AM, 10, FALSE), 1)</f>
        <v>6.0012023682667157E-2</v>
      </c>
      <c r="T8" s="7">
        <f>$B8 * IFERROR(VLOOKUP("electricity|PM25|Asthma symptoms wheeze", US_national_yearly!$D:$AM, 28, FALSE) / VLOOKUP("electricity|PM25|Asthma symptoms wheeze", US_national_yearly!$D:$AM, 10, FALSE), 1)</f>
        <v>6.0012023682667157E-2</v>
      </c>
      <c r="U8" s="7">
        <f>$B8 * IFERROR(VLOOKUP("electricity|PM25|Asthma symptoms wheeze", US_national_yearly!$D:$AM, 29, FALSE) / VLOOKUP("electricity|PM25|Asthma symptoms wheeze", US_national_yearly!$D:$AM, 10, FALSE), 1)</f>
        <v>6.0012023682667157E-2</v>
      </c>
      <c r="V8" s="7">
        <f>$B8 * IFERROR(VLOOKUP("electricity|PM25|Asthma symptoms wheeze", US_national_yearly!$D:$AM, 30, FALSE) / VLOOKUP("electricity|PM25|Asthma symptoms wheeze", US_national_yearly!$D:$AM, 10, FALSE), 1)</f>
        <v>6.0012023682667157E-2</v>
      </c>
      <c r="W8" s="7">
        <f>$B8 * IFERROR(VLOOKUP("electricity|PM25|Asthma symptoms wheeze", US_national_yearly!$D:$AM, 31, FALSE) / VLOOKUP("electricity|PM25|Asthma symptoms wheeze", US_national_yearly!$D:$AM, 10, FALSE), 1)</f>
        <v>6.0012023682667157E-2</v>
      </c>
      <c r="X8" s="7">
        <f>$B8 * IFERROR(VLOOKUP("electricity|PM25|Asthma symptoms wheeze", US_national_yearly!$D:$AM, 32, FALSE) / VLOOKUP("electricity|PM25|Asthma symptoms wheeze", US_national_yearly!$D:$AM, 10, FALSE), 1)</f>
        <v>6.0012023682667157E-2</v>
      </c>
      <c r="Y8" s="7">
        <f>$B8 * IFERROR(VLOOKUP("electricity|PM25|Asthma symptoms wheeze", US_national_yearly!$D:$AM, 33, FALSE) / VLOOKUP("electricity|PM25|Asthma symptoms wheeze", US_national_yearly!$D:$AM, 10, FALSE), 1)</f>
        <v>6.0012023682667157E-2</v>
      </c>
      <c r="Z8" s="7">
        <f>$B8 * IFERROR(VLOOKUP("electricity|PM25|Asthma symptoms wheeze", US_national_yearly!$D:$AM, 34, FALSE) / VLOOKUP("electricity|PM25|Asthma symptoms wheeze", US_national_yearly!$D:$AM, 10, FALSE), 1)</f>
        <v>6.0012023682667157E-2</v>
      </c>
      <c r="AA8" s="7">
        <f>$B8 * IFERROR(VLOOKUP("electricity|PM25|Asthma symptoms wheeze", US_national_yearly!$D:$AM, 35, FALSE) / VLOOKUP("electricity|PM25|Asthma symptoms wheeze", US_national_yearly!$D:$AM, 10, FALSE), 1)</f>
        <v>6.0012023682667157E-2</v>
      </c>
      <c r="AB8" s="7">
        <f>$B8 * IFERROR(VLOOKUP("electricity|PM25|Asthma symptoms wheeze", US_national_yearly!$D:$AM, 36, FALSE) / VLOOKUP("electricity|PM25|Asthma symptoms wheeze", US_national_yearly!$D:$AM, 10, FALSE), 1)</f>
        <v>6.0012023682667157E-2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7.0420708924115167E-4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7.0807732567236071E-4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7.1194756210356952E-4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7.1581779853477866E-4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7.1968803496598747E-4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7.2383683328704467E-4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7.2798563160810198E-4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7.3169215907120764E-4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7.3539868653431308E-4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7.3910521399741852E-4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7.4281174146052396E-4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7.4651826892362962E-4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7.4901845331380051E-4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7.5151863770397151E-4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7.5401882209414251E-4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7.565190064843134E-4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7.590191908744844E-4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7.6134901307072466E-4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7.6367883526696459E-4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7.6600865746320474E-4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7.6833847965944479E-4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7.7066830185568472E-4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7.7297205232690954E-4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7.7527580279813425E-4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7.7757955326935896E-4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7.7988330374058367E-4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7.8218705421180849E-4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4.2259152368290904E-3</v>
      </c>
      <c r="C13" s="7">
        <f>$B13 * IFERROR(VLOOKUP("electricity|PM25|Non-fatal heart attacks", US_national_yearly!$D:$AM, 11, FALSE) / VLOOKUP("electricity|PM25|Non-fatal heart attacks", US_national_yearly!$D:$AM, 10, FALSE), 1)</f>
        <v>4.3483181187005567E-3</v>
      </c>
      <c r="D13" s="7">
        <f>$B13 * IFERROR(VLOOKUP("electricity|PM25|Non-fatal heart attacks", US_national_yearly!$D:$AM, 12, FALSE) / VLOOKUP("electricity|PM25|Non-fatal heart attacks", US_national_yearly!$D:$AM, 10, FALSE), 1)</f>
        <v>4.470721000572022E-3</v>
      </c>
      <c r="E13" s="7">
        <f>$B13 * IFERROR(VLOOKUP("electricity|PM25|Non-fatal heart attacks", US_national_yearly!$D:$AM, 13, FALSE) / VLOOKUP("electricity|PM25|Non-fatal heart attacks", US_national_yearly!$D:$AM, 10, FALSE), 1)</f>
        <v>4.5931238824434874E-3</v>
      </c>
      <c r="F13" s="7">
        <f>$B13 * IFERROR(VLOOKUP("electricity|PM25|Non-fatal heart attacks", US_national_yearly!$D:$AM, 14, FALSE) / VLOOKUP("electricity|PM25|Non-fatal heart attacks", US_national_yearly!$D:$AM, 10, FALSE), 1)</f>
        <v>4.7155267643149527E-3</v>
      </c>
      <c r="G13" s="7">
        <f>$B13 * IFERROR(VLOOKUP("electricity|PM25|Non-fatal heart attacks", US_national_yearly!$D:$AM, 15, FALSE) / VLOOKUP("electricity|PM25|Non-fatal heart attacks", US_national_yearly!$D:$AM, 10, FALSE), 1)</f>
        <v>4.8317075399813159E-3</v>
      </c>
      <c r="H13" s="7">
        <f>$B13 * IFERROR(VLOOKUP("electricity|PM25|Non-fatal heart attacks", US_national_yearly!$D:$AM, 16, FALSE) / VLOOKUP("electricity|PM25|Non-fatal heart attacks", US_national_yearly!$D:$AM, 10, FALSE), 1)</f>
        <v>4.9478883156476774E-3</v>
      </c>
      <c r="I13" s="7">
        <f>$B13 * IFERROR(VLOOKUP("electricity|PM25|Non-fatal heart attacks", US_national_yearly!$D:$AM, 17, FALSE) / VLOOKUP("electricity|PM25|Non-fatal heart attacks", US_national_yearly!$D:$AM, 10, FALSE), 1)</f>
        <v>5.0426781128012936E-3</v>
      </c>
      <c r="J13" s="7">
        <f>$B13 * IFERROR(VLOOKUP("electricity|PM25|Non-fatal heart attacks", US_national_yearly!$D:$AM, 18, FALSE) / VLOOKUP("electricity|PM25|Non-fatal heart attacks", US_national_yearly!$D:$AM, 10, FALSE), 1)</f>
        <v>5.1374679099549089E-3</v>
      </c>
      <c r="K13" s="7">
        <f>$B13 * IFERROR(VLOOKUP("electricity|PM25|Non-fatal heart attacks", US_national_yearly!$D:$AM, 19, FALSE) / VLOOKUP("electricity|PM25|Non-fatal heart attacks", US_national_yearly!$D:$AM, 10, FALSE), 1)</f>
        <v>5.2322577071085242E-3</v>
      </c>
      <c r="L13" s="7">
        <f>$B13 * IFERROR(VLOOKUP("electricity|PM25|Non-fatal heart attacks", US_national_yearly!$D:$AM, 20, FALSE) / VLOOKUP("electricity|PM25|Non-fatal heart attacks", US_national_yearly!$D:$AM, 10, FALSE), 1)</f>
        <v>5.3270475042621395E-3</v>
      </c>
      <c r="M13" s="7">
        <f>$B13 * IFERROR(VLOOKUP("electricity|PM25|Non-fatal heart attacks", US_national_yearly!$D:$AM, 21, FALSE) / VLOOKUP("electricity|PM25|Non-fatal heart attacks", US_national_yearly!$D:$AM, 10, FALSE), 1)</f>
        <v>5.4218373014157566E-3</v>
      </c>
      <c r="N13" s="7">
        <f>$B13 * IFERROR(VLOOKUP("electricity|PM25|Non-fatal heart attacks", US_national_yearly!$D:$AM, 22, FALSE) / VLOOKUP("electricity|PM25|Non-fatal heart attacks", US_national_yearly!$D:$AM, 10, FALSE), 1)</f>
        <v>5.4833436430849211E-3</v>
      </c>
      <c r="O13" s="7">
        <f>$B13 * IFERROR(VLOOKUP("electricity|PM25|Non-fatal heart attacks", US_national_yearly!$D:$AM, 23, FALSE) / VLOOKUP("electricity|PM25|Non-fatal heart attacks", US_national_yearly!$D:$AM, 10, FALSE), 1)</f>
        <v>5.5448499847540866E-3</v>
      </c>
      <c r="P13" s="7">
        <f>$B13 * IFERROR(VLOOKUP("electricity|PM25|Non-fatal heart attacks", US_national_yearly!$D:$AM, 24, FALSE) / VLOOKUP("electricity|PM25|Non-fatal heart attacks", US_national_yearly!$D:$AM, 10, FALSE), 1)</f>
        <v>5.6063563264232502E-3</v>
      </c>
      <c r="Q13" s="7">
        <f>$B13 * IFERROR(VLOOKUP("electricity|PM25|Non-fatal heart attacks", US_national_yearly!$D:$AM, 25, FALSE) / VLOOKUP("electricity|PM25|Non-fatal heart attacks", US_national_yearly!$D:$AM, 10, FALSE), 1)</f>
        <v>5.6678626680924157E-3</v>
      </c>
      <c r="R13" s="7">
        <f>$B13 * IFERROR(VLOOKUP("electricity|PM25|Non-fatal heart attacks", US_national_yearly!$D:$AM, 26, FALSE) / VLOOKUP("electricity|PM25|Non-fatal heart attacks", US_national_yearly!$D:$AM, 10, FALSE), 1)</f>
        <v>5.7293690097615802E-3</v>
      </c>
      <c r="S13" s="7">
        <f>$B13 * IFERROR(VLOOKUP("electricity|PM25|Non-fatal heart attacks", US_national_yearly!$D:$AM, 27, FALSE) / VLOOKUP("electricity|PM25|Non-fatal heart attacks", US_national_yearly!$D:$AM, 10, FALSE), 1)</f>
        <v>5.7632298309607255E-3</v>
      </c>
      <c r="T13" s="7">
        <f>$B13 * IFERROR(VLOOKUP("electricity|PM25|Non-fatal heart attacks", US_national_yearly!$D:$AM, 28, FALSE) / VLOOKUP("electricity|PM25|Non-fatal heart attacks", US_national_yearly!$D:$AM, 10, FALSE), 1)</f>
        <v>5.7970906521598708E-3</v>
      </c>
      <c r="U13" s="7">
        <f>$B13 * IFERROR(VLOOKUP("electricity|PM25|Non-fatal heart attacks", US_national_yearly!$D:$AM, 29, FALSE) / VLOOKUP("electricity|PM25|Non-fatal heart attacks", US_national_yearly!$D:$AM, 10, FALSE), 1)</f>
        <v>5.8309514733590161E-3</v>
      </c>
      <c r="V13" s="7">
        <f>$B13 * IFERROR(VLOOKUP("electricity|PM25|Non-fatal heart attacks", US_national_yearly!$D:$AM, 30, FALSE) / VLOOKUP("electricity|PM25|Non-fatal heart attacks", US_national_yearly!$D:$AM, 10, FALSE), 1)</f>
        <v>5.8648122945581613E-3</v>
      </c>
      <c r="W13" s="7">
        <f>$B13 * IFERROR(VLOOKUP("electricity|PM25|Non-fatal heart attacks", US_national_yearly!$D:$AM, 31, FALSE) / VLOOKUP("electricity|PM25|Non-fatal heart attacks", US_national_yearly!$D:$AM, 10, FALSE), 1)</f>
        <v>5.8986731157573066E-3</v>
      </c>
      <c r="X13" s="7">
        <f>$B13 * IFERROR(VLOOKUP("electricity|PM25|Non-fatal heart attacks", US_national_yearly!$D:$AM, 32, FALSE) / VLOOKUP("electricity|PM25|Non-fatal heart attacks", US_national_yearly!$D:$AM, 10, FALSE), 1)</f>
        <v>5.925162970693976E-3</v>
      </c>
      <c r="Y13" s="7">
        <f>$B13 * IFERROR(VLOOKUP("electricity|PM25|Non-fatal heart attacks", US_national_yearly!$D:$AM, 33, FALSE) / VLOOKUP("electricity|PM25|Non-fatal heart attacks", US_national_yearly!$D:$AM, 10, FALSE), 1)</f>
        <v>5.9516528256306463E-3</v>
      </c>
      <c r="Z13" s="7">
        <f>$B13 * IFERROR(VLOOKUP("electricity|PM25|Non-fatal heart attacks", US_national_yearly!$D:$AM, 34, FALSE) / VLOOKUP("electricity|PM25|Non-fatal heart attacks", US_national_yearly!$D:$AM, 10, FALSE), 1)</f>
        <v>5.9781426805673148E-3</v>
      </c>
      <c r="AA13" s="7">
        <f>$B13 * IFERROR(VLOOKUP("electricity|PM25|Non-fatal heart attacks", US_national_yearly!$D:$AM, 35, FALSE) / VLOOKUP("electricity|PM25|Non-fatal heart attacks", US_national_yearly!$D:$AM, 10, FALSE), 1)</f>
        <v>6.004632535503986E-3</v>
      </c>
      <c r="AB13" s="7">
        <f>$B13 * IFERROR(VLOOKUP("electricity|PM25|Non-fatal heart attacks", US_national_yearly!$D:$AM, 36, FALSE) / VLOOKUP("electricity|PM25|Non-fatal heart attacks", US_national_yearly!$D:$AM, 10, FALSE), 1)</f>
        <v>6.0311223904406545E-3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3.6113680670651362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3.6193850614265153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3.6274020557878952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3.6354190501492742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3.6434360445106542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3.6553323351829707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3.6672286258552877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3.6882342357875753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3.7092398457198636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3.7302454556521512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3.7512510655844395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3.7722566755167271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3.8013975145931123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3.8305383536694984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3.8596791927458844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3.8888200318222705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3.9179608708986557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3.9473530644882331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3.9767452580778091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4.0061374516673851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4.0355296452569629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4.0649218388465389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4.09011708378587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4.1153123287252011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4.1405075736645331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4.1657028186038634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4.1908980635431963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0.61635878178619152</v>
      </c>
      <c r="C15" s="7">
        <f>$B15 * IFERROR(VLOOKUP("electricity|PM25|Work loss days", US_national_yearly!$D:$AM, 11, FALSE) / VLOOKUP("electricity|PM25|Work loss days", US_national_yearly!$D:$AM, 10, FALSE), 1)</f>
        <v>0.61812252806881718</v>
      </c>
      <c r="D15" s="7">
        <f>$B15 * IFERROR(VLOOKUP("electricity|PM25|Work loss days", US_national_yearly!$D:$AM, 12, FALSE) / VLOOKUP("electricity|PM25|Work loss days", US_national_yearly!$D:$AM, 10, FALSE), 1)</f>
        <v>0.61988627435144306</v>
      </c>
      <c r="E15" s="7">
        <f>$B15 * IFERROR(VLOOKUP("electricity|PM25|Work loss days", US_national_yearly!$D:$AM, 13, FALSE) / VLOOKUP("electricity|PM25|Work loss days", US_national_yearly!$D:$AM, 10, FALSE), 1)</f>
        <v>0.62165002063406871</v>
      </c>
      <c r="F15" s="7">
        <f>$B15 * IFERROR(VLOOKUP("electricity|PM25|Work loss days", US_national_yearly!$D:$AM, 14, FALSE) / VLOOKUP("electricity|PM25|Work loss days", US_national_yearly!$D:$AM, 10, FALSE), 1)</f>
        <v>0.62341376691669437</v>
      </c>
      <c r="G15" s="7">
        <f>$B15 * IFERROR(VLOOKUP("electricity|PM25|Work loss days", US_national_yearly!$D:$AM, 15, FALSE) / VLOOKUP("electricity|PM25|Work loss days", US_national_yearly!$D:$AM, 10, FALSE), 1)</f>
        <v>0.62569860968419222</v>
      </c>
      <c r="H15" s="7">
        <f>$B15 * IFERROR(VLOOKUP("electricity|PM25|Work loss days", US_national_yearly!$D:$AM, 16, FALSE) / VLOOKUP("electricity|PM25|Work loss days", US_national_yearly!$D:$AM, 10, FALSE), 1)</f>
        <v>0.62798345245169018</v>
      </c>
      <c r="I15" s="7">
        <f>$B15 * IFERROR(VLOOKUP("electricity|PM25|Work loss days", US_national_yearly!$D:$AM, 17, FALSE) / VLOOKUP("electricity|PM25|Work loss days", US_national_yearly!$D:$AM, 10, FALSE), 1)</f>
        <v>0.63141832339487614</v>
      </c>
      <c r="J15" s="7">
        <f>$B15 * IFERROR(VLOOKUP("electricity|PM25|Work loss days", US_national_yearly!$D:$AM, 18, FALSE) / VLOOKUP("electricity|PM25|Work loss days", US_national_yearly!$D:$AM, 10, FALSE), 1)</f>
        <v>0.63485319433806209</v>
      </c>
      <c r="K15" s="7">
        <f>$B15 * IFERROR(VLOOKUP("electricity|PM25|Work loss days", US_national_yearly!$D:$AM, 19, FALSE) / VLOOKUP("electricity|PM25|Work loss days", US_national_yearly!$D:$AM, 10, FALSE), 1)</f>
        <v>0.63828806528124804</v>
      </c>
      <c r="L15" s="7">
        <f>$B15 * IFERROR(VLOOKUP("electricity|PM25|Work loss days", US_national_yearly!$D:$AM, 20, FALSE) / VLOOKUP("electricity|PM25|Work loss days", US_national_yearly!$D:$AM, 10, FALSE), 1)</f>
        <v>0.6417229362244341</v>
      </c>
      <c r="M15" s="7">
        <f>$B15 * IFERROR(VLOOKUP("electricity|PM25|Work loss days", US_national_yearly!$D:$AM, 21, FALSE) / VLOOKUP("electricity|PM25|Work loss days", US_national_yearly!$D:$AM, 10, FALSE), 1)</f>
        <v>0.64515780716762017</v>
      </c>
      <c r="N15" s="7">
        <f>$B15 * IFERROR(VLOOKUP("electricity|PM25|Work loss days", US_national_yearly!$D:$AM, 22, FALSE) / VLOOKUP("electricity|PM25|Work loss days", US_national_yearly!$D:$AM, 10, FALSE), 1)</f>
        <v>0.64959246401251813</v>
      </c>
      <c r="O15" s="7">
        <f>$B15 * IFERROR(VLOOKUP("electricity|PM25|Work loss days", US_national_yearly!$D:$AM, 23, FALSE) / VLOOKUP("electricity|PM25|Work loss days", US_national_yearly!$D:$AM, 10, FALSE), 1)</f>
        <v>0.6540271208574161</v>
      </c>
      <c r="P15" s="7">
        <f>$B15 * IFERROR(VLOOKUP("electricity|PM25|Work loss days", US_national_yearly!$D:$AM, 24, FALSE) / VLOOKUP("electricity|PM25|Work loss days", US_national_yearly!$D:$AM, 10, FALSE), 1)</f>
        <v>0.65846177770231396</v>
      </c>
      <c r="Q15" s="7">
        <f>$B15 * IFERROR(VLOOKUP("electricity|PM25|Work loss days", US_national_yearly!$D:$AM, 25, FALSE) / VLOOKUP("electricity|PM25|Work loss days", US_national_yearly!$D:$AM, 10, FALSE), 1)</f>
        <v>0.6628964345472117</v>
      </c>
      <c r="R15" s="7">
        <f>$B15 * IFERROR(VLOOKUP("electricity|PM25|Work loss days", US_national_yearly!$D:$AM, 26, FALSE) / VLOOKUP("electricity|PM25|Work loss days", US_national_yearly!$D:$AM, 10, FALSE), 1)</f>
        <v>0.66733109139210967</v>
      </c>
      <c r="S15" s="7">
        <f>$B15 * IFERROR(VLOOKUP("electricity|PM25|Work loss days", US_national_yearly!$D:$AM, 27, FALSE) / VLOOKUP("electricity|PM25|Work loss days", US_national_yearly!$D:$AM, 10, FALSE), 1)</f>
        <v>0.67225199454589912</v>
      </c>
      <c r="T15" s="7">
        <f>$B15 * IFERROR(VLOOKUP("electricity|PM25|Work loss days", US_national_yearly!$D:$AM, 28, FALSE) / VLOOKUP("electricity|PM25|Work loss days", US_national_yearly!$D:$AM, 10, FALSE), 1)</f>
        <v>0.67717289769968858</v>
      </c>
      <c r="U15" s="7">
        <f>$B15 * IFERROR(VLOOKUP("electricity|PM25|Work loss days", US_national_yearly!$D:$AM, 29, FALSE) / VLOOKUP("electricity|PM25|Work loss days", US_national_yearly!$D:$AM, 10, FALSE), 1)</f>
        <v>0.68209380085347815</v>
      </c>
      <c r="V15" s="7">
        <f>$B15 * IFERROR(VLOOKUP("electricity|PM25|Work loss days", US_national_yearly!$D:$AM, 30, FALSE) / VLOOKUP("electricity|PM25|Work loss days", US_national_yearly!$D:$AM, 10, FALSE), 1)</f>
        <v>0.68701470400726761</v>
      </c>
      <c r="W15" s="7">
        <f>$B15 * IFERROR(VLOOKUP("electricity|PM25|Work loss days", US_national_yearly!$D:$AM, 31, FALSE) / VLOOKUP("electricity|PM25|Work loss days", US_national_yearly!$D:$AM, 10, FALSE), 1)</f>
        <v>0.69193560716105706</v>
      </c>
      <c r="X15" s="7">
        <f>$B15 * IFERROR(VLOOKUP("electricity|PM25|Work loss days", US_national_yearly!$D:$AM, 32, FALSE) / VLOOKUP("electricity|PM25|Work loss days", US_national_yearly!$D:$AM, 10, FALSE), 1)</f>
        <v>0.69627665119144955</v>
      </c>
      <c r="Y15" s="7">
        <f>$B15 * IFERROR(VLOOKUP("electricity|PM25|Work loss days", US_national_yearly!$D:$AM, 33, FALSE) / VLOOKUP("electricity|PM25|Work loss days", US_national_yearly!$D:$AM, 10, FALSE), 1)</f>
        <v>0.70061769522184181</v>
      </c>
      <c r="Z15" s="7">
        <f>$B15 * IFERROR(VLOOKUP("electricity|PM25|Work loss days", US_national_yearly!$D:$AM, 34, FALSE) / VLOOKUP("electricity|PM25|Work loss days", US_national_yearly!$D:$AM, 10, FALSE), 1)</f>
        <v>0.70495873925223418</v>
      </c>
      <c r="AA15" s="7">
        <f>$B15 * IFERROR(VLOOKUP("electricity|PM25|Work loss days", US_national_yearly!$D:$AM, 35, FALSE) / VLOOKUP("electricity|PM25|Work loss days", US_national_yearly!$D:$AM, 10, FALSE), 1)</f>
        <v>0.70929978328262677</v>
      </c>
      <c r="AB15" s="7">
        <f>$B15 * IFERROR(VLOOKUP("electricity|PM25|Work loss days", US_national_yearly!$D:$AM, 36, FALSE) / VLOOKUP("electricity|PM25|Work loss days", US_national_yearly!$D:$AM, 10, FALSE), 1)</f>
        <v>0.71364082731301914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8.5193312230786526E-4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8.7721416032781555E-4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9.0249519834776585E-4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9.2777623636771615E-4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9.5305727438766655E-4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9.7744079633710411E-4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1.0018243182865416E-3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1.022947262902255E-3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1.0440702075179685E-3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1.065193152133682E-3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1.0863160967493955E-3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1.107439041365109E-3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1.1216383688883273E-3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1.1358376964115454E-3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1.1500370239347635E-3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1.164236351457982E-3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1.1784356789812001E-3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1.1862723067947722E-3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1.194108934608344E-3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1.201945562421916E-3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1.2097821902354879E-3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1.2176188180490599E-3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1.2230860740076277E-3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1.2285533299661951E-3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1.2340205859247629E-3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1.2394878418833307E-3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1.2449550978418983E-3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1.5434064487295982E-4</v>
      </c>
      <c r="C2" s="7">
        <f>$B2 * IFERROR(VLOOKUP("electricity|NOx|Premature mortality", US_national_yearly!$D:$AM, 11, FALSE) / VLOOKUP("electricity|NOx|Premature mortality", US_national_yearly!$D:$AM, 10, FALSE), 1)</f>
        <v>1.5667591663671217E-4</v>
      </c>
      <c r="D2" s="7">
        <f>$B2 * IFERROR(VLOOKUP("electricity|NOx|Premature mortality", US_national_yearly!$D:$AM, 12, FALSE) / VLOOKUP("electricity|NOx|Premature mortality", US_national_yearly!$D:$AM, 10, FALSE), 1)</f>
        <v>1.5901118840046455E-4</v>
      </c>
      <c r="E2" s="7">
        <f>$B2 * IFERROR(VLOOKUP("electricity|NOx|Premature mortality", US_national_yearly!$D:$AM, 13, FALSE) / VLOOKUP("electricity|NOx|Premature mortality", US_national_yearly!$D:$AM, 10, FALSE), 1)</f>
        <v>1.6134646016421691E-4</v>
      </c>
      <c r="F2" s="7">
        <f>$B2 * IFERROR(VLOOKUP("electricity|NOx|Premature mortality", US_national_yearly!$D:$AM, 14, FALSE) / VLOOKUP("electricity|NOx|Premature mortality", US_national_yearly!$D:$AM, 10, FALSE), 1)</f>
        <v>1.6368173192796926E-4</v>
      </c>
      <c r="G2" s="7">
        <f>$B2 * IFERROR(VLOOKUP("electricity|NOx|Premature mortality", US_national_yearly!$D:$AM, 15, FALSE) / VLOOKUP("electricity|NOx|Premature mortality", US_national_yearly!$D:$AM, 10, FALSE), 1)</f>
        <v>1.6785338735862305E-4</v>
      </c>
      <c r="H2" s="7">
        <f>$B2 * IFERROR(VLOOKUP("electricity|NOx|Premature mortality", US_national_yearly!$D:$AM, 16, FALSE) / VLOOKUP("electricity|NOx|Premature mortality", US_national_yearly!$D:$AM, 10, FALSE), 1)</f>
        <v>1.7202504278927678E-4</v>
      </c>
      <c r="I2" s="7">
        <f>$B2 * IFERROR(VLOOKUP("electricity|NOx|Premature mortality", US_national_yearly!$D:$AM, 17, FALSE) / VLOOKUP("electricity|NOx|Premature mortality", US_national_yearly!$D:$AM, 10, FALSE), 1)</f>
        <v>1.747972791728688E-4</v>
      </c>
      <c r="J2" s="7">
        <f>$B2 * IFERROR(VLOOKUP("electricity|NOx|Premature mortality", US_national_yearly!$D:$AM, 18, FALSE) / VLOOKUP("electricity|NOx|Premature mortality", US_national_yearly!$D:$AM, 10, FALSE), 1)</f>
        <v>1.7756951555646084E-4</v>
      </c>
      <c r="K2" s="7">
        <f>$B2 * IFERROR(VLOOKUP("electricity|NOx|Premature mortality", US_national_yearly!$D:$AM, 19, FALSE) / VLOOKUP("electricity|NOx|Premature mortality", US_national_yearly!$D:$AM, 10, FALSE), 1)</f>
        <v>1.8034175194005285E-4</v>
      </c>
      <c r="L2" s="7">
        <f>$B2 * IFERROR(VLOOKUP("electricity|NOx|Premature mortality", US_national_yearly!$D:$AM, 20, FALSE) / VLOOKUP("electricity|NOx|Premature mortality", US_national_yearly!$D:$AM, 10, FALSE), 1)</f>
        <v>1.8311398832364487E-4</v>
      </c>
      <c r="M2" s="7">
        <f>$B2 * IFERROR(VLOOKUP("electricity|NOx|Premature mortality", US_national_yearly!$D:$AM, 21, FALSE) / VLOOKUP("electricity|NOx|Premature mortality", US_national_yearly!$D:$AM, 10, FALSE), 1)</f>
        <v>1.8588622470723688E-4</v>
      </c>
      <c r="N2" s="7">
        <f>$B2 * IFERROR(VLOOKUP("electricity|NOx|Premature mortality", US_national_yearly!$D:$AM, 22, FALSE) / VLOOKUP("electricity|NOx|Premature mortality", US_national_yearly!$D:$AM, 10, FALSE), 1)</f>
        <v>1.8802532556124905E-4</v>
      </c>
      <c r="O2" s="7">
        <f>$B2 * IFERROR(VLOOKUP("electricity|NOx|Premature mortality", US_national_yearly!$D:$AM, 23, FALSE) / VLOOKUP("electricity|NOx|Premature mortality", US_national_yearly!$D:$AM, 10, FALSE), 1)</f>
        <v>1.901644264152613E-4</v>
      </c>
      <c r="P2" s="7">
        <f>$B2 * IFERROR(VLOOKUP("electricity|NOx|Premature mortality", US_national_yearly!$D:$AM, 24, FALSE) / VLOOKUP("electricity|NOx|Premature mortality", US_national_yearly!$D:$AM, 10, FALSE), 1)</f>
        <v>1.923035272692735E-4</v>
      </c>
      <c r="Q2" s="7">
        <f>$B2 * IFERROR(VLOOKUP("electricity|NOx|Premature mortality", US_national_yearly!$D:$AM, 25, FALSE) / VLOOKUP("electricity|NOx|Premature mortality", US_national_yearly!$D:$AM, 10, FALSE), 1)</f>
        <v>1.9444262812328569E-4</v>
      </c>
      <c r="R2" s="7">
        <f>$B2 * IFERROR(VLOOKUP("electricity|NOx|Premature mortality", US_national_yearly!$D:$AM, 26, FALSE) / VLOOKUP("electricity|NOx|Premature mortality", US_national_yearly!$D:$AM, 10, FALSE), 1)</f>
        <v>1.9658172897729789E-4</v>
      </c>
      <c r="S2" s="7">
        <f>$B2 * IFERROR(VLOOKUP("electricity|NOx|Premature mortality", US_national_yearly!$D:$AM, 27, FALSE) / VLOOKUP("electricity|NOx|Premature mortality", US_national_yearly!$D:$AM, 10, FALSE), 1)</f>
        <v>1.9768709195422756E-4</v>
      </c>
      <c r="T2" s="7">
        <f>$B2 * IFERROR(VLOOKUP("electricity|NOx|Premature mortality", US_national_yearly!$D:$AM, 28, FALSE) / VLOOKUP("electricity|NOx|Premature mortality", US_national_yearly!$D:$AM, 10, FALSE), 1)</f>
        <v>1.9879245493115724E-4</v>
      </c>
      <c r="U2" s="7">
        <f>$B2 * IFERROR(VLOOKUP("electricity|NOx|Premature mortality", US_national_yearly!$D:$AM, 29, FALSE) / VLOOKUP("electricity|NOx|Premature mortality", US_national_yearly!$D:$AM, 10, FALSE), 1)</f>
        <v>1.9989781790808698E-4</v>
      </c>
      <c r="V2" s="7">
        <f>$B2 * IFERROR(VLOOKUP("electricity|NOx|Premature mortality", US_national_yearly!$D:$AM, 30, FALSE) / VLOOKUP("electricity|NOx|Premature mortality", US_national_yearly!$D:$AM, 10, FALSE), 1)</f>
        <v>2.0100318088501665E-4</v>
      </c>
      <c r="W2" s="7">
        <f>$B2 * IFERROR(VLOOKUP("electricity|NOx|Premature mortality", US_national_yearly!$D:$AM, 31, FALSE) / VLOOKUP("electricity|NOx|Premature mortality", US_national_yearly!$D:$AM, 10, FALSE), 1)</f>
        <v>2.0210854386194633E-4</v>
      </c>
      <c r="X2" s="7">
        <f>$B2 * IFERROR(VLOOKUP("electricity|NOx|Premature mortality", US_national_yearly!$D:$AM, 32, FALSE) / VLOOKUP("electricity|NOx|Premature mortality", US_national_yearly!$D:$AM, 10, FALSE), 1)</f>
        <v>2.0235861130681902E-4</v>
      </c>
      <c r="Y2" s="7">
        <f>$B2 * IFERROR(VLOOKUP("electricity|NOx|Premature mortality", US_national_yearly!$D:$AM, 33, FALSE) / VLOOKUP("electricity|NOx|Premature mortality", US_national_yearly!$D:$AM, 10, FALSE), 1)</f>
        <v>2.0260867875169169E-4</v>
      </c>
      <c r="Z2" s="7">
        <f>$B2 * IFERROR(VLOOKUP("electricity|NOx|Premature mortality", US_national_yearly!$D:$AM, 34, FALSE) / VLOOKUP("electricity|NOx|Premature mortality", US_national_yearly!$D:$AM, 10, FALSE), 1)</f>
        <v>2.0285874619656438E-4</v>
      </c>
      <c r="AA2" s="7">
        <f>$B2 * IFERROR(VLOOKUP("electricity|NOx|Premature mortality", US_national_yearly!$D:$AM, 35, FALSE) / VLOOKUP("electricity|NOx|Premature mortality", US_national_yearly!$D:$AM, 10, FALSE), 1)</f>
        <v>2.0310881364143704E-4</v>
      </c>
      <c r="AB2" s="7">
        <f>$B2 * IFERROR(VLOOKUP("electricity|NOx|Premature mortality", US_national_yearly!$D:$AM, 36, FALSE) / VLOOKUP("electricity|NOx|Premature mortality", US_national_yearly!$D:$AM, 10, FALSE), 1)</f>
        <v>2.0335888108630971E-4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4.0806374941010186E-7</v>
      </c>
      <c r="C3" s="7">
        <f>$B3 * IFERROR(VLOOKUP("electricity|NOx|Infant mortality", US_national_yearly!$D:$AM, 11, FALSE) / VLOOKUP("electricity|NOx|Infant mortality", US_national_yearly!$D:$AM, 10, FALSE), 1)</f>
        <v>4.0424607988653327E-7</v>
      </c>
      <c r="D3" s="7">
        <f>$B3 * IFERROR(VLOOKUP("electricity|NOx|Infant mortality", US_national_yearly!$D:$AM, 12, FALSE) / VLOOKUP("electricity|NOx|Infant mortality", US_national_yearly!$D:$AM, 10, FALSE), 1)</f>
        <v>4.0042841036296457E-7</v>
      </c>
      <c r="E3" s="7">
        <f>$B3 * IFERROR(VLOOKUP("electricity|NOx|Infant mortality", US_national_yearly!$D:$AM, 13, FALSE) / VLOOKUP("electricity|NOx|Infant mortality", US_national_yearly!$D:$AM, 10, FALSE), 1)</f>
        <v>3.9661074083939598E-7</v>
      </c>
      <c r="F3" s="7">
        <f>$B3 * IFERROR(VLOOKUP("electricity|NOx|Infant mortality", US_national_yearly!$D:$AM, 14, FALSE) / VLOOKUP("electricity|NOx|Infant mortality", US_national_yearly!$D:$AM, 10, FALSE), 1)</f>
        <v>3.9279307131582733E-7</v>
      </c>
      <c r="G3" s="7">
        <f>$B3 * IFERROR(VLOOKUP("electricity|NOx|Infant mortality", US_national_yearly!$D:$AM, 15, FALSE) / VLOOKUP("electricity|NOx|Infant mortality", US_national_yearly!$D:$AM, 10, FALSE), 1)</f>
        <v>2.6024487013529053E-7</v>
      </c>
      <c r="H3" s="7">
        <f>$B3 * IFERROR(VLOOKUP("electricity|NOx|Infant mortality", US_national_yearly!$D:$AM, 16, FALSE) / VLOOKUP("electricity|NOx|Infant mortality", US_national_yearly!$D:$AM, 10, FALSE), 1)</f>
        <v>1.2769666895475372E-7</v>
      </c>
      <c r="I3" s="7">
        <f>$B3 * IFERROR(VLOOKUP("electricity|NOx|Infant mortality", US_national_yearly!$D:$AM, 17, FALSE) / VLOOKUP("electricity|NOx|Infant mortality", US_national_yearly!$D:$AM, 10, FALSE), 1)</f>
        <v>1.2676798899722427E-7</v>
      </c>
      <c r="J3" s="7">
        <f>$B3 * IFERROR(VLOOKUP("electricity|NOx|Infant mortality", US_national_yearly!$D:$AM, 18, FALSE) / VLOOKUP("electricity|NOx|Infant mortality", US_national_yearly!$D:$AM, 10, FALSE), 1)</f>
        <v>1.2583930903969482E-7</v>
      </c>
      <c r="K3" s="7">
        <f>$B3 * IFERROR(VLOOKUP("electricity|NOx|Infant mortality", US_national_yearly!$D:$AM, 19, FALSE) / VLOOKUP("electricity|NOx|Infant mortality", US_national_yearly!$D:$AM, 10, FALSE), 1)</f>
        <v>1.249106290821654E-7</v>
      </c>
      <c r="L3" s="7">
        <f>$B3 * IFERROR(VLOOKUP("electricity|NOx|Infant mortality", US_national_yearly!$D:$AM, 20, FALSE) / VLOOKUP("electricity|NOx|Infant mortality", US_national_yearly!$D:$AM, 10, FALSE), 1)</f>
        <v>1.2398194912463595E-7</v>
      </c>
      <c r="M3" s="7">
        <f>$B3 * IFERROR(VLOOKUP("electricity|NOx|Infant mortality", US_national_yearly!$D:$AM, 21, FALSE) / VLOOKUP("electricity|NOx|Infant mortality", US_national_yearly!$D:$AM, 10, FALSE), 1)</f>
        <v>1.2305326916710648E-7</v>
      </c>
      <c r="N3" s="7">
        <f>$B3 * IFERROR(VLOOKUP("electricity|NOx|Infant mortality", US_national_yearly!$D:$AM, 22, FALSE) / VLOOKUP("electricity|NOx|Infant mortality", US_national_yearly!$D:$AM, 10, FALSE), 1)</f>
        <v>1.2242965390453699E-7</v>
      </c>
      <c r="O3" s="7">
        <f>$B3 * IFERROR(VLOOKUP("electricity|NOx|Infant mortality", US_national_yearly!$D:$AM, 23, FALSE) / VLOOKUP("electricity|NOx|Infant mortality", US_national_yearly!$D:$AM, 10, FALSE), 1)</f>
        <v>1.2180603864196744E-7</v>
      </c>
      <c r="P3" s="7">
        <f>$B3 * IFERROR(VLOOKUP("electricity|NOx|Infant mortality", US_national_yearly!$D:$AM, 24, FALSE) / VLOOKUP("electricity|NOx|Infant mortality", US_national_yearly!$D:$AM, 10, FALSE), 1)</f>
        <v>1.2118242337939792E-7</v>
      </c>
      <c r="Q3" s="7">
        <f>$B3 * IFERROR(VLOOKUP("electricity|NOx|Infant mortality", US_national_yearly!$D:$AM, 25, FALSE) / VLOOKUP("electricity|NOx|Infant mortality", US_national_yearly!$D:$AM, 10, FALSE), 1)</f>
        <v>1.205588081168284E-7</v>
      </c>
      <c r="R3" s="7">
        <f>$B3 * IFERROR(VLOOKUP("electricity|NOx|Infant mortality", US_national_yearly!$D:$AM, 26, FALSE) / VLOOKUP("electricity|NOx|Infant mortality", US_national_yearly!$D:$AM, 10, FALSE), 1)</f>
        <v>1.1993519285425888E-7</v>
      </c>
      <c r="S3" s="7">
        <f>$B3 * IFERROR(VLOOKUP("electricity|NOx|Infant mortality", US_national_yearly!$D:$AM, 27, FALSE) / VLOOKUP("electricity|NOx|Infant mortality", US_national_yearly!$D:$AM, 10, FALSE), 1)</f>
        <v>1.1919485293843819E-7</v>
      </c>
      <c r="T3" s="7">
        <f>$B3 * IFERROR(VLOOKUP("electricity|NOx|Infant mortality", US_national_yearly!$D:$AM, 28, FALSE) / VLOOKUP("electricity|NOx|Infant mortality", US_national_yearly!$D:$AM, 10, FALSE), 1)</f>
        <v>1.184545130226175E-7</v>
      </c>
      <c r="U3" s="7">
        <f>$B3 * IFERROR(VLOOKUP("electricity|NOx|Infant mortality", US_national_yearly!$D:$AM, 29, FALSE) / VLOOKUP("electricity|NOx|Infant mortality", US_national_yearly!$D:$AM, 10, FALSE), 1)</f>
        <v>1.1771417310679684E-7</v>
      </c>
      <c r="V3" s="7">
        <f>$B3 * IFERROR(VLOOKUP("electricity|NOx|Infant mortality", US_national_yearly!$D:$AM, 30, FALSE) / VLOOKUP("electricity|NOx|Infant mortality", US_national_yearly!$D:$AM, 10, FALSE), 1)</f>
        <v>1.1697383319097617E-7</v>
      </c>
      <c r="W3" s="7">
        <f>$B3 * IFERROR(VLOOKUP("electricity|NOx|Infant mortality", US_national_yearly!$D:$AM, 31, FALSE) / VLOOKUP("electricity|NOx|Infant mortality", US_national_yearly!$D:$AM, 10, FALSE), 1)</f>
        <v>1.1623349327515548E-7</v>
      </c>
      <c r="X3" s="7">
        <f>$B3 * IFERROR(VLOOKUP("electricity|NOx|Infant mortality", US_national_yearly!$D:$AM, 32, FALSE) / VLOOKUP("electricity|NOx|Infant mortality", US_national_yearly!$D:$AM, 10, FALSE), 1)</f>
        <v>1.1547118423717753E-7</v>
      </c>
      <c r="Y3" s="7">
        <f>$B3 * IFERROR(VLOOKUP("electricity|NOx|Infant mortality", US_national_yearly!$D:$AM, 33, FALSE) / VLOOKUP("electricity|NOx|Infant mortality", US_national_yearly!$D:$AM, 10, FALSE), 1)</f>
        <v>1.1470887519919959E-7</v>
      </c>
      <c r="Z3" s="7">
        <f>$B3 * IFERROR(VLOOKUP("electricity|NOx|Infant mortality", US_national_yearly!$D:$AM, 34, FALSE) / VLOOKUP("electricity|NOx|Infant mortality", US_national_yearly!$D:$AM, 10, FALSE), 1)</f>
        <v>1.1394656616122164E-7</v>
      </c>
      <c r="AA3" s="7">
        <f>$B3 * IFERROR(VLOOKUP("electricity|NOx|Infant mortality", US_national_yearly!$D:$AM, 35, FALSE) / VLOOKUP("electricity|NOx|Infant mortality", US_national_yearly!$D:$AM, 10, FALSE), 1)</f>
        <v>1.131842571232437E-7</v>
      </c>
      <c r="AB3" s="7">
        <f>$B3 * IFERROR(VLOOKUP("electricity|NOx|Infant mortality", US_national_yearly!$D:$AM, 36, FALSE) / VLOOKUP("electricity|NOx|Infant mortality", US_national_yearly!$D:$AM, 10, FALSE), 1)</f>
        <v>1.1242194808526573E-7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5.0757012002167613E-4</v>
      </c>
      <c r="C6" s="7">
        <f>$B6 * IFERROR(VLOOKUP("electricity|NOx|Asthma symptoms cough", US_national_yearly!$D:$AM, 11, FALSE) / VLOOKUP("electricity|NOx|Asthma symptoms cough", US_national_yearly!$D:$AM, 10, FALSE), 1)</f>
        <v>5.1453841363571068E-4</v>
      </c>
      <c r="D6" s="7">
        <f>$B6 * IFERROR(VLOOKUP("electricity|NOx|Asthma symptoms cough", US_national_yearly!$D:$AM, 12, FALSE) / VLOOKUP("electricity|NOx|Asthma symptoms cough", US_national_yearly!$D:$AM, 10, FALSE), 1)</f>
        <v>5.2150670724974534E-4</v>
      </c>
      <c r="E6" s="7">
        <f>$B6 * IFERROR(VLOOKUP("electricity|NOx|Asthma symptoms cough", US_national_yearly!$D:$AM, 13, FALSE) / VLOOKUP("electricity|NOx|Asthma symptoms cough", US_national_yearly!$D:$AM, 10, FALSE), 1)</f>
        <v>5.284750008637799E-4</v>
      </c>
      <c r="F6" s="7">
        <f>$B6 * IFERROR(VLOOKUP("electricity|NOx|Asthma symptoms cough", US_national_yearly!$D:$AM, 14, FALSE) / VLOOKUP("electricity|NOx|Asthma symptoms cough", US_national_yearly!$D:$AM, 10, FALSE), 1)</f>
        <v>5.3544329447781434E-4</v>
      </c>
      <c r="G6" s="7">
        <f>$B6 * IFERROR(VLOOKUP("electricity|NOx|Asthma symptoms cough", US_national_yearly!$D:$AM, 15, FALSE) / VLOOKUP("electricity|NOx|Asthma symptoms cough", US_national_yearly!$D:$AM, 10, FALSE), 1)</f>
        <v>5.4110888666056484E-4</v>
      </c>
      <c r="H6" s="7">
        <f>$B6 * IFERROR(VLOOKUP("electricity|NOx|Asthma symptoms cough", US_national_yearly!$D:$AM, 16, FALSE) / VLOOKUP("electricity|NOx|Asthma symptoms cough", US_national_yearly!$D:$AM, 10, FALSE), 1)</f>
        <v>5.4677447884331524E-4</v>
      </c>
      <c r="I6" s="7">
        <f>$B6 * IFERROR(VLOOKUP("electricity|NOx|Asthma symptoms cough", US_national_yearly!$D:$AM, 17, FALSE) / VLOOKUP("electricity|NOx|Asthma symptoms cough", US_national_yearly!$D:$AM, 10, FALSE), 1)</f>
        <v>5.488805949908879E-4</v>
      </c>
      <c r="J6" s="7">
        <f>$B6 * IFERROR(VLOOKUP("electricity|NOx|Asthma symptoms cough", US_national_yearly!$D:$AM, 18, FALSE) / VLOOKUP("electricity|NOx|Asthma symptoms cough", US_national_yearly!$D:$AM, 10, FALSE), 1)</f>
        <v>5.5098671113846056E-4</v>
      </c>
      <c r="K6" s="7">
        <f>$B6 * IFERROR(VLOOKUP("electricity|NOx|Asthma symptoms cough", US_national_yearly!$D:$AM, 19, FALSE) / VLOOKUP("electricity|NOx|Asthma symptoms cough", US_national_yearly!$D:$AM, 10, FALSE), 1)</f>
        <v>5.5309282728603344E-4</v>
      </c>
      <c r="L6" s="7">
        <f>$B6 * IFERROR(VLOOKUP("electricity|NOx|Asthma symptoms cough", US_national_yearly!$D:$AM, 20, FALSE) / VLOOKUP("electricity|NOx|Asthma symptoms cough", US_national_yearly!$D:$AM, 10, FALSE), 1)</f>
        <v>5.5519894343360611E-4</v>
      </c>
      <c r="M6" s="7">
        <f>$B6 * IFERROR(VLOOKUP("electricity|NOx|Asthma symptoms cough", US_national_yearly!$D:$AM, 21, FALSE) / VLOOKUP("electricity|NOx|Asthma symptoms cough", US_national_yearly!$D:$AM, 10, FALSE), 1)</f>
        <v>5.5730505958117888E-4</v>
      </c>
      <c r="N6" s="7">
        <f>$B6 * IFERROR(VLOOKUP("electricity|NOx|Asthma symptoms cough", US_national_yearly!$D:$AM, 22, FALSE) / VLOOKUP("electricity|NOx|Asthma symptoms cough", US_national_yearly!$D:$AM, 10, FALSE), 1)</f>
        <v>5.596386187297391E-4</v>
      </c>
      <c r="O6" s="7">
        <f>$B6 * IFERROR(VLOOKUP("electricity|NOx|Asthma symptoms cough", US_national_yearly!$D:$AM, 23, FALSE) / VLOOKUP("electricity|NOx|Asthma symptoms cough", US_national_yearly!$D:$AM, 10, FALSE), 1)</f>
        <v>5.6197217787829943E-4</v>
      </c>
      <c r="P6" s="7">
        <f>$B6 * IFERROR(VLOOKUP("electricity|NOx|Asthma symptoms cough", US_national_yearly!$D:$AM, 24, FALSE) / VLOOKUP("electricity|NOx|Asthma symptoms cough", US_national_yearly!$D:$AM, 10, FALSE), 1)</f>
        <v>5.6430573702685954E-4</v>
      </c>
      <c r="Q6" s="7">
        <f>$B6 * IFERROR(VLOOKUP("electricity|NOx|Asthma symptoms cough", US_national_yearly!$D:$AM, 25, FALSE) / VLOOKUP("electricity|NOx|Asthma symptoms cough", US_national_yearly!$D:$AM, 10, FALSE), 1)</f>
        <v>5.6663929617541988E-4</v>
      </c>
      <c r="R6" s="7">
        <f>$B6 * IFERROR(VLOOKUP("electricity|NOx|Asthma symptoms cough", US_national_yearly!$D:$AM, 26, FALSE) / VLOOKUP("electricity|NOx|Asthma symptoms cough", US_national_yearly!$D:$AM, 10, FALSE), 1)</f>
        <v>5.689728553239801E-4</v>
      </c>
      <c r="S6" s="7">
        <f>$B6 * IFERROR(VLOOKUP("electricity|NOx|Asthma symptoms cough", US_national_yearly!$D:$AM, 27, FALSE) / VLOOKUP("electricity|NOx|Asthma symptoms cough", US_national_yearly!$D:$AM, 10, FALSE), 1)</f>
        <v>5.718841852543695E-4</v>
      </c>
      <c r="T6" s="7">
        <f>$B6 * IFERROR(VLOOKUP("electricity|NOx|Asthma symptoms cough", US_national_yearly!$D:$AM, 28, FALSE) / VLOOKUP("electricity|NOx|Asthma symptoms cough", US_national_yearly!$D:$AM, 10, FALSE), 1)</f>
        <v>5.747955151847588E-4</v>
      </c>
      <c r="U6" s="7">
        <f>$B6 * IFERROR(VLOOKUP("electricity|NOx|Asthma symptoms cough", US_national_yearly!$D:$AM, 29, FALSE) / VLOOKUP("electricity|NOx|Asthma symptoms cough", US_national_yearly!$D:$AM, 10, FALSE), 1)</f>
        <v>5.7770684511514842E-4</v>
      </c>
      <c r="V6" s="7">
        <f>$B6 * IFERROR(VLOOKUP("electricity|NOx|Asthma symptoms cough", US_national_yearly!$D:$AM, 30, FALSE) / VLOOKUP("electricity|NOx|Asthma symptoms cough", US_national_yearly!$D:$AM, 10, FALSE), 1)</f>
        <v>5.8061817504553772E-4</v>
      </c>
      <c r="W6" s="7">
        <f>$B6 * IFERROR(VLOOKUP("electricity|NOx|Asthma symptoms cough", US_national_yearly!$D:$AM, 31, FALSE) / VLOOKUP("electricity|NOx|Asthma symptoms cough", US_national_yearly!$D:$AM, 10, FALSE), 1)</f>
        <v>5.8352950497592712E-4</v>
      </c>
      <c r="X6" s="7">
        <f>$B6 * IFERROR(VLOOKUP("electricity|NOx|Asthma symptoms cough", US_national_yearly!$D:$AM, 32, FALSE) / VLOOKUP("electricity|NOx|Asthma symptoms cough", US_national_yearly!$D:$AM, 10, FALSE), 1)</f>
        <v>5.8621173267443089E-4</v>
      </c>
      <c r="Y6" s="7">
        <f>$B6 * IFERROR(VLOOKUP("electricity|NOx|Asthma symptoms cough", US_national_yearly!$D:$AM, 33, FALSE) / VLOOKUP("electricity|NOx|Asthma symptoms cough", US_national_yearly!$D:$AM, 10, FALSE), 1)</f>
        <v>5.8889396037293466E-4</v>
      </c>
      <c r="Z6" s="7">
        <f>$B6 * IFERROR(VLOOKUP("electricity|NOx|Asthma symptoms cough", US_national_yearly!$D:$AM, 34, FALSE) / VLOOKUP("electricity|NOx|Asthma symptoms cough", US_national_yearly!$D:$AM, 10, FALSE), 1)</f>
        <v>5.9157618807143843E-4</v>
      </c>
      <c r="AA6" s="7">
        <f>$B6 * IFERROR(VLOOKUP("electricity|NOx|Asthma symptoms cough", US_national_yearly!$D:$AM, 35, FALSE) / VLOOKUP("electricity|NOx|Asthma symptoms cough", US_national_yearly!$D:$AM, 10, FALSE), 1)</f>
        <v>5.9425841576994209E-4</v>
      </c>
      <c r="AB6" s="7">
        <f>$B6 * IFERROR(VLOOKUP("electricity|NOx|Asthma symptoms cough", US_national_yearly!$D:$AM, 36, FALSE) / VLOOKUP("electricity|NOx|Asthma symptoms cough", US_national_yearly!$D:$AM, 10, FALSE), 1)</f>
        <v>5.9694064346844597E-4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6.8351654362263227E-4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6.9290035832970042E-4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7.0228417303676879E-4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7.1166798774383705E-4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7.2105180245090521E-4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7.2868134134891573E-4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7.3631088024692602E-4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7.3914707008386656E-4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7.4198325992080676E-4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7.4481944975774718E-4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7.4765563959468739E-4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7.5049182943162781E-4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7.5363430415270941E-4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7.5677677887379111E-4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7.5991925359487271E-4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7.6306172831595452E-4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7.6620420303703612E-4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7.7012472964555238E-4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7.7404525625406854E-4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7.779657828625848E-4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7.8188630947110095E-4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7.8580683607961722E-4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7.8941884341206746E-4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7.9303085074451793E-4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7.9664285807696817E-4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8.0025486540941842E-4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8.0386687274186877E-4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1.0442984145907139E-3</v>
      </c>
      <c r="C8" s="7">
        <f>$B8 * IFERROR(VLOOKUP("electricity|NOx|Asthma symptoms wheeze", US_national_yearly!$D:$AM, 11, FALSE) / VLOOKUP("electricity|NOx|Asthma symptoms wheeze", US_national_yearly!$D:$AM, 10, FALSE), 1)</f>
        <v>1.0586353065483009E-3</v>
      </c>
      <c r="D8" s="7">
        <f>$B8 * IFERROR(VLOOKUP("electricity|NOx|Asthma symptoms wheeze", US_national_yearly!$D:$AM, 12, FALSE) / VLOOKUP("electricity|NOx|Asthma symptoms wheeze", US_national_yearly!$D:$AM, 10, FALSE), 1)</f>
        <v>1.0729721985058877E-3</v>
      </c>
      <c r="E8" s="7">
        <f>$B8 * IFERROR(VLOOKUP("electricity|NOx|Asthma symptoms wheeze", US_national_yearly!$D:$AM, 13, FALSE) / VLOOKUP("electricity|NOx|Asthma symptoms wheeze", US_national_yearly!$D:$AM, 10, FALSE), 1)</f>
        <v>1.0873090904634747E-3</v>
      </c>
      <c r="F8" s="7">
        <f>$B8 * IFERROR(VLOOKUP("electricity|NOx|Asthma symptoms wheeze", US_national_yearly!$D:$AM, 14, FALSE) / VLOOKUP("electricity|NOx|Asthma symptoms wheeze", US_national_yearly!$D:$AM, 10, FALSE), 1)</f>
        <v>1.1016459824210619E-3</v>
      </c>
      <c r="G8" s="7">
        <f>$B8 * IFERROR(VLOOKUP("electricity|NOx|Asthma symptoms wheeze", US_national_yearly!$D:$AM, 15, FALSE) / VLOOKUP("electricity|NOx|Asthma symptoms wheeze", US_national_yearly!$D:$AM, 10, FALSE), 1)</f>
        <v>1.1133026357541263E-3</v>
      </c>
      <c r="H8" s="7">
        <f>$B8 * IFERROR(VLOOKUP("electricity|NOx|Asthma symptoms wheeze", US_national_yearly!$D:$AM, 16, FALSE) / VLOOKUP("electricity|NOx|Asthma symptoms wheeze", US_national_yearly!$D:$AM, 10, FALSE), 1)</f>
        <v>1.1249592890871911E-3</v>
      </c>
      <c r="I8" s="7">
        <f>$B8 * IFERROR(VLOOKUP("electricity|NOx|Asthma symptoms wheeze", US_national_yearly!$D:$AM, 17, FALSE) / VLOOKUP("electricity|NOx|Asthma symptoms wheeze", US_national_yearly!$D:$AM, 10, FALSE), 1)</f>
        <v>1.1292925105732857E-3</v>
      </c>
      <c r="J8" s="7">
        <f>$B8 * IFERROR(VLOOKUP("electricity|NOx|Asthma symptoms wheeze", US_national_yearly!$D:$AM, 18, FALSE) / VLOOKUP("electricity|NOx|Asthma symptoms wheeze", US_national_yearly!$D:$AM, 10, FALSE), 1)</f>
        <v>1.1336257320593804E-3</v>
      </c>
      <c r="K8" s="7">
        <f>$B8 * IFERROR(VLOOKUP("electricity|NOx|Asthma symptoms wheeze", US_national_yearly!$D:$AM, 19, FALSE) / VLOOKUP("electricity|NOx|Asthma symptoms wheeze", US_national_yearly!$D:$AM, 10, FALSE), 1)</f>
        <v>1.1379589535454753E-3</v>
      </c>
      <c r="L8" s="7">
        <f>$B8 * IFERROR(VLOOKUP("electricity|NOx|Asthma symptoms wheeze", US_national_yearly!$D:$AM, 20, FALSE) / VLOOKUP("electricity|NOx|Asthma symptoms wheeze", US_national_yearly!$D:$AM, 10, FALSE), 1)</f>
        <v>1.14229217503157E-3</v>
      </c>
      <c r="M8" s="7">
        <f>$B8 * IFERROR(VLOOKUP("electricity|NOx|Asthma symptoms wheeze", US_national_yearly!$D:$AM, 21, FALSE) / VLOOKUP("electricity|NOx|Asthma symptoms wheeze", US_national_yearly!$D:$AM, 10, FALSE), 1)</f>
        <v>1.1466253965176647E-3</v>
      </c>
      <c r="N8" s="7">
        <f>$B8 * IFERROR(VLOOKUP("electricity|NOx|Asthma symptoms wheeze", US_national_yearly!$D:$AM, 22, FALSE) / VLOOKUP("electricity|NOx|Asthma symptoms wheeze", US_national_yearly!$D:$AM, 10, FALSE), 1)</f>
        <v>1.1514265698311162E-3</v>
      </c>
      <c r="O8" s="7">
        <f>$B8 * IFERROR(VLOOKUP("electricity|NOx|Asthma symptoms wheeze", US_national_yearly!$D:$AM, 23, FALSE) / VLOOKUP("electricity|NOx|Asthma symptoms wheeze", US_national_yearly!$D:$AM, 10, FALSE), 1)</f>
        <v>1.1562277431445679E-3</v>
      </c>
      <c r="P8" s="7">
        <f>$B8 * IFERROR(VLOOKUP("electricity|NOx|Asthma symptoms wheeze", US_national_yearly!$D:$AM, 24, FALSE) / VLOOKUP("electricity|NOx|Asthma symptoms wheeze", US_national_yearly!$D:$AM, 10, FALSE), 1)</f>
        <v>1.1610289164580194E-3</v>
      </c>
      <c r="Q8" s="7">
        <f>$B8 * IFERROR(VLOOKUP("electricity|NOx|Asthma symptoms wheeze", US_national_yearly!$D:$AM, 25, FALSE) / VLOOKUP("electricity|NOx|Asthma symptoms wheeze", US_national_yearly!$D:$AM, 10, FALSE), 1)</f>
        <v>1.1658300897714709E-3</v>
      </c>
      <c r="R8" s="7">
        <f>$B8 * IFERROR(VLOOKUP("electricity|NOx|Asthma symptoms wheeze", US_national_yearly!$D:$AM, 26, FALSE) / VLOOKUP("electricity|NOx|Asthma symptoms wheeze", US_national_yearly!$D:$AM, 10, FALSE), 1)</f>
        <v>1.1706312630849224E-3</v>
      </c>
      <c r="S8" s="7">
        <f>$B8 * IFERROR(VLOOKUP("electricity|NOx|Asthma symptoms wheeze", US_national_yearly!$D:$AM, 27, FALSE) / VLOOKUP("electricity|NOx|Asthma symptoms wheeze", US_national_yearly!$D:$AM, 10, FALSE), 1)</f>
        <v>1.1766211689251884E-3</v>
      </c>
      <c r="T8" s="7">
        <f>$B8 * IFERROR(VLOOKUP("electricity|NOx|Asthma symptoms wheeze", US_national_yearly!$D:$AM, 28, FALSE) / VLOOKUP("electricity|NOx|Asthma symptoms wheeze", US_national_yearly!$D:$AM, 10, FALSE), 1)</f>
        <v>1.1826110747654545E-3</v>
      </c>
      <c r="U8" s="7">
        <f>$B8 * IFERROR(VLOOKUP("electricity|NOx|Asthma symptoms wheeze", US_national_yearly!$D:$AM, 29, FALSE) / VLOOKUP("electricity|NOx|Asthma symptoms wheeze", US_national_yearly!$D:$AM, 10, FALSE), 1)</f>
        <v>1.1886009806057203E-3</v>
      </c>
      <c r="V8" s="7">
        <f>$B8 * IFERROR(VLOOKUP("electricity|NOx|Asthma symptoms wheeze", US_national_yearly!$D:$AM, 30, FALSE) / VLOOKUP("electricity|NOx|Asthma symptoms wheeze", US_national_yearly!$D:$AM, 10, FALSE), 1)</f>
        <v>1.1945908864459862E-3</v>
      </c>
      <c r="W8" s="7">
        <f>$B8 * IFERROR(VLOOKUP("electricity|NOx|Asthma symptoms wheeze", US_national_yearly!$D:$AM, 31, FALSE) / VLOOKUP("electricity|NOx|Asthma symptoms wheeze", US_national_yearly!$D:$AM, 10, FALSE), 1)</f>
        <v>1.2005807922862524E-3</v>
      </c>
      <c r="X8" s="7">
        <f>$B8 * IFERROR(VLOOKUP("electricity|NOx|Asthma symptoms wheeze", US_national_yearly!$D:$AM, 32, FALSE) / VLOOKUP("electricity|NOx|Asthma symptoms wheeze", US_national_yearly!$D:$AM, 10, FALSE), 1)</f>
        <v>1.2060993325196424E-3</v>
      </c>
      <c r="Y8" s="7">
        <f>$B8 * IFERROR(VLOOKUP("electricity|NOx|Asthma symptoms wheeze", US_national_yearly!$D:$AM, 33, FALSE) / VLOOKUP("electricity|NOx|Asthma symptoms wheeze", US_national_yearly!$D:$AM, 10, FALSE), 1)</f>
        <v>1.2116178727530327E-3</v>
      </c>
      <c r="Z8" s="7">
        <f>$B8 * IFERROR(VLOOKUP("electricity|NOx|Asthma symptoms wheeze", US_national_yearly!$D:$AM, 34, FALSE) / VLOOKUP("electricity|NOx|Asthma symptoms wheeze", US_national_yearly!$D:$AM, 10, FALSE), 1)</f>
        <v>1.2171364129864226E-3</v>
      </c>
      <c r="AA8" s="7">
        <f>$B8 * IFERROR(VLOOKUP("electricity|NOx|Asthma symptoms wheeze", US_national_yearly!$D:$AM, 35, FALSE) / VLOOKUP("electricity|NOx|Asthma symptoms wheeze", US_national_yearly!$D:$AM, 10, FALSE), 1)</f>
        <v>1.2226549532198126E-3</v>
      </c>
      <c r="AB8" s="7">
        <f>$B8 * IFERROR(VLOOKUP("electricity|NOx|Asthma symptoms wheeze", US_national_yearly!$D:$AM, 36, FALSE) / VLOOKUP("electricity|NOx|Asthma symptoms wheeze", US_national_yearly!$D:$AM, 10, FALSE), 1)</f>
        <v>1.2281734934532027E-3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1.0506389650763023E-5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1.0775475837881583E-5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1.1044562025000147E-5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1.1313648212118708E-5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1.1582734399237267E-5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1.1841771370271438E-5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1.2100808341305614E-5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1.2323558825843151E-5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1.254630931038069E-5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1.2769059794918234E-5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1.2991810279455772E-5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1.3214560763993313E-5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1.336721446814514E-5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1.3519868172296967E-5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1.3672521876448795E-5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1.3825175580600622E-5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1.3977829284752449E-5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1.4064770439407148E-5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1.415171159406185E-5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1.4238652748716547E-5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1.4325593903371246E-5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1.4412535058025947E-5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1.4475771323681406E-5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1.4539007589336865E-5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1.4602243854992328E-5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1.4665480120647787E-5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1.4728716386303245E-5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6.6920169630842335E-5</v>
      </c>
      <c r="C13" s="7">
        <f>$B13 * IFERROR(VLOOKUP("electricity|NOx|Non-fatal heart attacks", US_national_yearly!$D:$AM, 11, FALSE) / VLOOKUP("electricity|NOx|Non-fatal heart attacks", US_national_yearly!$D:$AM, 10, FALSE), 1)</f>
        <v>6.8840594137562118E-5</v>
      </c>
      <c r="D13" s="7">
        <f>$B13 * IFERROR(VLOOKUP("electricity|NOx|Non-fatal heart attacks", US_national_yearly!$D:$AM, 12, FALSE) / VLOOKUP("electricity|NOx|Non-fatal heart attacks", US_national_yearly!$D:$AM, 10, FALSE), 1)</f>
        <v>7.0761018644281901E-5</v>
      </c>
      <c r="E13" s="7">
        <f>$B13 * IFERROR(VLOOKUP("electricity|NOx|Non-fatal heart attacks", US_national_yearly!$D:$AM, 13, FALSE) / VLOOKUP("electricity|NOx|Non-fatal heart attacks", US_national_yearly!$D:$AM, 10, FALSE), 1)</f>
        <v>7.2681443151001684E-5</v>
      </c>
      <c r="F13" s="7">
        <f>$B13 * IFERROR(VLOOKUP("electricity|NOx|Non-fatal heart attacks", US_national_yearly!$D:$AM, 14, FALSE) / VLOOKUP("electricity|NOx|Non-fatal heart attacks", US_national_yearly!$D:$AM, 10, FALSE), 1)</f>
        <v>7.4601867657721481E-5</v>
      </c>
      <c r="G13" s="7">
        <f>$B13 * IFERROR(VLOOKUP("electricity|NOx|Non-fatal heart attacks", US_national_yearly!$D:$AM, 15, FALSE) / VLOOKUP("electricity|NOx|Non-fatal heart attacks", US_national_yearly!$D:$AM, 10, FALSE), 1)</f>
        <v>7.6410981226562942E-5</v>
      </c>
      <c r="H13" s="7">
        <f>$B13 * IFERROR(VLOOKUP("electricity|NOx|Non-fatal heart attacks", US_national_yearly!$D:$AM, 16, FALSE) / VLOOKUP("electricity|NOx|Non-fatal heart attacks", US_national_yearly!$D:$AM, 10, FALSE), 1)</f>
        <v>7.8220094795404402E-5</v>
      </c>
      <c r="I13" s="7">
        <f>$B13 * IFERROR(VLOOKUP("electricity|NOx|Non-fatal heart attacks", US_national_yearly!$D:$AM, 17, FALSE) / VLOOKUP("electricity|NOx|Non-fatal heart attacks", US_national_yearly!$D:$AM, 10, FALSE), 1)</f>
        <v>7.9670820850834652E-5</v>
      </c>
      <c r="J13" s="7">
        <f>$B13 * IFERROR(VLOOKUP("electricity|NOx|Non-fatal heart attacks", US_national_yearly!$D:$AM, 18, FALSE) / VLOOKUP("electricity|NOx|Non-fatal heart attacks", US_national_yearly!$D:$AM, 10, FALSE), 1)</f>
        <v>8.1121546906264916E-5</v>
      </c>
      <c r="K13" s="7">
        <f>$B13 * IFERROR(VLOOKUP("electricity|NOx|Non-fatal heart attacks", US_national_yearly!$D:$AM, 19, FALSE) / VLOOKUP("electricity|NOx|Non-fatal heart attacks", US_national_yearly!$D:$AM, 10, FALSE), 1)</f>
        <v>8.2572272961695085E-5</v>
      </c>
      <c r="L13" s="7">
        <f>$B13 * IFERROR(VLOOKUP("electricity|NOx|Non-fatal heart attacks", US_national_yearly!$D:$AM, 20, FALSE) / VLOOKUP("electricity|NOx|Non-fatal heart attacks", US_national_yearly!$D:$AM, 10, FALSE), 1)</f>
        <v>8.4022999017125335E-5</v>
      </c>
      <c r="M13" s="7">
        <f>$B13 * IFERROR(VLOOKUP("electricity|NOx|Non-fatal heart attacks", US_national_yearly!$D:$AM, 21, FALSE) / VLOOKUP("electricity|NOx|Non-fatal heart attacks", US_national_yearly!$D:$AM, 10, FALSE), 1)</f>
        <v>8.5473725072555612E-5</v>
      </c>
      <c r="N13" s="7">
        <f>$B13 * IFERROR(VLOOKUP("electricity|NOx|Non-fatal heart attacks", US_national_yearly!$D:$AM, 22, FALSE) / VLOOKUP("electricity|NOx|Non-fatal heart attacks", US_national_yearly!$D:$AM, 10, FALSE), 1)</f>
        <v>8.636841797332553E-5</v>
      </c>
      <c r="O13" s="7">
        <f>$B13 * IFERROR(VLOOKUP("electricity|NOx|Non-fatal heart attacks", US_national_yearly!$D:$AM, 23, FALSE) / VLOOKUP("electricity|NOx|Non-fatal heart attacks", US_national_yearly!$D:$AM, 10, FALSE), 1)</f>
        <v>8.7263110874095476E-5</v>
      </c>
      <c r="P13" s="7">
        <f>$B13 * IFERROR(VLOOKUP("electricity|NOx|Non-fatal heart attacks", US_national_yearly!$D:$AM, 24, FALSE) / VLOOKUP("electricity|NOx|Non-fatal heart attacks", US_national_yearly!$D:$AM, 10, FALSE), 1)</f>
        <v>8.8157803774865408E-5</v>
      </c>
      <c r="Q13" s="7">
        <f>$B13 * IFERROR(VLOOKUP("electricity|NOx|Non-fatal heart attacks", US_national_yearly!$D:$AM, 25, FALSE) / VLOOKUP("electricity|NOx|Non-fatal heart attacks", US_national_yearly!$D:$AM, 10, FALSE), 1)</f>
        <v>8.905249667563534E-5</v>
      </c>
      <c r="R13" s="7">
        <f>$B13 * IFERROR(VLOOKUP("electricity|NOx|Non-fatal heart attacks", US_national_yearly!$D:$AM, 26, FALSE) / VLOOKUP("electricity|NOx|Non-fatal heart attacks", US_national_yearly!$D:$AM, 10, FALSE), 1)</f>
        <v>8.9947189576405272E-5</v>
      </c>
      <c r="S13" s="7">
        <f>$B13 * IFERROR(VLOOKUP("electricity|NOx|Non-fatal heart attacks", US_national_yearly!$D:$AM, 27, FALSE) / VLOOKUP("electricity|NOx|Non-fatal heart attacks", US_national_yearly!$D:$AM, 10, FALSE), 1)</f>
        <v>9.0384333547036773E-5</v>
      </c>
      <c r="T13" s="7">
        <f>$B13 * IFERROR(VLOOKUP("electricity|NOx|Non-fatal heart attacks", US_national_yearly!$D:$AM, 28, FALSE) / VLOOKUP("electricity|NOx|Non-fatal heart attacks", US_national_yearly!$D:$AM, 10, FALSE), 1)</f>
        <v>9.082147751766826E-5</v>
      </c>
      <c r="U13" s="7">
        <f>$B13 * IFERROR(VLOOKUP("electricity|NOx|Non-fatal heart attacks", US_national_yearly!$D:$AM, 29, FALSE) / VLOOKUP("electricity|NOx|Non-fatal heart attacks", US_national_yearly!$D:$AM, 10, FALSE), 1)</f>
        <v>9.1258621488299774E-5</v>
      </c>
      <c r="V13" s="7">
        <f>$B13 * IFERROR(VLOOKUP("electricity|NOx|Non-fatal heart attacks", US_national_yearly!$D:$AM, 30, FALSE) / VLOOKUP("electricity|NOx|Non-fatal heart attacks", US_national_yearly!$D:$AM, 10, FALSE), 1)</f>
        <v>9.1695765458931248E-5</v>
      </c>
      <c r="W13" s="7">
        <f>$B13 * IFERROR(VLOOKUP("electricity|NOx|Non-fatal heart attacks", US_national_yearly!$D:$AM, 31, FALSE) / VLOOKUP("electricity|NOx|Non-fatal heart attacks", US_national_yearly!$D:$AM, 10, FALSE), 1)</f>
        <v>9.2132909429562762E-5</v>
      </c>
      <c r="X13" s="7">
        <f>$B13 * IFERROR(VLOOKUP("electricity|NOx|Non-fatal heart attacks", US_national_yearly!$D:$AM, 32, FALSE) / VLOOKUP("electricity|NOx|Non-fatal heart attacks", US_national_yearly!$D:$AM, 10, FALSE), 1)</f>
        <v>9.243802430390707E-5</v>
      </c>
      <c r="Y13" s="7">
        <f>$B13 * IFERROR(VLOOKUP("electricity|NOx|Non-fatal heart attacks", US_national_yearly!$D:$AM, 33, FALSE) / VLOOKUP("electricity|NOx|Non-fatal heart attacks", US_national_yearly!$D:$AM, 10, FALSE), 1)</f>
        <v>9.2743139178251406E-5</v>
      </c>
      <c r="Z13" s="7">
        <f>$B13 * IFERROR(VLOOKUP("electricity|NOx|Non-fatal heart attacks", US_national_yearly!$D:$AM, 34, FALSE) / VLOOKUP("electricity|NOx|Non-fatal heart attacks", US_national_yearly!$D:$AM, 10, FALSE), 1)</f>
        <v>9.3048254052595714E-5</v>
      </c>
      <c r="AA13" s="7">
        <f>$B13 * IFERROR(VLOOKUP("electricity|NOx|Non-fatal heart attacks", US_national_yearly!$D:$AM, 35, FALSE) / VLOOKUP("electricity|NOx|Non-fatal heart attacks", US_national_yearly!$D:$AM, 10, FALSE), 1)</f>
        <v>9.3353368926940008E-5</v>
      </c>
      <c r="AB13" s="7">
        <f>$B13 * IFERROR(VLOOKUP("electricity|NOx|Non-fatal heart attacks", US_national_yearly!$D:$AM, 36, FALSE) / VLOOKUP("electricity|NOx|Non-fatal heart attacks", US_national_yearly!$D:$AM, 10, FALSE), 1)</f>
        <v>9.3658483801284343E-5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6.4067837401213384E-2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6.416606738454389E-2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6.4264297367874396E-2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6.4362527351204887E-2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6.4460757334535407E-2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6.4632104752683578E-2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6.4803452170831721E-2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6.5142461877247607E-2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6.5481471583663464E-2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6.582048129007935E-2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6.6159490996495207E-2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6.6498500702911079E-2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6.6988737222103745E-2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6.7478973741296383E-2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6.7969210260489021E-2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6.8459446779681674E-2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6.8949683298874326E-2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6.9443627144682787E-2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6.9937570990491263E-2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7.0431514836299738E-2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7.09254586821082E-2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7.1419402527916676E-2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7.1837132640166168E-2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7.2254862752415619E-2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7.2672592864665167E-2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7.3090322976914646E-2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7.350805308916411E-2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1.0920472088872079E-2</v>
      </c>
      <c r="C15" s="7">
        <f>$B15 * IFERROR(VLOOKUP("electricity|NOx|Work loss days", US_national_yearly!$D:$AM, 11, FALSE) / VLOOKUP("electricity|NOx|Work loss days", US_national_yearly!$D:$AM, 10, FALSE), 1)</f>
        <v>1.0944828644610943E-2</v>
      </c>
      <c r="D15" s="7">
        <f>$B15 * IFERROR(VLOOKUP("electricity|NOx|Work loss days", US_national_yearly!$D:$AM, 12, FALSE) / VLOOKUP("electricity|NOx|Work loss days", US_national_yearly!$D:$AM, 10, FALSE), 1)</f>
        <v>1.0969185200349807E-2</v>
      </c>
      <c r="E15" s="7">
        <f>$B15 * IFERROR(VLOOKUP("electricity|NOx|Work loss days", US_national_yearly!$D:$AM, 13, FALSE) / VLOOKUP("electricity|NOx|Work loss days", US_national_yearly!$D:$AM, 10, FALSE), 1)</f>
        <v>1.0993541756088672E-2</v>
      </c>
      <c r="F15" s="7">
        <f>$B15 * IFERROR(VLOOKUP("electricity|NOx|Work loss days", US_national_yearly!$D:$AM, 14, FALSE) / VLOOKUP("electricity|NOx|Work loss days", US_national_yearly!$D:$AM, 10, FALSE), 1)</f>
        <v>1.1017898311827536E-2</v>
      </c>
      <c r="G15" s="7">
        <f>$B15 * IFERROR(VLOOKUP("electricity|NOx|Work loss days", US_national_yearly!$D:$AM, 15, FALSE) / VLOOKUP("electricity|NOx|Work loss days", US_national_yearly!$D:$AM, 10, FALSE), 1)</f>
        <v>1.1052235471877912E-2</v>
      </c>
      <c r="H15" s="7">
        <f>$B15 * IFERROR(VLOOKUP("electricity|NOx|Work loss days", US_national_yearly!$D:$AM, 16, FALSE) / VLOOKUP("electricity|NOx|Work loss days", US_national_yearly!$D:$AM, 10, FALSE), 1)</f>
        <v>1.1086572631928289E-2</v>
      </c>
      <c r="I15" s="7">
        <f>$B15 * IFERROR(VLOOKUP("electricity|NOx|Work loss days", US_national_yearly!$D:$AM, 17, FALSE) / VLOOKUP("electricity|NOx|Work loss days", US_national_yearly!$D:$AM, 10, FALSE), 1)</f>
        <v>1.114232696212405E-2</v>
      </c>
      <c r="J15" s="7">
        <f>$B15 * IFERROR(VLOOKUP("electricity|NOx|Work loss days", US_national_yearly!$D:$AM, 18, FALSE) / VLOOKUP("electricity|NOx|Work loss days", US_national_yearly!$D:$AM, 10, FALSE), 1)</f>
        <v>1.1198081292319811E-2</v>
      </c>
      <c r="K15" s="7">
        <f>$B15 * IFERROR(VLOOKUP("electricity|NOx|Work loss days", US_national_yearly!$D:$AM, 19, FALSE) / VLOOKUP("electricity|NOx|Work loss days", US_national_yearly!$D:$AM, 10, FALSE), 1)</f>
        <v>1.1253835622515569E-2</v>
      </c>
      <c r="L15" s="7">
        <f>$B15 * IFERROR(VLOOKUP("electricity|NOx|Work loss days", US_national_yearly!$D:$AM, 20, FALSE) / VLOOKUP("electricity|NOx|Work loss days", US_national_yearly!$D:$AM, 10, FALSE), 1)</f>
        <v>1.1309589952711328E-2</v>
      </c>
      <c r="M15" s="7">
        <f>$B15 * IFERROR(VLOOKUP("electricity|NOx|Work loss days", US_national_yearly!$D:$AM, 21, FALSE) / VLOOKUP("electricity|NOx|Work loss days", US_national_yearly!$D:$AM, 10, FALSE), 1)</f>
        <v>1.1365344282907088E-2</v>
      </c>
      <c r="N15" s="7">
        <f>$B15 * IFERROR(VLOOKUP("electricity|NOx|Work loss days", US_national_yearly!$D:$AM, 22, FALSE) / VLOOKUP("electricity|NOx|Work loss days", US_national_yearly!$D:$AM, 10, FALSE), 1)</f>
        <v>1.1438904821271958E-2</v>
      </c>
      <c r="O15" s="7">
        <f>$B15 * IFERROR(VLOOKUP("electricity|NOx|Work loss days", US_national_yearly!$D:$AM, 23, FALSE) / VLOOKUP("electricity|NOx|Work loss days", US_national_yearly!$D:$AM, 10, FALSE), 1)</f>
        <v>1.1512465359636829E-2</v>
      </c>
      <c r="P15" s="7">
        <f>$B15 * IFERROR(VLOOKUP("electricity|NOx|Work loss days", US_national_yearly!$D:$AM, 24, FALSE) / VLOOKUP("electricity|NOx|Work loss days", US_national_yearly!$D:$AM, 10, FALSE), 1)</f>
        <v>1.1586025898001699E-2</v>
      </c>
      <c r="Q15" s="7">
        <f>$B15 * IFERROR(VLOOKUP("electricity|NOx|Work loss days", US_national_yearly!$D:$AM, 25, FALSE) / VLOOKUP("electricity|NOx|Work loss days", US_national_yearly!$D:$AM, 10, FALSE), 1)</f>
        <v>1.1659586436366571E-2</v>
      </c>
      <c r="R15" s="7">
        <f>$B15 * IFERROR(VLOOKUP("electricity|NOx|Work loss days", US_national_yearly!$D:$AM, 26, FALSE) / VLOOKUP("electricity|NOx|Work loss days", US_national_yearly!$D:$AM, 10, FALSE), 1)</f>
        <v>1.1733146974731438E-2</v>
      </c>
      <c r="S15" s="7">
        <f>$B15 * IFERROR(VLOOKUP("electricity|NOx|Work loss days", US_national_yearly!$D:$AM, 27, FALSE) / VLOOKUP("electricity|NOx|Work loss days", US_national_yearly!$D:$AM, 10, FALSE), 1)</f>
        <v>1.1815580925178551E-2</v>
      </c>
      <c r="T15" s="7">
        <f>$B15 * IFERROR(VLOOKUP("electricity|NOx|Work loss days", US_national_yearly!$D:$AM, 28, FALSE) / VLOOKUP("electricity|NOx|Work loss days", US_national_yearly!$D:$AM, 10, FALSE), 1)</f>
        <v>1.1898014875625662E-2</v>
      </c>
      <c r="U15" s="7">
        <f>$B15 * IFERROR(VLOOKUP("electricity|NOx|Work loss days", US_national_yearly!$D:$AM, 29, FALSE) / VLOOKUP("electricity|NOx|Work loss days", US_national_yearly!$D:$AM, 10, FALSE), 1)</f>
        <v>1.1980448826072774E-2</v>
      </c>
      <c r="V15" s="7">
        <f>$B15 * IFERROR(VLOOKUP("electricity|NOx|Work loss days", US_national_yearly!$D:$AM, 30, FALSE) / VLOOKUP("electricity|NOx|Work loss days", US_national_yearly!$D:$AM, 10, FALSE), 1)</f>
        <v>1.2062882776519884E-2</v>
      </c>
      <c r="W15" s="7">
        <f>$B15 * IFERROR(VLOOKUP("electricity|NOx|Work loss days", US_national_yearly!$D:$AM, 31, FALSE) / VLOOKUP("electricity|NOx|Work loss days", US_national_yearly!$D:$AM, 10, FALSE), 1)</f>
        <v>1.2145316726966997E-2</v>
      </c>
      <c r="X15" s="7">
        <f>$B15 * IFERROR(VLOOKUP("electricity|NOx|Work loss days", US_national_yearly!$D:$AM, 32, FALSE) / VLOOKUP("electricity|NOx|Work loss days", US_national_yearly!$D:$AM, 10, FALSE), 1)</f>
        <v>1.2217174758481828E-2</v>
      </c>
      <c r="Y15" s="7">
        <f>$B15 * IFERROR(VLOOKUP("electricity|NOx|Work loss days", US_national_yearly!$D:$AM, 33, FALSE) / VLOOKUP("electricity|NOx|Work loss days", US_national_yearly!$D:$AM, 10, FALSE), 1)</f>
        <v>1.228903278999666E-2</v>
      </c>
      <c r="Z15" s="7">
        <f>$B15 * IFERROR(VLOOKUP("electricity|NOx|Work loss days", US_national_yearly!$D:$AM, 34, FALSE) / VLOOKUP("electricity|NOx|Work loss days", US_national_yearly!$D:$AM, 10, FALSE), 1)</f>
        <v>1.236089082151149E-2</v>
      </c>
      <c r="AA15" s="7">
        <f>$B15 * IFERROR(VLOOKUP("electricity|NOx|Work loss days", US_national_yearly!$D:$AM, 35, FALSE) / VLOOKUP("electricity|NOx|Work loss days", US_national_yearly!$D:$AM, 10, FALSE), 1)</f>
        <v>1.2432748853026324E-2</v>
      </c>
      <c r="AB15" s="7">
        <f>$B15 * IFERROR(VLOOKUP("electricity|NOx|Work loss days", US_national_yearly!$D:$AM, 36, FALSE) / VLOOKUP("electricity|NOx|Work loss days", US_national_yearly!$D:$AM, 10, FALSE), 1)</f>
        <v>1.2504606884541155E-2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1.2613288941856856E-5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1.2984833970277191E-5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1.335637899869753E-5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1.3727924027117865E-5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1.4099469055538203E-5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1.4455252268264908E-5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1.4811035480991611E-5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1.5114714717094655E-5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1.5418393953197701E-5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1.572207318930075E-5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1.6025752425403795E-5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1.6329431661506841E-5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1.6524324529812094E-5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1.6719217398117351E-5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1.6914110266422608E-5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1.7109003134727864E-5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1.7303896003033121E-5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1.7399806218161124E-5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1.7495716433289126E-5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1.7591626648417132E-5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1.7687536863545138E-5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1.778344707867314E-5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1.7840929713617536E-5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1.7898412348561933E-5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1.7955894983506325E-5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1.8013377618450722E-5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1.8070860253395118E-5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1.1748008156160601E-3</v>
      </c>
      <c r="C2" s="7">
        <f>$B2 * IFERROR(VLOOKUP("electricity|SO2|Premature mortality", US_national_yearly!$D:$AM, 11, FALSE) / VLOOKUP("electricity|SO2|Premature mortality", US_national_yearly!$D:$AM, 10, FALSE), 1)</f>
        <v>1.1898620331064565E-3</v>
      </c>
      <c r="D2" s="7">
        <f>$B2 * IFERROR(VLOOKUP("electricity|SO2|Premature mortality", US_national_yearly!$D:$AM, 12, FALSE) / VLOOKUP("electricity|SO2|Premature mortality", US_national_yearly!$D:$AM, 10, FALSE), 1)</f>
        <v>1.2049232505968524E-3</v>
      </c>
      <c r="E2" s="7">
        <f>$B2 * IFERROR(VLOOKUP("electricity|SO2|Premature mortality", US_national_yearly!$D:$AM, 13, FALSE) / VLOOKUP("electricity|SO2|Premature mortality", US_national_yearly!$D:$AM, 10, FALSE), 1)</f>
        <v>1.2199844680872488E-3</v>
      </c>
      <c r="F2" s="7">
        <f>$B2 * IFERROR(VLOOKUP("electricity|SO2|Premature mortality", US_national_yearly!$D:$AM, 14, FALSE) / VLOOKUP("electricity|SO2|Premature mortality", US_national_yearly!$D:$AM, 10, FALSE), 1)</f>
        <v>1.2350456855776447E-3</v>
      </c>
      <c r="G2" s="7">
        <f>$B2 * IFERROR(VLOOKUP("electricity|SO2|Premature mortality", US_national_yearly!$D:$AM, 15, FALSE) / VLOOKUP("electricity|SO2|Premature mortality", US_national_yearly!$D:$AM, 10, FALSE), 1)</f>
        <v>1.2640596314524323E-3</v>
      </c>
      <c r="H2" s="7">
        <f>$B2 * IFERROR(VLOOKUP("electricity|SO2|Premature mortality", US_national_yearly!$D:$AM, 16, FALSE) / VLOOKUP("electricity|SO2|Premature mortality", US_national_yearly!$D:$AM, 10, FALSE), 1)</f>
        <v>1.2930735773272197E-3</v>
      </c>
      <c r="I2" s="7">
        <f>$B2 * IFERROR(VLOOKUP("electricity|SO2|Premature mortality", US_national_yearly!$D:$AM, 17, FALSE) / VLOOKUP("electricity|SO2|Premature mortality", US_national_yearly!$D:$AM, 10, FALSE), 1)</f>
        <v>1.3126039702037529E-3</v>
      </c>
      <c r="J2" s="7">
        <f>$B2 * IFERROR(VLOOKUP("electricity|SO2|Premature mortality", US_national_yearly!$D:$AM, 18, FALSE) / VLOOKUP("electricity|SO2|Premature mortality", US_national_yearly!$D:$AM, 10, FALSE), 1)</f>
        <v>1.3321343630802863E-3</v>
      </c>
      <c r="K2" s="7">
        <f>$B2 * IFERROR(VLOOKUP("electricity|SO2|Premature mortality", US_national_yearly!$D:$AM, 19, FALSE) / VLOOKUP("electricity|SO2|Premature mortality", US_national_yearly!$D:$AM, 10, FALSE), 1)</f>
        <v>1.3516647559568193E-3</v>
      </c>
      <c r="L2" s="7">
        <f>$B2 * IFERROR(VLOOKUP("electricity|SO2|Premature mortality", US_national_yearly!$D:$AM, 20, FALSE) / VLOOKUP("electricity|SO2|Premature mortality", US_national_yearly!$D:$AM, 10, FALSE), 1)</f>
        <v>1.3711951488333527E-3</v>
      </c>
      <c r="M2" s="7">
        <f>$B2 * IFERROR(VLOOKUP("electricity|SO2|Premature mortality", US_national_yearly!$D:$AM, 21, FALSE) / VLOOKUP("electricity|SO2|Premature mortality", US_national_yearly!$D:$AM, 10, FALSE), 1)</f>
        <v>1.3907255417098857E-3</v>
      </c>
      <c r="N2" s="7">
        <f>$B2 * IFERROR(VLOOKUP("electricity|SO2|Premature mortality", US_national_yearly!$D:$AM, 22, FALSE) / VLOOKUP("electricity|SO2|Premature mortality", US_national_yearly!$D:$AM, 10, FALSE), 1)</f>
        <v>1.4063775949429665E-3</v>
      </c>
      <c r="O2" s="7">
        <f>$B2 * IFERROR(VLOOKUP("electricity|SO2|Premature mortality", US_national_yearly!$D:$AM, 23, FALSE) / VLOOKUP("electricity|SO2|Premature mortality", US_national_yearly!$D:$AM, 10, FALSE), 1)</f>
        <v>1.4220296481760476E-3</v>
      </c>
      <c r="P2" s="7">
        <f>$B2 * IFERROR(VLOOKUP("electricity|SO2|Premature mortality", US_national_yearly!$D:$AM, 24, FALSE) / VLOOKUP("electricity|SO2|Premature mortality", US_national_yearly!$D:$AM, 10, FALSE), 1)</f>
        <v>1.4376817014091279E-3</v>
      </c>
      <c r="Q2" s="7">
        <f>$B2 * IFERROR(VLOOKUP("electricity|SO2|Premature mortality", US_national_yearly!$D:$AM, 25, FALSE) / VLOOKUP("electricity|SO2|Premature mortality", US_national_yearly!$D:$AM, 10, FALSE), 1)</f>
        <v>1.4533337546422088E-3</v>
      </c>
      <c r="R2" s="7">
        <f>$B2 * IFERROR(VLOOKUP("electricity|SO2|Premature mortality", US_national_yearly!$D:$AM, 26, FALSE) / VLOOKUP("electricity|SO2|Premature mortality", US_national_yearly!$D:$AM, 10, FALSE), 1)</f>
        <v>1.4689858078752896E-3</v>
      </c>
      <c r="S2" s="7">
        <f>$B2 * IFERROR(VLOOKUP("electricity|SO2|Premature mortality", US_national_yearly!$D:$AM, 27, FALSE) / VLOOKUP("electricity|SO2|Premature mortality", US_national_yearly!$D:$AM, 10, FALSE), 1)</f>
        <v>1.4779595871831765E-3</v>
      </c>
      <c r="T2" s="7">
        <f>$B2 * IFERROR(VLOOKUP("electricity|SO2|Premature mortality", US_national_yearly!$D:$AM, 28, FALSE) / VLOOKUP("electricity|SO2|Premature mortality", US_national_yearly!$D:$AM, 10, FALSE), 1)</f>
        <v>1.4869333664910638E-3</v>
      </c>
      <c r="U2" s="7">
        <f>$B2 * IFERROR(VLOOKUP("electricity|SO2|Premature mortality", US_national_yearly!$D:$AM, 29, FALSE) / VLOOKUP("electricity|SO2|Premature mortality", US_national_yearly!$D:$AM, 10, FALSE), 1)</f>
        <v>1.4959071457989509E-3</v>
      </c>
      <c r="V2" s="7">
        <f>$B2 * IFERROR(VLOOKUP("electricity|SO2|Premature mortality", US_national_yearly!$D:$AM, 30, FALSE) / VLOOKUP("electricity|SO2|Premature mortality", US_national_yearly!$D:$AM, 10, FALSE), 1)</f>
        <v>1.5048809251068382E-3</v>
      </c>
      <c r="W2" s="7">
        <f>$B2 * IFERROR(VLOOKUP("electricity|SO2|Premature mortality", US_national_yearly!$D:$AM, 31, FALSE) / VLOOKUP("electricity|SO2|Premature mortality", US_national_yearly!$D:$AM, 10, FALSE), 1)</f>
        <v>1.5138547044147251E-3</v>
      </c>
      <c r="X2" s="7">
        <f>$B2 * IFERROR(VLOOKUP("electricity|SO2|Premature mortality", US_national_yearly!$D:$AM, 32, FALSE) / VLOOKUP("electricity|SO2|Premature mortality", US_national_yearly!$D:$AM, 10, FALSE), 1)</f>
        <v>1.5164987896165931E-3</v>
      </c>
      <c r="Y2" s="7">
        <f>$B2 * IFERROR(VLOOKUP("electricity|SO2|Premature mortality", US_national_yearly!$D:$AM, 33, FALSE) / VLOOKUP("electricity|SO2|Premature mortality", US_national_yearly!$D:$AM, 10, FALSE), 1)</f>
        <v>1.5191428748184607E-3</v>
      </c>
      <c r="Z2" s="7">
        <f>$B2 * IFERROR(VLOOKUP("electricity|SO2|Premature mortality", US_national_yearly!$D:$AM, 34, FALSE) / VLOOKUP("electricity|SO2|Premature mortality", US_national_yearly!$D:$AM, 10, FALSE), 1)</f>
        <v>1.5217869600203284E-3</v>
      </c>
      <c r="AA2" s="7">
        <f>$B2 * IFERROR(VLOOKUP("electricity|SO2|Premature mortality", US_national_yearly!$D:$AM, 35, FALSE) / VLOOKUP("electricity|SO2|Premature mortality", US_national_yearly!$D:$AM, 10, FALSE), 1)</f>
        <v>1.5244310452221961E-3</v>
      </c>
      <c r="AB2" s="7">
        <f>$B2 * IFERROR(VLOOKUP("electricity|SO2|Premature mortality", US_national_yearly!$D:$AM, 36, FALSE) / VLOOKUP("electricity|SO2|Premature mortality", US_national_yearly!$D:$AM, 10, FALSE), 1)</f>
        <v>1.5270751304240638E-3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3.160772465490661E-6</v>
      </c>
      <c r="C3" s="7">
        <f>$B3 * IFERROR(VLOOKUP("electricity|SO2|Infant mortality", US_national_yearly!$D:$AM, 11, FALSE) / VLOOKUP("electricity|SO2|Infant mortality", US_national_yearly!$D:$AM, 10, FALSE), 1)</f>
        <v>3.134069947940446E-6</v>
      </c>
      <c r="D3" s="7">
        <f>$B3 * IFERROR(VLOOKUP("electricity|SO2|Infant mortality", US_national_yearly!$D:$AM, 12, FALSE) / VLOOKUP("electricity|SO2|Infant mortality", US_national_yearly!$D:$AM, 10, FALSE), 1)</f>
        <v>3.1073674303902301E-6</v>
      </c>
      <c r="E3" s="7">
        <f>$B3 * IFERROR(VLOOKUP("electricity|SO2|Infant mortality", US_national_yearly!$D:$AM, 13, FALSE) / VLOOKUP("electricity|SO2|Infant mortality", US_national_yearly!$D:$AM, 10, FALSE), 1)</f>
        <v>3.0806649128400146E-6</v>
      </c>
      <c r="F3" s="7">
        <f>$B3 * IFERROR(VLOOKUP("electricity|SO2|Infant mortality", US_national_yearly!$D:$AM, 14, FALSE) / VLOOKUP("electricity|SO2|Infant mortality", US_national_yearly!$D:$AM, 10, FALSE), 1)</f>
        <v>3.0539623952897996E-6</v>
      </c>
      <c r="G3" s="7">
        <f>$B3 * IFERROR(VLOOKUP("electricity|SO2|Infant mortality", US_national_yearly!$D:$AM, 15, FALSE) / VLOOKUP("electricity|SO2|Infant mortality", US_national_yearly!$D:$AM, 10, FALSE), 1)</f>
        <v>2.0310431919884542E-6</v>
      </c>
      <c r="H3" s="7">
        <f>$B3 * IFERROR(VLOOKUP("electricity|SO2|Infant mortality", US_national_yearly!$D:$AM, 16, FALSE) / VLOOKUP("electricity|SO2|Infant mortality", US_national_yearly!$D:$AM, 10, FALSE), 1)</f>
        <v>1.0081239886871084E-6</v>
      </c>
      <c r="I3" s="7">
        <f>$B3 * IFERROR(VLOOKUP("electricity|SO2|Infant mortality", US_national_yearly!$D:$AM, 17, FALSE) / VLOOKUP("electricity|SO2|Infant mortality", US_national_yearly!$D:$AM, 10, FALSE), 1)</f>
        <v>1.0016745349872076E-6</v>
      </c>
      <c r="J3" s="7">
        <f>$B3 * IFERROR(VLOOKUP("electricity|SO2|Infant mortality", US_national_yearly!$D:$AM, 18, FALSE) / VLOOKUP("electricity|SO2|Infant mortality", US_national_yearly!$D:$AM, 10, FALSE), 1)</f>
        <v>9.9522508128730685E-7</v>
      </c>
      <c r="K3" s="7">
        <f>$B3 * IFERROR(VLOOKUP("electricity|SO2|Infant mortality", US_national_yearly!$D:$AM, 19, FALSE) / VLOOKUP("electricity|SO2|Infant mortality", US_national_yearly!$D:$AM, 10, FALSE), 1)</f>
        <v>9.8877562758740629E-7</v>
      </c>
      <c r="L3" s="7">
        <f>$B3 * IFERROR(VLOOKUP("electricity|SO2|Infant mortality", US_national_yearly!$D:$AM, 20, FALSE) / VLOOKUP("electricity|SO2|Infant mortality", US_national_yearly!$D:$AM, 10, FALSE), 1)</f>
        <v>9.8232617388750532E-7</v>
      </c>
      <c r="M3" s="7">
        <f>$B3 * IFERROR(VLOOKUP("electricity|SO2|Infant mortality", US_national_yearly!$D:$AM, 21, FALSE) / VLOOKUP("electricity|SO2|Infant mortality", US_national_yearly!$D:$AM, 10, FALSE), 1)</f>
        <v>9.7587672018760455E-7</v>
      </c>
      <c r="N3" s="7">
        <f>$B3 * IFERROR(VLOOKUP("electricity|SO2|Infant mortality", US_national_yearly!$D:$AM, 22, FALSE) / VLOOKUP("electricity|SO2|Infant mortality", US_national_yearly!$D:$AM, 10, FALSE), 1)</f>
        <v>9.7179006052851478E-7</v>
      </c>
      <c r="O3" s="7">
        <f>$B3 * IFERROR(VLOOKUP("electricity|SO2|Infant mortality", US_national_yearly!$D:$AM, 23, FALSE) / VLOOKUP("electricity|SO2|Infant mortality", US_national_yearly!$D:$AM, 10, FALSE), 1)</f>
        <v>9.6770340086942481E-7</v>
      </c>
      <c r="P3" s="7">
        <f>$B3 * IFERROR(VLOOKUP("electricity|SO2|Infant mortality", US_national_yearly!$D:$AM, 24, FALSE) / VLOOKUP("electricity|SO2|Infant mortality", US_national_yearly!$D:$AM, 10, FALSE), 1)</f>
        <v>9.6361674121033483E-7</v>
      </c>
      <c r="Q3" s="7">
        <f>$B3 * IFERROR(VLOOKUP("electricity|SO2|Infant mortality", US_national_yearly!$D:$AM, 25, FALSE) / VLOOKUP("electricity|SO2|Infant mortality", US_national_yearly!$D:$AM, 10, FALSE), 1)</f>
        <v>9.5953008155124506E-7</v>
      </c>
      <c r="R3" s="7">
        <f>$B3 * IFERROR(VLOOKUP("electricity|SO2|Infant mortality", US_national_yearly!$D:$AM, 26, FALSE) / VLOOKUP("electricity|SO2|Infant mortality", US_national_yearly!$D:$AM, 10, FALSE), 1)</f>
        <v>9.554434218921553E-7</v>
      </c>
      <c r="S3" s="7">
        <f>$B3 * IFERROR(VLOOKUP("electricity|SO2|Infant mortality", US_national_yearly!$D:$AM, 27, FALSE) / VLOOKUP("electricity|SO2|Infant mortality", US_national_yearly!$D:$AM, 10, FALSE), 1)</f>
        <v>9.5034991845108533E-7</v>
      </c>
      <c r="T3" s="7">
        <f>$B3 * IFERROR(VLOOKUP("electricity|SO2|Infant mortality", US_national_yearly!$D:$AM, 28, FALSE) / VLOOKUP("electricity|SO2|Infant mortality", US_national_yearly!$D:$AM, 10, FALSE), 1)</f>
        <v>9.4525641501001569E-7</v>
      </c>
      <c r="U3" s="7">
        <f>$B3 * IFERROR(VLOOKUP("electricity|SO2|Infant mortality", US_national_yearly!$D:$AM, 29, FALSE) / VLOOKUP("electricity|SO2|Infant mortality", US_national_yearly!$D:$AM, 10, FALSE), 1)</f>
        <v>9.4016291156894594E-7</v>
      </c>
      <c r="V3" s="7">
        <f>$B3 * IFERROR(VLOOKUP("electricity|SO2|Infant mortality", US_national_yearly!$D:$AM, 30, FALSE) / VLOOKUP("electricity|SO2|Infant mortality", US_national_yearly!$D:$AM, 10, FALSE), 1)</f>
        <v>9.3506940812787618E-7</v>
      </c>
      <c r="W3" s="7">
        <f>$B3 * IFERROR(VLOOKUP("electricity|SO2|Infant mortality", US_national_yearly!$D:$AM, 31, FALSE) / VLOOKUP("electricity|SO2|Infant mortality", US_national_yearly!$D:$AM, 10, FALSE), 1)</f>
        <v>9.2997590468680633E-7</v>
      </c>
      <c r="X3" s="7">
        <f>$B3 * IFERROR(VLOOKUP("electricity|SO2|Infant mortality", US_national_yearly!$D:$AM, 32, FALSE) / VLOOKUP("electricity|SO2|Infant mortality", US_national_yearly!$D:$AM, 10, FALSE), 1)</f>
        <v>9.2454128567291648E-7</v>
      </c>
      <c r="Y3" s="7">
        <f>$B3 * IFERROR(VLOOKUP("electricity|SO2|Infant mortality", US_national_yearly!$D:$AM, 33, FALSE) / VLOOKUP("electricity|SO2|Infant mortality", US_national_yearly!$D:$AM, 10, FALSE), 1)</f>
        <v>9.1910666665902631E-7</v>
      </c>
      <c r="Z3" s="7">
        <f>$B3 * IFERROR(VLOOKUP("electricity|SO2|Infant mortality", US_national_yearly!$D:$AM, 34, FALSE) / VLOOKUP("electricity|SO2|Infant mortality", US_national_yearly!$D:$AM, 10, FALSE), 1)</f>
        <v>9.1367204764513647E-7</v>
      </c>
      <c r="AA3" s="7">
        <f>$B3 * IFERROR(VLOOKUP("electricity|SO2|Infant mortality", US_national_yearly!$D:$AM, 35, FALSE) / VLOOKUP("electricity|SO2|Infant mortality", US_national_yearly!$D:$AM, 10, FALSE), 1)</f>
        <v>9.0823742863124662E-7</v>
      </c>
      <c r="AB3" s="7">
        <f>$B3 * IFERROR(VLOOKUP("electricity|SO2|Infant mortality", US_national_yearly!$D:$AM, 36, FALSE) / VLOOKUP("electricity|SO2|Infant mortality", US_national_yearly!$D:$AM, 10, FALSE), 1)</f>
        <v>9.0280280961735666E-7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3.8958811580023962E-3</v>
      </c>
      <c r="C6" s="7">
        <f>$B6 * IFERROR(VLOOKUP("electricity|SO2|Asthma symptoms cough", US_national_yearly!$D:$AM, 11, FALSE) / VLOOKUP("electricity|SO2|Asthma symptoms cough", US_national_yearly!$D:$AM, 10, FALSE), 1)</f>
        <v>3.8958811580023962E-3</v>
      </c>
      <c r="D6" s="7">
        <f>$B6 * IFERROR(VLOOKUP("electricity|SO2|Asthma symptoms cough", US_national_yearly!$D:$AM, 12, FALSE) / VLOOKUP("electricity|SO2|Asthma symptoms cough", US_national_yearly!$D:$AM, 10, FALSE), 1)</f>
        <v>3.8958811580023962E-3</v>
      </c>
      <c r="E6" s="7">
        <f>$B6 * IFERROR(VLOOKUP("electricity|SO2|Asthma symptoms cough", US_national_yearly!$D:$AM, 13, FALSE) / VLOOKUP("electricity|SO2|Asthma symptoms cough", US_national_yearly!$D:$AM, 10, FALSE), 1)</f>
        <v>3.8958811580023962E-3</v>
      </c>
      <c r="F6" s="7">
        <f>$B6 * IFERROR(VLOOKUP("electricity|SO2|Asthma symptoms cough", US_national_yearly!$D:$AM, 14, FALSE) / VLOOKUP("electricity|SO2|Asthma symptoms cough", US_national_yearly!$D:$AM, 10, FALSE), 1)</f>
        <v>3.8958811580023962E-3</v>
      </c>
      <c r="G6" s="7">
        <f>$B6 * IFERROR(VLOOKUP("electricity|SO2|Asthma symptoms cough", US_national_yearly!$D:$AM, 15, FALSE) / VLOOKUP("electricity|SO2|Asthma symptoms cough", US_national_yearly!$D:$AM, 10, FALSE), 1)</f>
        <v>3.8958811580023962E-3</v>
      </c>
      <c r="H6" s="7">
        <f>$B6 * IFERROR(VLOOKUP("electricity|SO2|Asthma symptoms cough", US_national_yearly!$D:$AM, 16, FALSE) / VLOOKUP("electricity|SO2|Asthma symptoms cough", US_national_yearly!$D:$AM, 10, FALSE), 1)</f>
        <v>3.8958811580023962E-3</v>
      </c>
      <c r="I6" s="7">
        <f>$B6 * IFERROR(VLOOKUP("electricity|SO2|Asthma symptoms cough", US_national_yearly!$D:$AM, 17, FALSE) / VLOOKUP("electricity|SO2|Asthma symptoms cough", US_national_yearly!$D:$AM, 10, FALSE), 1)</f>
        <v>3.8958811580023962E-3</v>
      </c>
      <c r="J6" s="7">
        <f>$B6 * IFERROR(VLOOKUP("electricity|SO2|Asthma symptoms cough", US_national_yearly!$D:$AM, 18, FALSE) / VLOOKUP("electricity|SO2|Asthma symptoms cough", US_national_yearly!$D:$AM, 10, FALSE), 1)</f>
        <v>3.8958811580023962E-3</v>
      </c>
      <c r="K6" s="7">
        <f>$B6 * IFERROR(VLOOKUP("electricity|SO2|Asthma symptoms cough", US_national_yearly!$D:$AM, 19, FALSE) / VLOOKUP("electricity|SO2|Asthma symptoms cough", US_national_yearly!$D:$AM, 10, FALSE), 1)</f>
        <v>3.8958811580023962E-3</v>
      </c>
      <c r="L6" s="7">
        <f>$B6 * IFERROR(VLOOKUP("electricity|SO2|Asthma symptoms cough", US_national_yearly!$D:$AM, 20, FALSE) / VLOOKUP("electricity|SO2|Asthma symptoms cough", US_national_yearly!$D:$AM, 10, FALSE), 1)</f>
        <v>3.8958811580023962E-3</v>
      </c>
      <c r="M6" s="7">
        <f>$B6 * IFERROR(VLOOKUP("electricity|SO2|Asthma symptoms cough", US_national_yearly!$D:$AM, 21, FALSE) / VLOOKUP("electricity|SO2|Asthma symptoms cough", US_national_yearly!$D:$AM, 10, FALSE), 1)</f>
        <v>3.8958811580023962E-3</v>
      </c>
      <c r="N6" s="7">
        <f>$B6 * IFERROR(VLOOKUP("electricity|SO2|Asthma symptoms cough", US_national_yearly!$D:$AM, 22, FALSE) / VLOOKUP("electricity|SO2|Asthma symptoms cough", US_national_yearly!$D:$AM, 10, FALSE), 1)</f>
        <v>3.8958811580023962E-3</v>
      </c>
      <c r="O6" s="7">
        <f>$B6 * IFERROR(VLOOKUP("electricity|SO2|Asthma symptoms cough", US_national_yearly!$D:$AM, 23, FALSE) / VLOOKUP("electricity|SO2|Asthma symptoms cough", US_national_yearly!$D:$AM, 10, FALSE), 1)</f>
        <v>3.8958811580023962E-3</v>
      </c>
      <c r="P6" s="7">
        <f>$B6 * IFERROR(VLOOKUP("electricity|SO2|Asthma symptoms cough", US_national_yearly!$D:$AM, 24, FALSE) / VLOOKUP("electricity|SO2|Asthma symptoms cough", US_national_yearly!$D:$AM, 10, FALSE), 1)</f>
        <v>3.8958811580023962E-3</v>
      </c>
      <c r="Q6" s="7">
        <f>$B6 * IFERROR(VLOOKUP("electricity|SO2|Asthma symptoms cough", US_national_yearly!$D:$AM, 25, FALSE) / VLOOKUP("electricity|SO2|Asthma symptoms cough", US_national_yearly!$D:$AM, 10, FALSE), 1)</f>
        <v>3.8958811580023962E-3</v>
      </c>
      <c r="R6" s="7">
        <f>$B6 * IFERROR(VLOOKUP("electricity|SO2|Asthma symptoms cough", US_national_yearly!$D:$AM, 26, FALSE) / VLOOKUP("electricity|SO2|Asthma symptoms cough", US_national_yearly!$D:$AM, 10, FALSE), 1)</f>
        <v>3.8958811580023962E-3</v>
      </c>
      <c r="S6" s="7">
        <f>$B6 * IFERROR(VLOOKUP("electricity|SO2|Asthma symptoms cough", US_national_yearly!$D:$AM, 27, FALSE) / VLOOKUP("electricity|SO2|Asthma symptoms cough", US_national_yearly!$D:$AM, 10, FALSE), 1)</f>
        <v>3.8958811580023962E-3</v>
      </c>
      <c r="T6" s="7">
        <f>$B6 * IFERROR(VLOOKUP("electricity|SO2|Asthma symptoms cough", US_national_yearly!$D:$AM, 28, FALSE) / VLOOKUP("electricity|SO2|Asthma symptoms cough", US_national_yearly!$D:$AM, 10, FALSE), 1)</f>
        <v>3.8958811580023962E-3</v>
      </c>
      <c r="U6" s="7">
        <f>$B6 * IFERROR(VLOOKUP("electricity|SO2|Asthma symptoms cough", US_national_yearly!$D:$AM, 29, FALSE) / VLOOKUP("electricity|SO2|Asthma symptoms cough", US_national_yearly!$D:$AM, 10, FALSE), 1)</f>
        <v>3.8958811580023962E-3</v>
      </c>
      <c r="V6" s="7">
        <f>$B6 * IFERROR(VLOOKUP("electricity|SO2|Asthma symptoms cough", US_national_yearly!$D:$AM, 30, FALSE) / VLOOKUP("electricity|SO2|Asthma symptoms cough", US_national_yearly!$D:$AM, 10, FALSE), 1)</f>
        <v>3.8958811580023962E-3</v>
      </c>
      <c r="W6" s="7">
        <f>$B6 * IFERROR(VLOOKUP("electricity|SO2|Asthma symptoms cough", US_national_yearly!$D:$AM, 31, FALSE) / VLOOKUP("electricity|SO2|Asthma symptoms cough", US_national_yearly!$D:$AM, 10, FALSE), 1)</f>
        <v>3.8958811580023962E-3</v>
      </c>
      <c r="X6" s="7">
        <f>$B6 * IFERROR(VLOOKUP("electricity|SO2|Asthma symptoms cough", US_national_yearly!$D:$AM, 32, FALSE) / VLOOKUP("electricity|SO2|Asthma symptoms cough", US_national_yearly!$D:$AM, 10, FALSE), 1)</f>
        <v>3.8958811580023962E-3</v>
      </c>
      <c r="Y6" s="7">
        <f>$B6 * IFERROR(VLOOKUP("electricity|SO2|Asthma symptoms cough", US_national_yearly!$D:$AM, 33, FALSE) / VLOOKUP("electricity|SO2|Asthma symptoms cough", US_national_yearly!$D:$AM, 10, FALSE), 1)</f>
        <v>3.8958811580023962E-3</v>
      </c>
      <c r="Z6" s="7">
        <f>$B6 * IFERROR(VLOOKUP("electricity|SO2|Asthma symptoms cough", US_national_yearly!$D:$AM, 34, FALSE) / VLOOKUP("electricity|SO2|Asthma symptoms cough", US_national_yearly!$D:$AM, 10, FALSE), 1)</f>
        <v>3.8958811580023962E-3</v>
      </c>
      <c r="AA6" s="7">
        <f>$B6 * IFERROR(VLOOKUP("electricity|SO2|Asthma symptoms cough", US_national_yearly!$D:$AM, 35, FALSE) / VLOOKUP("electricity|SO2|Asthma symptoms cough", US_national_yearly!$D:$AM, 10, FALSE), 1)</f>
        <v>3.8958811580023962E-3</v>
      </c>
      <c r="AB6" s="7">
        <f>$B6 * IFERROR(VLOOKUP("electricity|SO2|Asthma symptoms cough", US_national_yearly!$D:$AM, 36, FALSE) / VLOOKUP("electricity|SO2|Asthma symptoms cough", US_national_yearly!$D:$AM, 10, FALSE), 1)</f>
        <v>3.8958811580023962E-3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5.2463512588621199E-3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5.2463512588621199E-3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5.2463512588621199E-3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5.2463512588621199E-3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5.2463512588621199E-3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5.2463512588621199E-3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5.2463512588621199E-3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5.2463512588621199E-3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5.2463512588621199E-3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5.2463512588621199E-3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5.2463512588621199E-3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5.2463512588621199E-3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5.2463512588621199E-3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5.2463512588621199E-3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5.2463512588621199E-3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5.2463512588621199E-3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5.2463512588621199E-3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5.2463512588621199E-3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5.2463512588621199E-3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5.2463512588621199E-3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5.2463512588621199E-3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5.2463512588621199E-3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5.2463512588621199E-3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5.2463512588621199E-3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5.2463512588621199E-3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5.2463512588621199E-3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5.2463512588621199E-3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8.0155999047702379E-3</v>
      </c>
      <c r="C8" s="7">
        <f>$B8 * IFERROR(VLOOKUP("electricity|SO2|Asthma symptoms wheeze", US_national_yearly!$D:$AM, 11, FALSE) / VLOOKUP("electricity|SO2|Asthma symptoms wheeze", US_national_yearly!$D:$AM, 10, FALSE), 1)</f>
        <v>8.0155999047702379E-3</v>
      </c>
      <c r="D8" s="7">
        <f>$B8 * IFERROR(VLOOKUP("electricity|SO2|Asthma symptoms wheeze", US_national_yearly!$D:$AM, 12, FALSE) / VLOOKUP("electricity|SO2|Asthma symptoms wheeze", US_national_yearly!$D:$AM, 10, FALSE), 1)</f>
        <v>8.0155999047702379E-3</v>
      </c>
      <c r="E8" s="7">
        <f>$B8 * IFERROR(VLOOKUP("electricity|SO2|Asthma symptoms wheeze", US_national_yearly!$D:$AM, 13, FALSE) / VLOOKUP("electricity|SO2|Asthma symptoms wheeze", US_national_yearly!$D:$AM, 10, FALSE), 1)</f>
        <v>8.0155999047702379E-3</v>
      </c>
      <c r="F8" s="7">
        <f>$B8 * IFERROR(VLOOKUP("electricity|SO2|Asthma symptoms wheeze", US_national_yearly!$D:$AM, 14, FALSE) / VLOOKUP("electricity|SO2|Asthma symptoms wheeze", US_national_yearly!$D:$AM, 10, FALSE), 1)</f>
        <v>8.0155999047702379E-3</v>
      </c>
      <c r="G8" s="7">
        <f>$B8 * IFERROR(VLOOKUP("electricity|SO2|Asthma symptoms wheeze", US_national_yearly!$D:$AM, 15, FALSE) / VLOOKUP("electricity|SO2|Asthma symptoms wheeze", US_national_yearly!$D:$AM, 10, FALSE), 1)</f>
        <v>8.0155999047702379E-3</v>
      </c>
      <c r="H8" s="7">
        <f>$B8 * IFERROR(VLOOKUP("electricity|SO2|Asthma symptoms wheeze", US_national_yearly!$D:$AM, 16, FALSE) / VLOOKUP("electricity|SO2|Asthma symptoms wheeze", US_national_yearly!$D:$AM, 10, FALSE), 1)</f>
        <v>8.0155999047702379E-3</v>
      </c>
      <c r="I8" s="7">
        <f>$B8 * IFERROR(VLOOKUP("electricity|SO2|Asthma symptoms wheeze", US_national_yearly!$D:$AM, 17, FALSE) / VLOOKUP("electricity|SO2|Asthma symptoms wheeze", US_national_yearly!$D:$AM, 10, FALSE), 1)</f>
        <v>8.0155999047702379E-3</v>
      </c>
      <c r="J8" s="7">
        <f>$B8 * IFERROR(VLOOKUP("electricity|SO2|Asthma symptoms wheeze", US_national_yearly!$D:$AM, 18, FALSE) / VLOOKUP("electricity|SO2|Asthma symptoms wheeze", US_national_yearly!$D:$AM, 10, FALSE), 1)</f>
        <v>8.0155999047702379E-3</v>
      </c>
      <c r="K8" s="7">
        <f>$B8 * IFERROR(VLOOKUP("electricity|SO2|Asthma symptoms wheeze", US_national_yearly!$D:$AM, 19, FALSE) / VLOOKUP("electricity|SO2|Asthma symptoms wheeze", US_national_yearly!$D:$AM, 10, FALSE), 1)</f>
        <v>8.0155999047702379E-3</v>
      </c>
      <c r="L8" s="7">
        <f>$B8 * IFERROR(VLOOKUP("electricity|SO2|Asthma symptoms wheeze", US_national_yearly!$D:$AM, 20, FALSE) / VLOOKUP("electricity|SO2|Asthma symptoms wheeze", US_national_yearly!$D:$AM, 10, FALSE), 1)</f>
        <v>8.0155999047702379E-3</v>
      </c>
      <c r="M8" s="7">
        <f>$B8 * IFERROR(VLOOKUP("electricity|SO2|Asthma symptoms wheeze", US_national_yearly!$D:$AM, 21, FALSE) / VLOOKUP("electricity|SO2|Asthma symptoms wheeze", US_national_yearly!$D:$AM, 10, FALSE), 1)</f>
        <v>8.0155999047702379E-3</v>
      </c>
      <c r="N8" s="7">
        <f>$B8 * IFERROR(VLOOKUP("electricity|SO2|Asthma symptoms wheeze", US_national_yearly!$D:$AM, 22, FALSE) / VLOOKUP("electricity|SO2|Asthma symptoms wheeze", US_national_yearly!$D:$AM, 10, FALSE), 1)</f>
        <v>8.0155999047702379E-3</v>
      </c>
      <c r="O8" s="7">
        <f>$B8 * IFERROR(VLOOKUP("electricity|SO2|Asthma symptoms wheeze", US_national_yearly!$D:$AM, 23, FALSE) / VLOOKUP("electricity|SO2|Asthma symptoms wheeze", US_national_yearly!$D:$AM, 10, FALSE), 1)</f>
        <v>8.0155999047702379E-3</v>
      </c>
      <c r="P8" s="7">
        <f>$B8 * IFERROR(VLOOKUP("electricity|SO2|Asthma symptoms wheeze", US_national_yearly!$D:$AM, 24, FALSE) / VLOOKUP("electricity|SO2|Asthma symptoms wheeze", US_national_yearly!$D:$AM, 10, FALSE), 1)</f>
        <v>8.0155999047702379E-3</v>
      </c>
      <c r="Q8" s="7">
        <f>$B8 * IFERROR(VLOOKUP("electricity|SO2|Asthma symptoms wheeze", US_national_yearly!$D:$AM, 25, FALSE) / VLOOKUP("electricity|SO2|Asthma symptoms wheeze", US_national_yearly!$D:$AM, 10, FALSE), 1)</f>
        <v>8.0155999047702379E-3</v>
      </c>
      <c r="R8" s="7">
        <f>$B8 * IFERROR(VLOOKUP("electricity|SO2|Asthma symptoms wheeze", US_national_yearly!$D:$AM, 26, FALSE) / VLOOKUP("electricity|SO2|Asthma symptoms wheeze", US_national_yearly!$D:$AM, 10, FALSE), 1)</f>
        <v>8.0155999047702379E-3</v>
      </c>
      <c r="S8" s="7">
        <f>$B8 * IFERROR(VLOOKUP("electricity|SO2|Asthma symptoms wheeze", US_national_yearly!$D:$AM, 27, FALSE) / VLOOKUP("electricity|SO2|Asthma symptoms wheeze", US_national_yearly!$D:$AM, 10, FALSE), 1)</f>
        <v>8.0155999047702379E-3</v>
      </c>
      <c r="T8" s="7">
        <f>$B8 * IFERROR(VLOOKUP("electricity|SO2|Asthma symptoms wheeze", US_national_yearly!$D:$AM, 28, FALSE) / VLOOKUP("electricity|SO2|Asthma symptoms wheeze", US_national_yearly!$D:$AM, 10, FALSE), 1)</f>
        <v>8.0155999047702379E-3</v>
      </c>
      <c r="U8" s="7">
        <f>$B8 * IFERROR(VLOOKUP("electricity|SO2|Asthma symptoms wheeze", US_national_yearly!$D:$AM, 29, FALSE) / VLOOKUP("electricity|SO2|Asthma symptoms wheeze", US_national_yearly!$D:$AM, 10, FALSE), 1)</f>
        <v>8.0155999047702379E-3</v>
      </c>
      <c r="V8" s="7">
        <f>$B8 * IFERROR(VLOOKUP("electricity|SO2|Asthma symptoms wheeze", US_national_yearly!$D:$AM, 30, FALSE) / VLOOKUP("electricity|SO2|Asthma symptoms wheeze", US_national_yearly!$D:$AM, 10, FALSE), 1)</f>
        <v>8.0155999047702379E-3</v>
      </c>
      <c r="W8" s="7">
        <f>$B8 * IFERROR(VLOOKUP("electricity|SO2|Asthma symptoms wheeze", US_national_yearly!$D:$AM, 31, FALSE) / VLOOKUP("electricity|SO2|Asthma symptoms wheeze", US_national_yearly!$D:$AM, 10, FALSE), 1)</f>
        <v>8.0155999047702379E-3</v>
      </c>
      <c r="X8" s="7">
        <f>$B8 * IFERROR(VLOOKUP("electricity|SO2|Asthma symptoms wheeze", US_national_yearly!$D:$AM, 32, FALSE) / VLOOKUP("electricity|SO2|Asthma symptoms wheeze", US_national_yearly!$D:$AM, 10, FALSE), 1)</f>
        <v>8.0155999047702379E-3</v>
      </c>
      <c r="Y8" s="7">
        <f>$B8 * IFERROR(VLOOKUP("electricity|SO2|Asthma symptoms wheeze", US_national_yearly!$D:$AM, 33, FALSE) / VLOOKUP("electricity|SO2|Asthma symptoms wheeze", US_national_yearly!$D:$AM, 10, FALSE), 1)</f>
        <v>8.0155999047702379E-3</v>
      </c>
      <c r="Z8" s="7">
        <f>$B8 * IFERROR(VLOOKUP("electricity|SO2|Asthma symptoms wheeze", US_national_yearly!$D:$AM, 34, FALSE) / VLOOKUP("electricity|SO2|Asthma symptoms wheeze", US_national_yearly!$D:$AM, 10, FALSE), 1)</f>
        <v>8.0155999047702379E-3</v>
      </c>
      <c r="AA8" s="7">
        <f>$B8 * IFERROR(VLOOKUP("electricity|SO2|Asthma symptoms wheeze", US_national_yearly!$D:$AM, 35, FALSE) / VLOOKUP("electricity|SO2|Asthma symptoms wheeze", US_national_yearly!$D:$AM, 10, FALSE), 1)</f>
        <v>8.0155999047702379E-3</v>
      </c>
      <c r="AB8" s="7">
        <f>$B8 * IFERROR(VLOOKUP("electricity|SO2|Asthma symptoms wheeze", US_national_yearly!$D:$AM, 36, FALSE) / VLOOKUP("electricity|SO2|Asthma symptoms wheeze", US_national_yearly!$D:$AM, 10, FALSE), 1)</f>
        <v>8.0155999047702379E-3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7.8940948744374173E-5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7.9405881796740406E-5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7.9870814849106653E-5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8.0335747901472872E-5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8.0800680953839119E-5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8.130731643825525E-5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8.1813951922671396E-5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8.2301342662759397E-5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8.2788733402847426E-5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8.3276124142935454E-5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8.3763514883023455E-5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8.425090562311147E-5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8.4600491701337656E-5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8.4950077779563868E-5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8.5299663857790054E-5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8.5649249936016239E-5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8.5998836014242438E-5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8.6328793813308453E-5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8.6658751612374481E-5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8.6988709411440495E-5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8.7318667210506523E-5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8.7648625009572551E-5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8.7965162415565239E-5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8.8281699821557967E-5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8.8598237227550695E-5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8.8914774633543382E-5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8.923131203953611E-5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5.0850378175298092E-4</v>
      </c>
      <c r="C13" s="7">
        <f>$B13 * IFERROR(VLOOKUP("electricity|SO2|Non-fatal heart attacks", US_national_yearly!$D:$AM, 11, FALSE) / VLOOKUP("electricity|SO2|Non-fatal heart attacks", US_national_yearly!$D:$AM, 10, FALSE), 1)</f>
        <v>5.234820502462294E-4</v>
      </c>
      <c r="D13" s="7">
        <f>$B13 * IFERROR(VLOOKUP("electricity|SO2|Non-fatal heart attacks", US_national_yearly!$D:$AM, 12, FALSE) / VLOOKUP("electricity|SO2|Non-fatal heart attacks", US_national_yearly!$D:$AM, 10, FALSE), 1)</f>
        <v>5.3846031873947778E-4</v>
      </c>
      <c r="E13" s="7">
        <f>$B13 * IFERROR(VLOOKUP("electricity|SO2|Non-fatal heart attacks", US_national_yearly!$D:$AM, 13, FALSE) / VLOOKUP("electricity|SO2|Non-fatal heart attacks", US_national_yearly!$D:$AM, 10, FALSE), 1)</f>
        <v>5.5343858723272627E-4</v>
      </c>
      <c r="F13" s="7">
        <f>$B13 * IFERROR(VLOOKUP("electricity|SO2|Non-fatal heart attacks", US_national_yearly!$D:$AM, 14, FALSE) / VLOOKUP("electricity|SO2|Non-fatal heart attacks", US_national_yearly!$D:$AM, 10, FALSE), 1)</f>
        <v>5.6841685572597475E-4</v>
      </c>
      <c r="G13" s="7">
        <f>$B13 * IFERROR(VLOOKUP("electricity|SO2|Non-fatal heart attacks", US_national_yearly!$D:$AM, 15, FALSE) / VLOOKUP("electricity|SO2|Non-fatal heart attacks", US_national_yearly!$D:$AM, 10, FALSE), 1)</f>
        <v>5.8263168192001092E-4</v>
      </c>
      <c r="H13" s="7">
        <f>$B13 * IFERROR(VLOOKUP("electricity|SO2|Non-fatal heart attacks", US_national_yearly!$D:$AM, 16, FALSE) / VLOOKUP("electricity|SO2|Non-fatal heart attacks", US_national_yearly!$D:$AM, 10, FALSE), 1)</f>
        <v>5.968465081140472E-4</v>
      </c>
      <c r="I13" s="7">
        <f>$B13 * IFERROR(VLOOKUP("electricity|SO2|Non-fatal heart attacks", US_national_yearly!$D:$AM, 17, FALSE) / VLOOKUP("electricity|SO2|Non-fatal heart attacks", US_national_yearly!$D:$AM, 10, FALSE), 1)</f>
        <v>6.0842285699489124E-4</v>
      </c>
      <c r="J13" s="7">
        <f>$B13 * IFERROR(VLOOKUP("electricity|SO2|Non-fatal heart attacks", US_national_yearly!$D:$AM, 18, FALSE) / VLOOKUP("electricity|SO2|Non-fatal heart attacks", US_national_yearly!$D:$AM, 10, FALSE), 1)</f>
        <v>6.1999920587573506E-4</v>
      </c>
      <c r="K13" s="7">
        <f>$B13 * IFERROR(VLOOKUP("electricity|SO2|Non-fatal heart attacks", US_national_yearly!$D:$AM, 19, FALSE) / VLOOKUP("electricity|SO2|Non-fatal heart attacks", US_national_yearly!$D:$AM, 10, FALSE), 1)</f>
        <v>6.31575554756579E-4</v>
      </c>
      <c r="L13" s="7">
        <f>$B13 * IFERROR(VLOOKUP("electricity|SO2|Non-fatal heart attacks", US_national_yearly!$D:$AM, 20, FALSE) / VLOOKUP("electricity|SO2|Non-fatal heart attacks", US_national_yearly!$D:$AM, 10, FALSE), 1)</f>
        <v>6.4315190363742282E-4</v>
      </c>
      <c r="M13" s="7">
        <f>$B13 * IFERROR(VLOOKUP("electricity|SO2|Non-fatal heart attacks", US_national_yearly!$D:$AM, 21, FALSE) / VLOOKUP("electricity|SO2|Non-fatal heart attacks", US_national_yearly!$D:$AM, 10, FALSE), 1)</f>
        <v>6.5472825251826675E-4</v>
      </c>
      <c r="N13" s="7">
        <f>$B13 * IFERROR(VLOOKUP("electricity|SO2|Non-fatal heart attacks", US_national_yearly!$D:$AM, 22, FALSE) / VLOOKUP("electricity|SO2|Non-fatal heart attacks", US_national_yearly!$D:$AM, 10, FALSE), 1)</f>
        <v>6.6236230960866195E-4</v>
      </c>
      <c r="O13" s="7">
        <f>$B13 * IFERROR(VLOOKUP("electricity|SO2|Non-fatal heart attacks", US_national_yearly!$D:$AM, 23, FALSE) / VLOOKUP("electricity|SO2|Non-fatal heart attacks", US_national_yearly!$D:$AM, 10, FALSE), 1)</f>
        <v>6.6999636669905693E-4</v>
      </c>
      <c r="P13" s="7">
        <f>$B13 * IFERROR(VLOOKUP("electricity|SO2|Non-fatal heart attacks", US_national_yearly!$D:$AM, 24, FALSE) / VLOOKUP("electricity|SO2|Non-fatal heart attacks", US_national_yearly!$D:$AM, 10, FALSE), 1)</f>
        <v>6.7763042378945213E-4</v>
      </c>
      <c r="Q13" s="7">
        <f>$B13 * IFERROR(VLOOKUP("electricity|SO2|Non-fatal heart attacks", US_national_yearly!$D:$AM, 25, FALSE) / VLOOKUP("electricity|SO2|Non-fatal heart attacks", US_national_yearly!$D:$AM, 10, FALSE), 1)</f>
        <v>6.8526448087984722E-4</v>
      </c>
      <c r="R13" s="7">
        <f>$B13 * IFERROR(VLOOKUP("electricity|SO2|Non-fatal heart attacks", US_national_yearly!$D:$AM, 26, FALSE) / VLOOKUP("electricity|SO2|Non-fatal heart attacks", US_national_yearly!$D:$AM, 10, FALSE), 1)</f>
        <v>6.9289853797024242E-4</v>
      </c>
      <c r="S13" s="7">
        <f>$B13 * IFERROR(VLOOKUP("electricity|SO2|Non-fatal heart attacks", US_national_yearly!$D:$AM, 27, FALSE) / VLOOKUP("electricity|SO2|Non-fatal heart attacks", US_national_yearly!$D:$AM, 10, FALSE), 1)</f>
        <v>6.9705281017098735E-4</v>
      </c>
      <c r="T13" s="7">
        <f>$B13 * IFERROR(VLOOKUP("electricity|SO2|Non-fatal heart attacks", US_national_yearly!$D:$AM, 28, FALSE) / VLOOKUP("electricity|SO2|Non-fatal heart attacks", US_national_yearly!$D:$AM, 10, FALSE), 1)</f>
        <v>7.0120708237173251E-4</v>
      </c>
      <c r="U13" s="7">
        <f>$B13 * IFERROR(VLOOKUP("electricity|SO2|Non-fatal heart attacks", US_national_yearly!$D:$AM, 29, FALSE) / VLOOKUP("electricity|SO2|Non-fatal heart attacks", US_national_yearly!$D:$AM, 10, FALSE), 1)</f>
        <v>7.0536135457247755E-4</v>
      </c>
      <c r="V13" s="7">
        <f>$B13 * IFERROR(VLOOKUP("electricity|SO2|Non-fatal heart attacks", US_national_yearly!$D:$AM, 30, FALSE) / VLOOKUP("electricity|SO2|Non-fatal heart attacks", US_national_yearly!$D:$AM, 10, FALSE), 1)</f>
        <v>7.0951562677322249E-4</v>
      </c>
      <c r="W13" s="7">
        <f>$B13 * IFERROR(VLOOKUP("electricity|SO2|Non-fatal heart attacks", US_national_yearly!$D:$AM, 31, FALSE) / VLOOKUP("electricity|SO2|Non-fatal heart attacks", US_national_yearly!$D:$AM, 10, FALSE), 1)</f>
        <v>7.1366989897396753E-4</v>
      </c>
      <c r="X13" s="7">
        <f>$B13 * IFERROR(VLOOKUP("electricity|SO2|Non-fatal heart attacks", US_national_yearly!$D:$AM, 32, FALSE) / VLOOKUP("electricity|SO2|Non-fatal heart attacks", US_national_yearly!$D:$AM, 10, FALSE), 1)</f>
        <v>7.1686107356293076E-4</v>
      </c>
      <c r="Y13" s="7">
        <f>$B13 * IFERROR(VLOOKUP("electricity|SO2|Non-fatal heart attacks", US_national_yearly!$D:$AM, 33, FALSE) / VLOOKUP("electricity|SO2|Non-fatal heart attacks", US_national_yearly!$D:$AM, 10, FALSE), 1)</f>
        <v>7.200522481518941E-4</v>
      </c>
      <c r="Z13" s="7">
        <f>$B13 * IFERROR(VLOOKUP("electricity|SO2|Non-fatal heart attacks", US_national_yearly!$D:$AM, 34, FALSE) / VLOOKUP("electricity|SO2|Non-fatal heart attacks", US_national_yearly!$D:$AM, 10, FALSE), 1)</f>
        <v>7.2324342274085723E-4</v>
      </c>
      <c r="AA13" s="7">
        <f>$B13 * IFERROR(VLOOKUP("electricity|SO2|Non-fatal heart attacks", US_national_yearly!$D:$AM, 35, FALSE) / VLOOKUP("electricity|SO2|Non-fatal heart attacks", US_national_yearly!$D:$AM, 10, FALSE), 1)</f>
        <v>7.2643459732982046E-4</v>
      </c>
      <c r="AB13" s="7">
        <f>$B13 * IFERROR(VLOOKUP("electricity|SO2|Non-fatal heart attacks", US_national_yearly!$D:$AM, 36, FALSE) / VLOOKUP("electricity|SO2|Non-fatal heart attacks", US_national_yearly!$D:$AM, 10, FALSE), 1)</f>
        <v>7.2962577191878369E-4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0.4874080783928556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0.48863291157749122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0.48985774476212679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0.49108257794676252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0.49230741113139798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0.49407703028226457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0.49584664943313111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0.49888168252194398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0.5019167156107569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0.50495174869956971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0.50798678178838275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0.51102181487719556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0.5152014938432623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0.51938117280932905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0.52356085177539569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0.52774053074146243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0.53192020970752907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0.53620503961009058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0.5404898695126521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0.5447746994152135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0.54905952931777502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0.55334435922033642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0.55711453992819882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0.5608847206360611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0.56465490134392338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0.56842508205178577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0.57219526275964805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8.3118080516526444E-2</v>
      </c>
      <c r="C15" s="7">
        <f>$B15 * IFERROR(VLOOKUP("electricity|SO2|Work loss days", US_national_yearly!$D:$AM, 11, FALSE) / VLOOKUP("electricity|SO2|Work loss days", US_national_yearly!$D:$AM, 10, FALSE), 1)</f>
        <v>8.3387219374993368E-2</v>
      </c>
      <c r="D15" s="7">
        <f>$B15 * IFERROR(VLOOKUP("electricity|SO2|Work loss days", US_national_yearly!$D:$AM, 12, FALSE) / VLOOKUP("electricity|SO2|Work loss days", US_national_yearly!$D:$AM, 10, FALSE), 1)</f>
        <v>8.3656358233460293E-2</v>
      </c>
      <c r="E15" s="7">
        <f>$B15 * IFERROR(VLOOKUP("electricity|SO2|Work loss days", US_national_yearly!$D:$AM, 13, FALSE) / VLOOKUP("electricity|SO2|Work loss days", US_national_yearly!$D:$AM, 10, FALSE), 1)</f>
        <v>8.3925497091927231E-2</v>
      </c>
      <c r="F15" s="7">
        <f>$B15 * IFERROR(VLOOKUP("electricity|SO2|Work loss days", US_national_yearly!$D:$AM, 14, FALSE) / VLOOKUP("electricity|SO2|Work loss days", US_national_yearly!$D:$AM, 10, FALSE), 1)</f>
        <v>8.4194635950394142E-2</v>
      </c>
      <c r="G15" s="7">
        <f>$B15 * IFERROR(VLOOKUP("electricity|SO2|Work loss days", US_national_yearly!$D:$AM, 15, FALSE) / VLOOKUP("electricity|SO2|Work loss days", US_national_yearly!$D:$AM, 10, FALSE), 1)</f>
        <v>8.4539419504996632E-2</v>
      </c>
      <c r="H15" s="7">
        <f>$B15 * IFERROR(VLOOKUP("electricity|SO2|Work loss days", US_national_yearly!$D:$AM, 16, FALSE) / VLOOKUP("electricity|SO2|Work loss days", US_national_yearly!$D:$AM, 10, FALSE), 1)</f>
        <v>8.4884203059599123E-2</v>
      </c>
      <c r="I15" s="7">
        <f>$B15 * IFERROR(VLOOKUP("electricity|SO2|Work loss days", US_national_yearly!$D:$AM, 17, FALSE) / VLOOKUP("electricity|SO2|Work loss days", US_national_yearly!$D:$AM, 10, FALSE), 1)</f>
        <v>8.5388661956547596E-2</v>
      </c>
      <c r="J15" s="7">
        <f>$B15 * IFERROR(VLOOKUP("electricity|SO2|Work loss days", US_national_yearly!$D:$AM, 18, FALSE) / VLOOKUP("electricity|SO2|Work loss days", US_national_yearly!$D:$AM, 10, FALSE), 1)</f>
        <v>8.5893120853496055E-2</v>
      </c>
      <c r="K15" s="7">
        <f>$B15 * IFERROR(VLOOKUP("electricity|SO2|Work loss days", US_national_yearly!$D:$AM, 19, FALSE) / VLOOKUP("electricity|SO2|Work loss days", US_national_yearly!$D:$AM, 10, FALSE), 1)</f>
        <v>8.6397579750444542E-2</v>
      </c>
      <c r="L15" s="7">
        <f>$B15 * IFERROR(VLOOKUP("electricity|SO2|Work loss days", US_national_yearly!$D:$AM, 20, FALSE) / VLOOKUP("electricity|SO2|Work loss days", US_national_yearly!$D:$AM, 10, FALSE), 1)</f>
        <v>8.6902038647393001E-2</v>
      </c>
      <c r="M15" s="7">
        <f>$B15 * IFERROR(VLOOKUP("electricity|SO2|Work loss days", US_national_yearly!$D:$AM, 21, FALSE) / VLOOKUP("electricity|SO2|Work loss days", US_national_yearly!$D:$AM, 10, FALSE), 1)</f>
        <v>8.7406497544341488E-2</v>
      </c>
      <c r="N15" s="7">
        <f>$B15 * IFERROR(VLOOKUP("electricity|SO2|Work loss days", US_national_yearly!$D:$AM, 22, FALSE) / VLOOKUP("electricity|SO2|Work loss days", US_national_yearly!$D:$AM, 10, FALSE), 1)</f>
        <v>8.8044763505003787E-2</v>
      </c>
      <c r="O15" s="7">
        <f>$B15 * IFERROR(VLOOKUP("electricity|SO2|Work loss days", US_national_yearly!$D:$AM, 23, FALSE) / VLOOKUP("electricity|SO2|Work loss days", US_national_yearly!$D:$AM, 10, FALSE), 1)</f>
        <v>8.8683029465666086E-2</v>
      </c>
      <c r="P15" s="7">
        <f>$B15 * IFERROR(VLOOKUP("electricity|SO2|Work loss days", US_national_yearly!$D:$AM, 24, FALSE) / VLOOKUP("electricity|SO2|Work loss days", US_national_yearly!$D:$AM, 10, FALSE), 1)</f>
        <v>8.9321295426328398E-2</v>
      </c>
      <c r="Q15" s="7">
        <f>$B15 * IFERROR(VLOOKUP("electricity|SO2|Work loss days", US_national_yearly!$D:$AM, 25, FALSE) / VLOOKUP("electricity|SO2|Work loss days", US_national_yearly!$D:$AM, 10, FALSE), 1)</f>
        <v>8.9959561386990683E-2</v>
      </c>
      <c r="R15" s="7">
        <f>$B15 * IFERROR(VLOOKUP("electricity|SO2|Work loss days", US_national_yearly!$D:$AM, 26, FALSE) / VLOOKUP("electricity|SO2|Work loss days", US_national_yearly!$D:$AM, 10, FALSE), 1)</f>
        <v>9.0597827347652995E-2</v>
      </c>
      <c r="S15" s="7">
        <f>$B15 * IFERROR(VLOOKUP("electricity|SO2|Work loss days", US_national_yearly!$D:$AM, 27, FALSE) / VLOOKUP("electricity|SO2|Work loss days", US_national_yearly!$D:$AM, 10, FALSE), 1)</f>
        <v>9.1313383050660488E-2</v>
      </c>
      <c r="T15" s="7">
        <f>$B15 * IFERROR(VLOOKUP("electricity|SO2|Work loss days", US_national_yearly!$D:$AM, 28, FALSE) / VLOOKUP("electricity|SO2|Work loss days", US_national_yearly!$D:$AM, 10, FALSE), 1)</f>
        <v>9.2028938753667994E-2</v>
      </c>
      <c r="U15" s="7">
        <f>$B15 * IFERROR(VLOOKUP("electricity|SO2|Work loss days", US_national_yearly!$D:$AM, 29, FALSE) / VLOOKUP("electricity|SO2|Work loss days", US_national_yearly!$D:$AM, 10, FALSE), 1)</f>
        <v>9.27444944566755E-2</v>
      </c>
      <c r="V15" s="7">
        <f>$B15 * IFERROR(VLOOKUP("electricity|SO2|Work loss days", US_national_yearly!$D:$AM, 30, FALSE) / VLOOKUP("electricity|SO2|Work loss days", US_national_yearly!$D:$AM, 10, FALSE), 1)</f>
        <v>9.3460050159683006E-2</v>
      </c>
      <c r="W15" s="7">
        <f>$B15 * IFERROR(VLOOKUP("electricity|SO2|Work loss days", US_national_yearly!$D:$AM, 31, FALSE) / VLOOKUP("electricity|SO2|Work loss days", US_national_yearly!$D:$AM, 10, FALSE), 1)</f>
        <v>9.4175605862690526E-2</v>
      </c>
      <c r="X15" s="7">
        <f>$B15 * IFERROR(VLOOKUP("electricity|SO2|Work loss days", US_national_yearly!$D:$AM, 32, FALSE) / VLOOKUP("electricity|SO2|Work loss days", US_national_yearly!$D:$AM, 10, FALSE), 1)</f>
        <v>9.4820250778438309E-2</v>
      </c>
      <c r="Y15" s="7">
        <f>$B15 * IFERROR(VLOOKUP("electricity|SO2|Work loss days", US_national_yearly!$D:$AM, 33, FALSE) / VLOOKUP("electricity|SO2|Work loss days", US_national_yearly!$D:$AM, 10, FALSE), 1)</f>
        <v>9.5464895694186105E-2</v>
      </c>
      <c r="Z15" s="7">
        <f>$B15 * IFERROR(VLOOKUP("electricity|SO2|Work loss days", US_national_yearly!$D:$AM, 34, FALSE) / VLOOKUP("electricity|SO2|Work loss days", US_national_yearly!$D:$AM, 10, FALSE), 1)</f>
        <v>9.6109540609933888E-2</v>
      </c>
      <c r="AA15" s="7">
        <f>$B15 * IFERROR(VLOOKUP("electricity|SO2|Work loss days", US_national_yearly!$D:$AM, 35, FALSE) / VLOOKUP("electricity|SO2|Work loss days", US_national_yearly!$D:$AM, 10, FALSE), 1)</f>
        <v>9.6754185525681685E-2</v>
      </c>
      <c r="AB15" s="7">
        <f>$B15 * IFERROR(VLOOKUP("electricity|SO2|Work loss days", US_national_yearly!$D:$AM, 36, FALSE) / VLOOKUP("electricity|SO2|Work loss days", US_national_yearly!$D:$AM, 10, FALSE), 1)</f>
        <v>9.7398830441429482E-2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9.5772270565542997E-5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9.8674436593544111E-5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1.0157660262154524E-4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1.0447876864954638E-4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1.073809346775475E-4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1.1017843779802383E-4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1.1297594091850019E-4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1.1539785278065542E-4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1.1781976464281068E-4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1.2024167650496591E-4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1.2266358836712112E-4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1.2508550022927636E-4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1.2673844861809844E-4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1.283913970069205E-4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1.3004434539574264E-4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1.3169729378456469E-4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1.3335024217338677E-4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1.3425641876110841E-4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1.3516259534883003E-4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1.3606877193655167E-4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1.3697494852427328E-4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1.3788112511199489E-4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1.3850664777418346E-4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1.3913217043637195E-4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1.3975769309856049E-4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1.40383215760749E-4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1.4100873842293754E-4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1.8178804273160962E-2</v>
      </c>
      <c r="C2" s="7">
        <f>$B2 * IFERROR(VLOOKUP("buildings|PM25|Premature mortality", US_national_yearly!$D:$AM, 11, FALSE) / VLOOKUP("buildings|PM25|Premature mortality", US_national_yearly!$D:$AM, 10, FALSE), 1)</f>
        <v>1.840434485142502E-2</v>
      </c>
      <c r="D2" s="7">
        <f>$B2 * IFERROR(VLOOKUP("buildings|PM25|Premature mortality", US_national_yearly!$D:$AM, 12, FALSE) / VLOOKUP("buildings|PM25|Premature mortality", US_national_yearly!$D:$AM, 10, FALSE), 1)</f>
        <v>1.8629885429689082E-2</v>
      </c>
      <c r="E2" s="7">
        <f>$B2 * IFERROR(VLOOKUP("buildings|PM25|Premature mortality", US_national_yearly!$D:$AM, 13, FALSE) / VLOOKUP("buildings|PM25|Premature mortality", US_national_yearly!$D:$AM, 10, FALSE), 1)</f>
        <v>1.885542600795314E-2</v>
      </c>
      <c r="F2" s="7">
        <f>$B2 * IFERROR(VLOOKUP("buildings|PM25|Premature mortality", US_national_yearly!$D:$AM, 14, FALSE) / VLOOKUP("buildings|PM25|Premature mortality", US_national_yearly!$D:$AM, 10, FALSE), 1)</f>
        <v>1.9080966586217201E-2</v>
      </c>
      <c r="G2" s="7">
        <f>$B2 * IFERROR(VLOOKUP("buildings|PM25|Premature mortality", US_national_yearly!$D:$AM, 15, FALSE) / VLOOKUP("buildings|PM25|Premature mortality", US_national_yearly!$D:$AM, 10, FALSE), 1)</f>
        <v>1.9520140343946588E-2</v>
      </c>
      <c r="H2" s="7">
        <f>$B2 * IFERROR(VLOOKUP("buildings|PM25|Premature mortality", US_national_yearly!$D:$AM, 16, FALSE) / VLOOKUP("buildings|PM25|Premature mortality", US_national_yearly!$D:$AM, 10, FALSE), 1)</f>
        <v>1.9959314101675979E-2</v>
      </c>
      <c r="I2" s="7">
        <f>$B2 * IFERROR(VLOOKUP("buildings|PM25|Premature mortality", US_national_yearly!$D:$AM, 17, FALSE) / VLOOKUP("buildings|PM25|Premature mortality", US_national_yearly!$D:$AM, 10, FALSE), 1)</f>
        <v>2.024815111779019E-2</v>
      </c>
      <c r="J2" s="7">
        <f>$B2 * IFERROR(VLOOKUP("buildings|PM25|Premature mortality", US_national_yearly!$D:$AM, 18, FALSE) / VLOOKUP("buildings|PM25|Premature mortality", US_national_yearly!$D:$AM, 10, FALSE), 1)</f>
        <v>2.0536988133904401E-2</v>
      </c>
      <c r="K2" s="7">
        <f>$B2 * IFERROR(VLOOKUP("buildings|PM25|Premature mortality", US_national_yearly!$D:$AM, 19, FALSE) / VLOOKUP("buildings|PM25|Premature mortality", US_national_yearly!$D:$AM, 10, FALSE), 1)</f>
        <v>2.0825825150018608E-2</v>
      </c>
      <c r="L2" s="7">
        <f>$B2 * IFERROR(VLOOKUP("buildings|PM25|Premature mortality", US_national_yearly!$D:$AM, 20, FALSE) / VLOOKUP("buildings|PM25|Premature mortality", US_national_yearly!$D:$AM, 10, FALSE), 1)</f>
        <v>2.1114662166132819E-2</v>
      </c>
      <c r="M2" s="7">
        <f>$B2 * IFERROR(VLOOKUP("buildings|PM25|Premature mortality", US_national_yearly!$D:$AM, 21, FALSE) / VLOOKUP("buildings|PM25|Premature mortality", US_national_yearly!$D:$AM, 10, FALSE), 1)</f>
        <v>2.1403499182247029E-2</v>
      </c>
      <c r="N2" s="7">
        <f>$B2 * IFERROR(VLOOKUP("buildings|PM25|Premature mortality", US_national_yearly!$D:$AM, 22, FALSE) / VLOOKUP("buildings|PM25|Premature mortality", US_national_yearly!$D:$AM, 10, FALSE), 1)</f>
        <v>2.1628102064145224E-2</v>
      </c>
      <c r="O2" s="7">
        <f>$B2 * IFERROR(VLOOKUP("buildings|PM25|Premature mortality", US_national_yearly!$D:$AM, 23, FALSE) / VLOOKUP("buildings|PM25|Premature mortality", US_national_yearly!$D:$AM, 10, FALSE), 1)</f>
        <v>2.1852704946043421E-2</v>
      </c>
      <c r="P2" s="7">
        <f>$B2 * IFERROR(VLOOKUP("buildings|PM25|Premature mortality", US_national_yearly!$D:$AM, 24, FALSE) / VLOOKUP("buildings|PM25|Premature mortality", US_national_yearly!$D:$AM, 10, FALSE), 1)</f>
        <v>2.2077307827941612E-2</v>
      </c>
      <c r="Q2" s="7">
        <f>$B2 * IFERROR(VLOOKUP("buildings|PM25|Premature mortality", US_national_yearly!$D:$AM, 25, FALSE) / VLOOKUP("buildings|PM25|Premature mortality", US_national_yearly!$D:$AM, 10, FALSE), 1)</f>
        <v>2.2301910709839817E-2</v>
      </c>
      <c r="R2" s="7">
        <f>$B2 * IFERROR(VLOOKUP("buildings|PM25|Premature mortality", US_national_yearly!$D:$AM, 26, FALSE) / VLOOKUP("buildings|PM25|Premature mortality", US_national_yearly!$D:$AM, 10, FALSE), 1)</f>
        <v>2.2526513591738007E-2</v>
      </c>
      <c r="S2" s="7">
        <f>$B2 * IFERROR(VLOOKUP("buildings|PM25|Premature mortality", US_national_yearly!$D:$AM, 27, FALSE) / VLOOKUP("buildings|PM25|Premature mortality", US_national_yearly!$D:$AM, 10, FALSE), 1)</f>
        <v>2.2645892254419868E-2</v>
      </c>
      <c r="T2" s="7">
        <f>$B2 * IFERROR(VLOOKUP("buildings|PM25|Premature mortality", US_national_yearly!$D:$AM, 28, FALSE) / VLOOKUP("buildings|PM25|Premature mortality", US_national_yearly!$D:$AM, 10, FALSE), 1)</f>
        <v>2.2765270917101735E-2</v>
      </c>
      <c r="U2" s="7">
        <f>$B2 * IFERROR(VLOOKUP("buildings|PM25|Premature mortality", US_national_yearly!$D:$AM, 29, FALSE) / VLOOKUP("buildings|PM25|Premature mortality", US_national_yearly!$D:$AM, 10, FALSE), 1)</f>
        <v>2.28846495797836E-2</v>
      </c>
      <c r="V2" s="7">
        <f>$B2 * IFERROR(VLOOKUP("buildings|PM25|Premature mortality", US_national_yearly!$D:$AM, 30, FALSE) / VLOOKUP("buildings|PM25|Premature mortality", US_national_yearly!$D:$AM, 10, FALSE), 1)</f>
        <v>2.3004028242465464E-2</v>
      </c>
      <c r="W2" s="7">
        <f>$B2 * IFERROR(VLOOKUP("buildings|PM25|Premature mortality", US_national_yearly!$D:$AM, 31, FALSE) / VLOOKUP("buildings|PM25|Premature mortality", US_national_yearly!$D:$AM, 10, FALSE), 1)</f>
        <v>2.3123406905147324E-2</v>
      </c>
      <c r="X2" s="7">
        <f>$B2 * IFERROR(VLOOKUP("buildings|PM25|Premature mortality", US_national_yearly!$D:$AM, 32, FALSE) / VLOOKUP("buildings|PM25|Premature mortality", US_national_yearly!$D:$AM, 10, FALSE), 1)</f>
        <v>2.3144834416707082E-2</v>
      </c>
      <c r="Y2" s="7">
        <f>$B2 * IFERROR(VLOOKUP("buildings|PM25|Premature mortality", US_national_yearly!$D:$AM, 33, FALSE) / VLOOKUP("buildings|PM25|Premature mortality", US_national_yearly!$D:$AM, 10, FALSE), 1)</f>
        <v>2.3166261928266835E-2</v>
      </c>
      <c r="Z2" s="7">
        <f>$B2 * IFERROR(VLOOKUP("buildings|PM25|Premature mortality", US_national_yearly!$D:$AM, 34, FALSE) / VLOOKUP("buildings|PM25|Premature mortality", US_national_yearly!$D:$AM, 10, FALSE), 1)</f>
        <v>2.3187689439826593E-2</v>
      </c>
      <c r="AA2" s="7">
        <f>$B2 * IFERROR(VLOOKUP("buildings|PM25|Premature mortality", US_national_yearly!$D:$AM, 35, FALSE) / VLOOKUP("buildings|PM25|Premature mortality", US_national_yearly!$D:$AM, 10, FALSE), 1)</f>
        <v>2.320911695138635E-2</v>
      </c>
      <c r="AB2" s="7">
        <f>$B2 * IFERROR(VLOOKUP("buildings|PM25|Premature mortality", US_national_yearly!$D:$AM, 36, FALSE) / VLOOKUP("buildings|PM25|Premature mortality", US_national_yearly!$D:$AM, 10, FALSE), 1)</f>
        <v>2.3230544462946104E-2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5.7926371834085556E-5</v>
      </c>
      <c r="C3" s="7">
        <f>$B3 * IFERROR(VLOOKUP("buildings|PM25|Infant mortality", US_national_yearly!$D:$AM, 11, FALSE) / VLOOKUP("buildings|PM25|Infant mortality", US_national_yearly!$D:$AM, 10, FALSE), 1)</f>
        <v>5.7424635749304313E-5</v>
      </c>
      <c r="D3" s="7">
        <f>$B3 * IFERROR(VLOOKUP("buildings|PM25|Infant mortality", US_national_yearly!$D:$AM, 12, FALSE) / VLOOKUP("buildings|PM25|Infant mortality", US_national_yearly!$D:$AM, 10, FALSE), 1)</f>
        <v>5.6922899664523071E-5</v>
      </c>
      <c r="E3" s="7">
        <f>$B3 * IFERROR(VLOOKUP("buildings|PM25|Infant mortality", US_national_yearly!$D:$AM, 13, FALSE) / VLOOKUP("buildings|PM25|Infant mortality", US_national_yearly!$D:$AM, 10, FALSE), 1)</f>
        <v>5.6421163579741828E-5</v>
      </c>
      <c r="F3" s="7">
        <f>$B3 * IFERROR(VLOOKUP("buildings|PM25|Infant mortality", US_national_yearly!$D:$AM, 14, FALSE) / VLOOKUP("buildings|PM25|Infant mortality", US_national_yearly!$D:$AM, 10, FALSE), 1)</f>
        <v>5.5919427494960592E-5</v>
      </c>
      <c r="G3" s="7">
        <f>$B3 * IFERROR(VLOOKUP("buildings|PM25|Infant mortality", US_national_yearly!$D:$AM, 15, FALSE) / VLOOKUP("buildings|PM25|Infant mortality", US_national_yearly!$D:$AM, 10, FALSE), 1)</f>
        <v>3.7184390573440386E-5</v>
      </c>
      <c r="H3" s="7">
        <f>$B3 * IFERROR(VLOOKUP("buildings|PM25|Infant mortality", US_national_yearly!$D:$AM, 16, FALSE) / VLOOKUP("buildings|PM25|Infant mortality", US_national_yearly!$D:$AM, 10, FALSE), 1)</f>
        <v>1.8449353651920176E-5</v>
      </c>
      <c r="I3" s="7">
        <f>$B3 * IFERROR(VLOOKUP("buildings|PM25|Infant mortality", US_national_yearly!$D:$AM, 17, FALSE) / VLOOKUP("buildings|PM25|Infant mortality", US_national_yearly!$D:$AM, 10, FALSE), 1)</f>
        <v>1.8329130179897512E-5</v>
      </c>
      <c r="J3" s="7">
        <f>$B3 * IFERROR(VLOOKUP("buildings|PM25|Infant mortality", US_national_yearly!$D:$AM, 18, FALSE) / VLOOKUP("buildings|PM25|Infant mortality", US_national_yearly!$D:$AM, 10, FALSE), 1)</f>
        <v>1.8208906707874847E-5</v>
      </c>
      <c r="K3" s="7">
        <f>$B3 * IFERROR(VLOOKUP("buildings|PM25|Infant mortality", US_national_yearly!$D:$AM, 19, FALSE) / VLOOKUP("buildings|PM25|Infant mortality", US_national_yearly!$D:$AM, 10, FALSE), 1)</f>
        <v>1.8088683235852182E-5</v>
      </c>
      <c r="L3" s="7">
        <f>$B3 * IFERROR(VLOOKUP("buildings|PM25|Infant mortality", US_national_yearly!$D:$AM, 20, FALSE) / VLOOKUP("buildings|PM25|Infant mortality", US_national_yearly!$D:$AM, 10, FALSE), 1)</f>
        <v>1.7968459763829518E-5</v>
      </c>
      <c r="M3" s="7">
        <f>$B3 * IFERROR(VLOOKUP("buildings|PM25|Infant mortality", US_national_yearly!$D:$AM, 21, FALSE) / VLOOKUP("buildings|PM25|Infant mortality", US_national_yearly!$D:$AM, 10, FALSE), 1)</f>
        <v>1.7848236291806853E-5</v>
      </c>
      <c r="N3" s="7">
        <f>$B3 * IFERROR(VLOOKUP("buildings|PM25|Infant mortality", US_national_yearly!$D:$AM, 22, FALSE) / VLOOKUP("buildings|PM25|Infant mortality", US_national_yearly!$D:$AM, 10, FALSE), 1)</f>
        <v>1.7773012981316706E-5</v>
      </c>
      <c r="O3" s="7">
        <f>$B3 * IFERROR(VLOOKUP("buildings|PM25|Infant mortality", US_national_yearly!$D:$AM, 23, FALSE) / VLOOKUP("buildings|PM25|Infant mortality", US_national_yearly!$D:$AM, 10, FALSE), 1)</f>
        <v>1.7697789670826555E-5</v>
      </c>
      <c r="P3" s="7">
        <f>$B3 * IFERROR(VLOOKUP("buildings|PM25|Infant mortality", US_national_yearly!$D:$AM, 24, FALSE) / VLOOKUP("buildings|PM25|Infant mortality", US_national_yearly!$D:$AM, 10, FALSE), 1)</f>
        <v>1.7622566360336408E-5</v>
      </c>
      <c r="Q3" s="7">
        <f>$B3 * IFERROR(VLOOKUP("buildings|PM25|Infant mortality", US_national_yearly!$D:$AM, 25, FALSE) / VLOOKUP("buildings|PM25|Infant mortality", US_national_yearly!$D:$AM, 10, FALSE), 1)</f>
        <v>1.7547343049846257E-5</v>
      </c>
      <c r="R3" s="7">
        <f>$B3 * IFERROR(VLOOKUP("buildings|PM25|Infant mortality", US_national_yearly!$D:$AM, 26, FALSE) / VLOOKUP("buildings|PM25|Infant mortality", US_national_yearly!$D:$AM, 10, FALSE), 1)</f>
        <v>1.7472119739356107E-5</v>
      </c>
      <c r="S3" s="7">
        <f>$B3 * IFERROR(VLOOKUP("buildings|PM25|Infant mortality", US_national_yearly!$D:$AM, 27, FALSE) / VLOOKUP("buildings|PM25|Infant mortality", US_national_yearly!$D:$AM, 10, FALSE), 1)</f>
        <v>1.7378198263660113E-5</v>
      </c>
      <c r="T3" s="7">
        <f>$B3 * IFERROR(VLOOKUP("buildings|PM25|Infant mortality", US_national_yearly!$D:$AM, 28, FALSE) / VLOOKUP("buildings|PM25|Infant mortality", US_national_yearly!$D:$AM, 10, FALSE), 1)</f>
        <v>1.728427678796412E-5</v>
      </c>
      <c r="U3" s="7">
        <f>$B3 * IFERROR(VLOOKUP("buildings|PM25|Infant mortality", US_national_yearly!$D:$AM, 29, FALSE) / VLOOKUP("buildings|PM25|Infant mortality", US_national_yearly!$D:$AM, 10, FALSE), 1)</f>
        <v>1.7190355312268119E-5</v>
      </c>
      <c r="V3" s="7">
        <f>$B3 * IFERROR(VLOOKUP("buildings|PM25|Infant mortality", US_national_yearly!$D:$AM, 30, FALSE) / VLOOKUP("buildings|PM25|Infant mortality", US_national_yearly!$D:$AM, 10, FALSE), 1)</f>
        <v>1.7096433836572126E-5</v>
      </c>
      <c r="W3" s="7">
        <f>$B3 * IFERROR(VLOOKUP("buildings|PM25|Infant mortality", US_national_yearly!$D:$AM, 31, FALSE) / VLOOKUP("buildings|PM25|Infant mortality", US_national_yearly!$D:$AM, 10, FALSE), 1)</f>
        <v>1.7002512360876132E-5</v>
      </c>
      <c r="X3" s="7">
        <f>$B3 * IFERROR(VLOOKUP("buildings|PM25|Infant mortality", US_national_yearly!$D:$AM, 32, FALSE) / VLOOKUP("buildings|PM25|Infant mortality", US_national_yearly!$D:$AM, 10, FALSE), 1)</f>
        <v>1.6901393799539384E-5</v>
      </c>
      <c r="Y3" s="7">
        <f>$B3 * IFERROR(VLOOKUP("buildings|PM25|Infant mortality", US_national_yearly!$D:$AM, 33, FALSE) / VLOOKUP("buildings|PM25|Infant mortality", US_national_yearly!$D:$AM, 10, FALSE), 1)</f>
        <v>1.6800275238202643E-5</v>
      </c>
      <c r="Z3" s="7">
        <f>$B3 * IFERROR(VLOOKUP("buildings|PM25|Infant mortality", US_national_yearly!$D:$AM, 34, FALSE) / VLOOKUP("buildings|PM25|Infant mortality", US_national_yearly!$D:$AM, 10, FALSE), 1)</f>
        <v>1.6699156676865899E-5</v>
      </c>
      <c r="AA3" s="7">
        <f>$B3 * IFERROR(VLOOKUP("buildings|PM25|Infant mortality", US_national_yearly!$D:$AM, 35, FALSE) / VLOOKUP("buildings|PM25|Infant mortality", US_national_yearly!$D:$AM, 10, FALSE), 1)</f>
        <v>1.6598038115529151E-5</v>
      </c>
      <c r="AB3" s="7">
        <f>$B3 * IFERROR(VLOOKUP("buildings|PM25|Infant mortality", US_national_yearly!$D:$AM, 36, FALSE) / VLOOKUP("buildings|PM25|Infant mortality", US_national_yearly!$D:$AM, 10, FALSE), 1)</f>
        <v>1.649691955419241E-5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6.400768164051128E-2</v>
      </c>
      <c r="C6" s="7">
        <f>$B6 * IFERROR(VLOOKUP("buildings|PM25|Asthma symptoms cough", US_national_yearly!$D:$AM, 11, FALSE) / VLOOKUP("buildings|PM25|Asthma symptoms cough", US_national_yearly!$D:$AM, 10, FALSE), 1)</f>
        <v>6.400768164051128E-2</v>
      </c>
      <c r="D6" s="7">
        <f>$B6 * IFERROR(VLOOKUP("buildings|PM25|Asthma symptoms cough", US_national_yearly!$D:$AM, 12, FALSE) / VLOOKUP("buildings|PM25|Asthma symptoms cough", US_national_yearly!$D:$AM, 10, FALSE), 1)</f>
        <v>6.400768164051128E-2</v>
      </c>
      <c r="E6" s="7">
        <f>$B6 * IFERROR(VLOOKUP("buildings|PM25|Asthma symptoms cough", US_national_yearly!$D:$AM, 13, FALSE) / VLOOKUP("buildings|PM25|Asthma symptoms cough", US_national_yearly!$D:$AM, 10, FALSE), 1)</f>
        <v>6.400768164051128E-2</v>
      </c>
      <c r="F6" s="7">
        <f>$B6 * IFERROR(VLOOKUP("buildings|PM25|Asthma symptoms cough", US_national_yearly!$D:$AM, 14, FALSE) / VLOOKUP("buildings|PM25|Asthma symptoms cough", US_national_yearly!$D:$AM, 10, FALSE), 1)</f>
        <v>6.400768164051128E-2</v>
      </c>
      <c r="G6" s="7">
        <f>$B6 * IFERROR(VLOOKUP("buildings|PM25|Asthma symptoms cough", US_national_yearly!$D:$AM, 15, FALSE) / VLOOKUP("buildings|PM25|Asthma symptoms cough", US_national_yearly!$D:$AM, 10, FALSE), 1)</f>
        <v>6.400768164051128E-2</v>
      </c>
      <c r="H6" s="7">
        <f>$B6 * IFERROR(VLOOKUP("buildings|PM25|Asthma symptoms cough", US_national_yearly!$D:$AM, 16, FALSE) / VLOOKUP("buildings|PM25|Asthma symptoms cough", US_national_yearly!$D:$AM, 10, FALSE), 1)</f>
        <v>6.400768164051128E-2</v>
      </c>
      <c r="I6" s="7">
        <f>$B6 * IFERROR(VLOOKUP("buildings|PM25|Asthma symptoms cough", US_national_yearly!$D:$AM, 17, FALSE) / VLOOKUP("buildings|PM25|Asthma symptoms cough", US_national_yearly!$D:$AM, 10, FALSE), 1)</f>
        <v>6.400768164051128E-2</v>
      </c>
      <c r="J6" s="7">
        <f>$B6 * IFERROR(VLOOKUP("buildings|PM25|Asthma symptoms cough", US_national_yearly!$D:$AM, 18, FALSE) / VLOOKUP("buildings|PM25|Asthma symptoms cough", US_national_yearly!$D:$AM, 10, FALSE), 1)</f>
        <v>6.400768164051128E-2</v>
      </c>
      <c r="K6" s="7">
        <f>$B6 * IFERROR(VLOOKUP("buildings|PM25|Asthma symptoms cough", US_national_yearly!$D:$AM, 19, FALSE) / VLOOKUP("buildings|PM25|Asthma symptoms cough", US_national_yearly!$D:$AM, 10, FALSE), 1)</f>
        <v>6.400768164051128E-2</v>
      </c>
      <c r="L6" s="7">
        <f>$B6 * IFERROR(VLOOKUP("buildings|PM25|Asthma symptoms cough", US_national_yearly!$D:$AM, 20, FALSE) / VLOOKUP("buildings|PM25|Asthma symptoms cough", US_national_yearly!$D:$AM, 10, FALSE), 1)</f>
        <v>6.400768164051128E-2</v>
      </c>
      <c r="M6" s="7">
        <f>$B6 * IFERROR(VLOOKUP("buildings|PM25|Asthma symptoms cough", US_national_yearly!$D:$AM, 21, FALSE) / VLOOKUP("buildings|PM25|Asthma symptoms cough", US_national_yearly!$D:$AM, 10, FALSE), 1)</f>
        <v>6.400768164051128E-2</v>
      </c>
      <c r="N6" s="7">
        <f>$B6 * IFERROR(VLOOKUP("buildings|PM25|Asthma symptoms cough", US_national_yearly!$D:$AM, 22, FALSE) / VLOOKUP("buildings|PM25|Asthma symptoms cough", US_national_yearly!$D:$AM, 10, FALSE), 1)</f>
        <v>6.400768164051128E-2</v>
      </c>
      <c r="O6" s="7">
        <f>$B6 * IFERROR(VLOOKUP("buildings|PM25|Asthma symptoms cough", US_national_yearly!$D:$AM, 23, FALSE) / VLOOKUP("buildings|PM25|Asthma symptoms cough", US_national_yearly!$D:$AM, 10, FALSE), 1)</f>
        <v>6.400768164051128E-2</v>
      </c>
      <c r="P6" s="7">
        <f>$B6 * IFERROR(VLOOKUP("buildings|PM25|Asthma symptoms cough", US_national_yearly!$D:$AM, 24, FALSE) / VLOOKUP("buildings|PM25|Asthma symptoms cough", US_national_yearly!$D:$AM, 10, FALSE), 1)</f>
        <v>6.400768164051128E-2</v>
      </c>
      <c r="Q6" s="7">
        <f>$B6 * IFERROR(VLOOKUP("buildings|PM25|Asthma symptoms cough", US_national_yearly!$D:$AM, 25, FALSE) / VLOOKUP("buildings|PM25|Asthma symptoms cough", US_national_yearly!$D:$AM, 10, FALSE), 1)</f>
        <v>6.400768164051128E-2</v>
      </c>
      <c r="R6" s="7">
        <f>$B6 * IFERROR(VLOOKUP("buildings|PM25|Asthma symptoms cough", US_national_yearly!$D:$AM, 26, FALSE) / VLOOKUP("buildings|PM25|Asthma symptoms cough", US_national_yearly!$D:$AM, 10, FALSE), 1)</f>
        <v>6.400768164051128E-2</v>
      </c>
      <c r="S6" s="7">
        <f>$B6 * IFERROR(VLOOKUP("buildings|PM25|Asthma symptoms cough", US_national_yearly!$D:$AM, 27, FALSE) / VLOOKUP("buildings|PM25|Asthma symptoms cough", US_national_yearly!$D:$AM, 10, FALSE), 1)</f>
        <v>6.400768164051128E-2</v>
      </c>
      <c r="T6" s="7">
        <f>$B6 * IFERROR(VLOOKUP("buildings|PM25|Asthma symptoms cough", US_national_yearly!$D:$AM, 28, FALSE) / VLOOKUP("buildings|PM25|Asthma symptoms cough", US_national_yearly!$D:$AM, 10, FALSE), 1)</f>
        <v>6.400768164051128E-2</v>
      </c>
      <c r="U6" s="7">
        <f>$B6 * IFERROR(VLOOKUP("buildings|PM25|Asthma symptoms cough", US_national_yearly!$D:$AM, 29, FALSE) / VLOOKUP("buildings|PM25|Asthma symptoms cough", US_national_yearly!$D:$AM, 10, FALSE), 1)</f>
        <v>6.400768164051128E-2</v>
      </c>
      <c r="V6" s="7">
        <f>$B6 * IFERROR(VLOOKUP("buildings|PM25|Asthma symptoms cough", US_national_yearly!$D:$AM, 30, FALSE) / VLOOKUP("buildings|PM25|Asthma symptoms cough", US_national_yearly!$D:$AM, 10, FALSE), 1)</f>
        <v>6.400768164051128E-2</v>
      </c>
      <c r="W6" s="7">
        <f>$B6 * IFERROR(VLOOKUP("buildings|PM25|Asthma symptoms cough", US_national_yearly!$D:$AM, 31, FALSE) / VLOOKUP("buildings|PM25|Asthma symptoms cough", US_national_yearly!$D:$AM, 10, FALSE), 1)</f>
        <v>6.400768164051128E-2</v>
      </c>
      <c r="X6" s="7">
        <f>$B6 * IFERROR(VLOOKUP("buildings|PM25|Asthma symptoms cough", US_national_yearly!$D:$AM, 32, FALSE) / VLOOKUP("buildings|PM25|Asthma symptoms cough", US_national_yearly!$D:$AM, 10, FALSE), 1)</f>
        <v>6.400768164051128E-2</v>
      </c>
      <c r="Y6" s="7">
        <f>$B6 * IFERROR(VLOOKUP("buildings|PM25|Asthma symptoms cough", US_national_yearly!$D:$AM, 33, FALSE) / VLOOKUP("buildings|PM25|Asthma symptoms cough", US_national_yearly!$D:$AM, 10, FALSE), 1)</f>
        <v>6.400768164051128E-2</v>
      </c>
      <c r="Z6" s="7">
        <f>$B6 * IFERROR(VLOOKUP("buildings|PM25|Asthma symptoms cough", US_national_yearly!$D:$AM, 34, FALSE) / VLOOKUP("buildings|PM25|Asthma symptoms cough", US_national_yearly!$D:$AM, 10, FALSE), 1)</f>
        <v>6.400768164051128E-2</v>
      </c>
      <c r="AA6" s="7">
        <f>$B6 * IFERROR(VLOOKUP("buildings|PM25|Asthma symptoms cough", US_national_yearly!$D:$AM, 35, FALSE) / VLOOKUP("buildings|PM25|Asthma symptoms cough", US_national_yearly!$D:$AM, 10, FALSE), 1)</f>
        <v>6.400768164051128E-2</v>
      </c>
      <c r="AB6" s="7">
        <f>$B6 * IFERROR(VLOOKUP("buildings|PM25|Asthma symptoms cough", US_national_yearly!$D:$AM, 36, FALSE) / VLOOKUP("buildings|PM25|Asthma symptoms cough", US_national_yearly!$D:$AM, 10, FALSE), 1)</f>
        <v>6.400768164051128E-2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8.6195586683425904E-2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8.6195586683425904E-2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8.6195586683425904E-2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8.6195586683425904E-2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8.6195586683425904E-2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8.6195586683425904E-2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8.6195586683425904E-2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8.6195586683425904E-2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8.6195586683425904E-2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8.6195586683425904E-2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8.6195586683425904E-2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8.6195586683425904E-2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8.6195586683425904E-2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8.6195586683425904E-2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8.6195586683425904E-2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8.6195586683425904E-2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8.6195586683425904E-2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8.6195586683425904E-2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8.6195586683425904E-2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8.6195586683425904E-2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8.6195586683425904E-2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8.6195586683425904E-2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8.6195586683425904E-2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8.6195586683425904E-2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8.6195586683425904E-2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8.6195586683425904E-2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8.6195586683425904E-2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0.13169240706798324</v>
      </c>
      <c r="C8" s="7">
        <f>$B8 * IFERROR(VLOOKUP("buildings|PM25|Asthma symptoms wheeze", US_national_yearly!$D:$AM, 11, FALSE) / VLOOKUP("buildings|PM25|Asthma symptoms wheeze", US_national_yearly!$D:$AM, 10, FALSE), 1)</f>
        <v>0.13169240706798324</v>
      </c>
      <c r="D8" s="7">
        <f>$B8 * IFERROR(VLOOKUP("buildings|PM25|Asthma symptoms wheeze", US_national_yearly!$D:$AM, 12, FALSE) / VLOOKUP("buildings|PM25|Asthma symptoms wheeze", US_national_yearly!$D:$AM, 10, FALSE), 1)</f>
        <v>0.13169240706798324</v>
      </c>
      <c r="E8" s="7">
        <f>$B8 * IFERROR(VLOOKUP("buildings|PM25|Asthma symptoms wheeze", US_national_yearly!$D:$AM, 13, FALSE) / VLOOKUP("buildings|PM25|Asthma symptoms wheeze", US_national_yearly!$D:$AM, 10, FALSE), 1)</f>
        <v>0.13169240706798324</v>
      </c>
      <c r="F8" s="7">
        <f>$B8 * IFERROR(VLOOKUP("buildings|PM25|Asthma symptoms wheeze", US_national_yearly!$D:$AM, 14, FALSE) / VLOOKUP("buildings|PM25|Asthma symptoms wheeze", US_national_yearly!$D:$AM, 10, FALSE), 1)</f>
        <v>0.13169240706798324</v>
      </c>
      <c r="G8" s="7">
        <f>$B8 * IFERROR(VLOOKUP("buildings|PM25|Asthma symptoms wheeze", US_national_yearly!$D:$AM, 15, FALSE) / VLOOKUP("buildings|PM25|Asthma symptoms wheeze", US_national_yearly!$D:$AM, 10, FALSE), 1)</f>
        <v>0.13169240706798324</v>
      </c>
      <c r="H8" s="7">
        <f>$B8 * IFERROR(VLOOKUP("buildings|PM25|Asthma symptoms wheeze", US_national_yearly!$D:$AM, 16, FALSE) / VLOOKUP("buildings|PM25|Asthma symptoms wheeze", US_national_yearly!$D:$AM, 10, FALSE), 1)</f>
        <v>0.13169240706798324</v>
      </c>
      <c r="I8" s="7">
        <f>$B8 * IFERROR(VLOOKUP("buildings|PM25|Asthma symptoms wheeze", US_national_yearly!$D:$AM, 17, FALSE) / VLOOKUP("buildings|PM25|Asthma symptoms wheeze", US_national_yearly!$D:$AM, 10, FALSE), 1)</f>
        <v>0.13169240706798324</v>
      </c>
      <c r="J8" s="7">
        <f>$B8 * IFERROR(VLOOKUP("buildings|PM25|Asthma symptoms wheeze", US_national_yearly!$D:$AM, 18, FALSE) / VLOOKUP("buildings|PM25|Asthma symptoms wheeze", US_national_yearly!$D:$AM, 10, FALSE), 1)</f>
        <v>0.13169240706798324</v>
      </c>
      <c r="K8" s="7">
        <f>$B8 * IFERROR(VLOOKUP("buildings|PM25|Asthma symptoms wheeze", US_national_yearly!$D:$AM, 19, FALSE) / VLOOKUP("buildings|PM25|Asthma symptoms wheeze", US_national_yearly!$D:$AM, 10, FALSE), 1)</f>
        <v>0.13169240706798324</v>
      </c>
      <c r="L8" s="7">
        <f>$B8 * IFERROR(VLOOKUP("buildings|PM25|Asthma symptoms wheeze", US_national_yearly!$D:$AM, 20, FALSE) / VLOOKUP("buildings|PM25|Asthma symptoms wheeze", US_national_yearly!$D:$AM, 10, FALSE), 1)</f>
        <v>0.13169240706798324</v>
      </c>
      <c r="M8" s="7">
        <f>$B8 * IFERROR(VLOOKUP("buildings|PM25|Asthma symptoms wheeze", US_national_yearly!$D:$AM, 21, FALSE) / VLOOKUP("buildings|PM25|Asthma symptoms wheeze", US_national_yearly!$D:$AM, 10, FALSE), 1)</f>
        <v>0.13169240706798324</v>
      </c>
      <c r="N8" s="7">
        <f>$B8 * IFERROR(VLOOKUP("buildings|PM25|Asthma symptoms wheeze", US_national_yearly!$D:$AM, 22, FALSE) / VLOOKUP("buildings|PM25|Asthma symptoms wheeze", US_national_yearly!$D:$AM, 10, FALSE), 1)</f>
        <v>0.13169240706798324</v>
      </c>
      <c r="O8" s="7">
        <f>$B8 * IFERROR(VLOOKUP("buildings|PM25|Asthma symptoms wheeze", US_national_yearly!$D:$AM, 23, FALSE) / VLOOKUP("buildings|PM25|Asthma symptoms wheeze", US_national_yearly!$D:$AM, 10, FALSE), 1)</f>
        <v>0.13169240706798324</v>
      </c>
      <c r="P8" s="7">
        <f>$B8 * IFERROR(VLOOKUP("buildings|PM25|Asthma symptoms wheeze", US_national_yearly!$D:$AM, 24, FALSE) / VLOOKUP("buildings|PM25|Asthma symptoms wheeze", US_national_yearly!$D:$AM, 10, FALSE), 1)</f>
        <v>0.13169240706798324</v>
      </c>
      <c r="Q8" s="7">
        <f>$B8 * IFERROR(VLOOKUP("buildings|PM25|Asthma symptoms wheeze", US_national_yearly!$D:$AM, 25, FALSE) / VLOOKUP("buildings|PM25|Asthma symptoms wheeze", US_national_yearly!$D:$AM, 10, FALSE), 1)</f>
        <v>0.13169240706798324</v>
      </c>
      <c r="R8" s="7">
        <f>$B8 * IFERROR(VLOOKUP("buildings|PM25|Asthma symptoms wheeze", US_national_yearly!$D:$AM, 26, FALSE) / VLOOKUP("buildings|PM25|Asthma symptoms wheeze", US_national_yearly!$D:$AM, 10, FALSE), 1)</f>
        <v>0.13169240706798324</v>
      </c>
      <c r="S8" s="7">
        <f>$B8 * IFERROR(VLOOKUP("buildings|PM25|Asthma symptoms wheeze", US_national_yearly!$D:$AM, 27, FALSE) / VLOOKUP("buildings|PM25|Asthma symptoms wheeze", US_national_yearly!$D:$AM, 10, FALSE), 1)</f>
        <v>0.13169240706798324</v>
      </c>
      <c r="T8" s="7">
        <f>$B8 * IFERROR(VLOOKUP("buildings|PM25|Asthma symptoms wheeze", US_national_yearly!$D:$AM, 28, FALSE) / VLOOKUP("buildings|PM25|Asthma symptoms wheeze", US_national_yearly!$D:$AM, 10, FALSE), 1)</f>
        <v>0.13169240706798324</v>
      </c>
      <c r="U8" s="7">
        <f>$B8 * IFERROR(VLOOKUP("buildings|PM25|Asthma symptoms wheeze", US_national_yearly!$D:$AM, 29, FALSE) / VLOOKUP("buildings|PM25|Asthma symptoms wheeze", US_national_yearly!$D:$AM, 10, FALSE), 1)</f>
        <v>0.13169240706798324</v>
      </c>
      <c r="V8" s="7">
        <f>$B8 * IFERROR(VLOOKUP("buildings|PM25|Asthma symptoms wheeze", US_national_yearly!$D:$AM, 30, FALSE) / VLOOKUP("buildings|PM25|Asthma symptoms wheeze", US_national_yearly!$D:$AM, 10, FALSE), 1)</f>
        <v>0.13169240706798324</v>
      </c>
      <c r="W8" s="7">
        <f>$B8 * IFERROR(VLOOKUP("buildings|PM25|Asthma symptoms wheeze", US_national_yearly!$D:$AM, 31, FALSE) / VLOOKUP("buildings|PM25|Asthma symptoms wheeze", US_national_yearly!$D:$AM, 10, FALSE), 1)</f>
        <v>0.13169240706798324</v>
      </c>
      <c r="X8" s="7">
        <f>$B8 * IFERROR(VLOOKUP("buildings|PM25|Asthma symptoms wheeze", US_national_yearly!$D:$AM, 32, FALSE) / VLOOKUP("buildings|PM25|Asthma symptoms wheeze", US_national_yearly!$D:$AM, 10, FALSE), 1)</f>
        <v>0.13169240706798324</v>
      </c>
      <c r="Y8" s="7">
        <f>$B8 * IFERROR(VLOOKUP("buildings|PM25|Asthma symptoms wheeze", US_national_yearly!$D:$AM, 33, FALSE) / VLOOKUP("buildings|PM25|Asthma symptoms wheeze", US_national_yearly!$D:$AM, 10, FALSE), 1)</f>
        <v>0.13169240706798324</v>
      </c>
      <c r="Z8" s="7">
        <f>$B8 * IFERROR(VLOOKUP("buildings|PM25|Asthma symptoms wheeze", US_national_yearly!$D:$AM, 34, FALSE) / VLOOKUP("buildings|PM25|Asthma symptoms wheeze", US_national_yearly!$D:$AM, 10, FALSE), 1)</f>
        <v>0.13169240706798324</v>
      </c>
      <c r="AA8" s="7">
        <f>$B8 * IFERROR(VLOOKUP("buildings|PM25|Asthma symptoms wheeze", US_national_yearly!$D:$AM, 35, FALSE) / VLOOKUP("buildings|PM25|Asthma symptoms wheeze", US_national_yearly!$D:$AM, 10, FALSE), 1)</f>
        <v>0.13169240706798324</v>
      </c>
      <c r="AB8" s="7">
        <f>$B8 * IFERROR(VLOOKUP("buildings|PM25|Asthma symptoms wheeze", US_national_yearly!$D:$AM, 36, FALSE) / VLOOKUP("buildings|PM25|Asthma symptoms wheeze", US_national_yearly!$D:$AM, 10, FALSE), 1)</f>
        <v>0.13169240706798324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1.4784250793680883E-3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1.4869469673393148E-3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1.4954688553105416E-3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1.5039907432817686E-3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1.5125126312529953E-3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1.5217085379126438E-3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1.5309044445722922E-3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1.5396505833756163E-3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1.54839672217894E-3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1.5571428609822639E-3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1.565888999785588E-3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1.5746351385889116E-3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1.5809259816750262E-3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1.5872168247611407E-3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1.5935076678472552E-3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1.5997985109333693E-3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1.6060893540194839E-3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1.6120830988934245E-3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1.6180768437673661E-3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1.6240705886413067E-3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1.6300643335152476E-3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1.6360580783891889E-3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1.641847085821196E-3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1.6476360932532034E-3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1.6534251006852104E-3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1.6592141081172177E-3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1.6650031155492247E-3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9.0047254295137977E-3</v>
      </c>
      <c r="C13" s="7">
        <f>$B13 * IFERROR(VLOOKUP("buildings|PM25|Non-fatal heart attacks", US_national_yearly!$D:$AM, 11, FALSE) / VLOOKUP("buildings|PM25|Non-fatal heart attacks", US_national_yearly!$D:$AM, 10, FALSE), 1)</f>
        <v>9.26664061057016E-3</v>
      </c>
      <c r="D13" s="7">
        <f>$B13 * IFERROR(VLOOKUP("buildings|PM25|Non-fatal heart attacks", US_national_yearly!$D:$AM, 12, FALSE) / VLOOKUP("buildings|PM25|Non-fatal heart attacks", US_national_yearly!$D:$AM, 10, FALSE), 1)</f>
        <v>9.5285557916265223E-3</v>
      </c>
      <c r="E13" s="7">
        <f>$B13 * IFERROR(VLOOKUP("buildings|PM25|Non-fatal heart attacks", US_national_yearly!$D:$AM, 13, FALSE) / VLOOKUP("buildings|PM25|Non-fatal heart attacks", US_national_yearly!$D:$AM, 10, FALSE), 1)</f>
        <v>9.7904709726828829E-3</v>
      </c>
      <c r="F13" s="7">
        <f>$B13 * IFERROR(VLOOKUP("buildings|PM25|Non-fatal heart attacks", US_national_yearly!$D:$AM, 14, FALSE) / VLOOKUP("buildings|PM25|Non-fatal heart attacks", US_national_yearly!$D:$AM, 10, FALSE), 1)</f>
        <v>1.0052386153739245E-2</v>
      </c>
      <c r="G13" s="7">
        <f>$B13 * IFERROR(VLOOKUP("buildings|PM25|Non-fatal heart attacks", US_national_yearly!$D:$AM, 15, FALSE) / VLOOKUP("buildings|PM25|Non-fatal heart attacks", US_national_yearly!$D:$AM, 10, FALSE), 1)</f>
        <v>1.0299518086395495E-2</v>
      </c>
      <c r="H13" s="7">
        <f>$B13 * IFERROR(VLOOKUP("buildings|PM25|Non-fatal heart attacks", US_national_yearly!$D:$AM, 16, FALSE) / VLOOKUP("buildings|PM25|Non-fatal heart attacks", US_national_yearly!$D:$AM, 10, FALSE), 1)</f>
        <v>1.0546650019051742E-2</v>
      </c>
      <c r="I13" s="7">
        <f>$B13 * IFERROR(VLOOKUP("buildings|PM25|Non-fatal heart attacks", US_national_yearly!$D:$AM, 17, FALSE) / VLOOKUP("buildings|PM25|Non-fatal heart attacks", US_national_yearly!$D:$AM, 10, FALSE), 1)</f>
        <v>1.0745486853324621E-2</v>
      </c>
      <c r="J13" s="7">
        <f>$B13 * IFERROR(VLOOKUP("buildings|PM25|Non-fatal heart attacks", US_national_yearly!$D:$AM, 18, FALSE) / VLOOKUP("buildings|PM25|Non-fatal heart attacks", US_national_yearly!$D:$AM, 10, FALSE), 1)</f>
        <v>1.0944323687597499E-2</v>
      </c>
      <c r="K13" s="7">
        <f>$B13 * IFERROR(VLOOKUP("buildings|PM25|Non-fatal heart attacks", US_national_yearly!$D:$AM, 19, FALSE) / VLOOKUP("buildings|PM25|Non-fatal heart attacks", US_national_yearly!$D:$AM, 10, FALSE), 1)</f>
        <v>1.1143160521870376E-2</v>
      </c>
      <c r="L13" s="7">
        <f>$B13 * IFERROR(VLOOKUP("buildings|PM25|Non-fatal heart attacks", US_national_yearly!$D:$AM, 20, FALSE) / VLOOKUP("buildings|PM25|Non-fatal heart attacks", US_national_yearly!$D:$AM, 10, FALSE), 1)</f>
        <v>1.1341997356143252E-2</v>
      </c>
      <c r="M13" s="7">
        <f>$B13 * IFERROR(VLOOKUP("buildings|PM25|Non-fatal heart attacks", US_national_yearly!$D:$AM, 21, FALSE) / VLOOKUP("buildings|PM25|Non-fatal heart attacks", US_national_yearly!$D:$AM, 10, FALSE), 1)</f>
        <v>1.1540834190416127E-2</v>
      </c>
      <c r="N13" s="7">
        <f>$B13 * IFERROR(VLOOKUP("buildings|PM25|Non-fatal heart attacks", US_national_yearly!$D:$AM, 22, FALSE) / VLOOKUP("buildings|PM25|Non-fatal heart attacks", US_national_yearly!$D:$AM, 10, FALSE), 1)</f>
        <v>1.1669285891839725E-2</v>
      </c>
      <c r="O13" s="7">
        <f>$B13 * IFERROR(VLOOKUP("buildings|PM25|Non-fatal heart attacks", US_national_yearly!$D:$AM, 23, FALSE) / VLOOKUP("buildings|PM25|Non-fatal heart attacks", US_national_yearly!$D:$AM, 10, FALSE), 1)</f>
        <v>1.1797737593263321E-2</v>
      </c>
      <c r="P13" s="7">
        <f>$B13 * IFERROR(VLOOKUP("buildings|PM25|Non-fatal heart attacks", US_national_yearly!$D:$AM, 24, FALSE) / VLOOKUP("buildings|PM25|Non-fatal heart attacks", US_national_yearly!$D:$AM, 10, FALSE), 1)</f>
        <v>1.1926189294686917E-2</v>
      </c>
      <c r="Q13" s="7">
        <f>$B13 * IFERROR(VLOOKUP("buildings|PM25|Non-fatal heart attacks", US_national_yearly!$D:$AM, 25, FALSE) / VLOOKUP("buildings|PM25|Non-fatal heart attacks", US_national_yearly!$D:$AM, 10, FALSE), 1)</f>
        <v>1.2054640996110514E-2</v>
      </c>
      <c r="R13" s="7">
        <f>$B13 * IFERROR(VLOOKUP("buildings|PM25|Non-fatal heart attacks", US_national_yearly!$D:$AM, 26, FALSE) / VLOOKUP("buildings|PM25|Non-fatal heart attacks", US_national_yearly!$D:$AM, 10, FALSE), 1)</f>
        <v>1.218309269753411E-2</v>
      </c>
      <c r="S13" s="7">
        <f>$B13 * IFERROR(VLOOKUP("buildings|PM25|Non-fatal heart attacks", US_national_yearly!$D:$AM, 27, FALSE) / VLOOKUP("buildings|PM25|Non-fatal heart attacks", US_national_yearly!$D:$AM, 10, FALSE), 1)</f>
        <v>1.2251032028088927E-2</v>
      </c>
      <c r="T13" s="7">
        <f>$B13 * IFERROR(VLOOKUP("buildings|PM25|Non-fatal heart attacks", US_national_yearly!$D:$AM, 28, FALSE) / VLOOKUP("buildings|PM25|Non-fatal heart attacks", US_national_yearly!$D:$AM, 10, FALSE), 1)</f>
        <v>1.2318971358643745E-2</v>
      </c>
      <c r="U13" s="7">
        <f>$B13 * IFERROR(VLOOKUP("buildings|PM25|Non-fatal heart attacks", US_national_yearly!$D:$AM, 29, FALSE) / VLOOKUP("buildings|PM25|Non-fatal heart attacks", US_national_yearly!$D:$AM, 10, FALSE), 1)</f>
        <v>1.2386910689198564E-2</v>
      </c>
      <c r="V13" s="7">
        <f>$B13 * IFERROR(VLOOKUP("buildings|PM25|Non-fatal heart attacks", US_national_yearly!$D:$AM, 30, FALSE) / VLOOKUP("buildings|PM25|Non-fatal heart attacks", US_national_yearly!$D:$AM, 10, FALSE), 1)</f>
        <v>1.2454850019753379E-2</v>
      </c>
      <c r="W13" s="7">
        <f>$B13 * IFERROR(VLOOKUP("buildings|PM25|Non-fatal heart attacks", US_national_yearly!$D:$AM, 31, FALSE) / VLOOKUP("buildings|PM25|Non-fatal heart attacks", US_national_yearly!$D:$AM, 10, FALSE), 1)</f>
        <v>1.2522789350308199E-2</v>
      </c>
      <c r="X13" s="7">
        <f>$B13 * IFERROR(VLOOKUP("buildings|PM25|Non-fatal heart attacks", US_national_yearly!$D:$AM, 32, FALSE) / VLOOKUP("buildings|PM25|Non-fatal heart attacks", US_national_yearly!$D:$AM, 10, FALSE), 1)</f>
        <v>1.2574496143035166E-2</v>
      </c>
      <c r="Y13" s="7">
        <f>$B13 * IFERROR(VLOOKUP("buildings|PM25|Non-fatal heart attacks", US_national_yearly!$D:$AM, 33, FALSE) / VLOOKUP("buildings|PM25|Non-fatal heart attacks", US_national_yearly!$D:$AM, 10, FALSE), 1)</f>
        <v>1.2626202935762136E-2</v>
      </c>
      <c r="Z13" s="7">
        <f>$B13 * IFERROR(VLOOKUP("buildings|PM25|Non-fatal heart attacks", US_national_yearly!$D:$AM, 34, FALSE) / VLOOKUP("buildings|PM25|Non-fatal heart attacks", US_national_yearly!$D:$AM, 10, FALSE), 1)</f>
        <v>1.2677909728489103E-2</v>
      </c>
      <c r="AA13" s="7">
        <f>$B13 * IFERROR(VLOOKUP("buildings|PM25|Non-fatal heart attacks", US_national_yearly!$D:$AM, 35, FALSE) / VLOOKUP("buildings|PM25|Non-fatal heart attacks", US_national_yearly!$D:$AM, 10, FALSE), 1)</f>
        <v>1.2729616521216071E-2</v>
      </c>
      <c r="AB13" s="7">
        <f>$B13 * IFERROR(VLOOKUP("buildings|PM25|Non-fatal heart attacks", US_national_yearly!$D:$AM, 36, FALSE) / VLOOKUP("buildings|PM25|Non-fatal heart attacks", US_national_yearly!$D:$AM, 10, FALSE), 1)</f>
        <v>1.2781323313943042E-2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8.1866607117151062</v>
      </c>
      <c r="C14" s="7">
        <f>$B14 * IFERROR(VLOOKUP("buildings|PM25|Minor restricted activity days", US_national_yearly!$D:$AM, 11, FALSE) / VLOOKUP("buildings|PM25|Minor restricted activity days", US_national_yearly!$D:$AM, 10, FALSE), 1)</f>
        <v>8.2070213958694502</v>
      </c>
      <c r="D14" s="7">
        <f>$B14 * IFERROR(VLOOKUP("buildings|PM25|Minor restricted activity days", US_national_yearly!$D:$AM, 12, FALSE) / VLOOKUP("buildings|PM25|Minor restricted activity days", US_national_yearly!$D:$AM, 10, FALSE), 1)</f>
        <v>8.2273820800237942</v>
      </c>
      <c r="E14" s="7">
        <f>$B14 * IFERROR(VLOOKUP("buildings|PM25|Minor restricted activity days", US_national_yearly!$D:$AM, 13, FALSE) / VLOOKUP("buildings|PM25|Minor restricted activity days", US_national_yearly!$D:$AM, 10, FALSE), 1)</f>
        <v>8.24774276417814</v>
      </c>
      <c r="F14" s="7">
        <f>$B14 * IFERROR(VLOOKUP("buildings|PM25|Minor restricted activity days", US_national_yearly!$D:$AM, 14, FALSE) / VLOOKUP("buildings|PM25|Minor restricted activity days", US_national_yearly!$D:$AM, 10, FALSE), 1)</f>
        <v>8.2681034483324822</v>
      </c>
      <c r="G14" s="7">
        <f>$B14 * IFERROR(VLOOKUP("buildings|PM25|Minor restricted activity days", US_national_yearly!$D:$AM, 15, FALSE) / VLOOKUP("buildings|PM25|Minor restricted activity days", US_national_yearly!$D:$AM, 10, FALSE), 1)</f>
        <v>8.2979663900411449</v>
      </c>
      <c r="H14" s="7">
        <f>$B14 * IFERROR(VLOOKUP("buildings|PM25|Minor restricted activity days", US_national_yearly!$D:$AM, 16, FALSE) / VLOOKUP("buildings|PM25|Minor restricted activity days", US_national_yearly!$D:$AM, 10, FALSE), 1)</f>
        <v>8.327829331749804</v>
      </c>
      <c r="I14" s="7">
        <f>$B14 * IFERROR(VLOOKUP("buildings|PM25|Minor restricted activity days", US_national_yearly!$D:$AM, 17, FALSE) / VLOOKUP("buildings|PM25|Minor restricted activity days", US_national_yearly!$D:$AM, 10, FALSE), 1)</f>
        <v>8.3786097381639255</v>
      </c>
      <c r="J14" s="7">
        <f>$B14 * IFERROR(VLOOKUP("buildings|PM25|Minor restricted activity days", US_national_yearly!$D:$AM, 18, FALSE) / VLOOKUP("buildings|PM25|Minor restricted activity days", US_national_yearly!$D:$AM, 10, FALSE), 1)</f>
        <v>8.4293901445780506</v>
      </c>
      <c r="K14" s="7">
        <f>$B14 * IFERROR(VLOOKUP("buildings|PM25|Minor restricted activity days", US_national_yearly!$D:$AM, 19, FALSE) / VLOOKUP("buildings|PM25|Minor restricted activity days", US_national_yearly!$D:$AM, 10, FALSE), 1)</f>
        <v>8.4801705509921685</v>
      </c>
      <c r="L14" s="7">
        <f>$B14 * IFERROR(VLOOKUP("buildings|PM25|Minor restricted activity days", US_national_yearly!$D:$AM, 20, FALSE) / VLOOKUP("buildings|PM25|Minor restricted activity days", US_national_yearly!$D:$AM, 10, FALSE), 1)</f>
        <v>8.5309509574062901</v>
      </c>
      <c r="M14" s="7">
        <f>$B14 * IFERROR(VLOOKUP("buildings|PM25|Minor restricted activity days", US_national_yearly!$D:$AM, 21, FALSE) / VLOOKUP("buildings|PM25|Minor restricted activity days", US_national_yearly!$D:$AM, 10, FALSE), 1)</f>
        <v>8.5817313638204098</v>
      </c>
      <c r="N14" s="7">
        <f>$B14 * IFERROR(VLOOKUP("buildings|PM25|Minor restricted activity days", US_national_yearly!$D:$AM, 22, FALSE) / VLOOKUP("buildings|PM25|Minor restricted activity days", US_national_yearly!$D:$AM, 10, FALSE), 1)</f>
        <v>8.6507296846687112</v>
      </c>
      <c r="O14" s="7">
        <f>$B14 * IFERROR(VLOOKUP("buildings|PM25|Minor restricted activity days", US_national_yearly!$D:$AM, 23, FALSE) / VLOOKUP("buildings|PM25|Minor restricted activity days", US_national_yearly!$D:$AM, 10, FALSE), 1)</f>
        <v>8.7197280055170125</v>
      </c>
      <c r="P14" s="7">
        <f>$B14 * IFERROR(VLOOKUP("buildings|PM25|Minor restricted activity days", US_national_yearly!$D:$AM, 24, FALSE) / VLOOKUP("buildings|PM25|Minor restricted activity days", US_national_yearly!$D:$AM, 10, FALSE), 1)</f>
        <v>8.7887263263653121</v>
      </c>
      <c r="Q14" s="7">
        <f>$B14 * IFERROR(VLOOKUP("buildings|PM25|Minor restricted activity days", US_national_yearly!$D:$AM, 25, FALSE) / VLOOKUP("buildings|PM25|Minor restricted activity days", US_national_yearly!$D:$AM, 10, FALSE), 1)</f>
        <v>8.8577246472136135</v>
      </c>
      <c r="R14" s="7">
        <f>$B14 * IFERROR(VLOOKUP("buildings|PM25|Minor restricted activity days", US_national_yearly!$D:$AM, 26, FALSE) / VLOOKUP("buildings|PM25|Minor restricted activity days", US_national_yearly!$D:$AM, 10, FALSE), 1)</f>
        <v>8.9267229680619131</v>
      </c>
      <c r="S14" s="7">
        <f>$B14 * IFERROR(VLOOKUP("buildings|PM25|Minor restricted activity days", US_national_yearly!$D:$AM, 27, FALSE) / VLOOKUP("buildings|PM25|Minor restricted activity days", US_national_yearly!$D:$AM, 10, FALSE), 1)</f>
        <v>8.9961488752369885</v>
      </c>
      <c r="T14" s="7">
        <f>$B14 * IFERROR(VLOOKUP("buildings|PM25|Minor restricted activity days", US_national_yearly!$D:$AM, 28, FALSE) / VLOOKUP("buildings|PM25|Minor restricted activity days", US_national_yearly!$D:$AM, 10, FALSE), 1)</f>
        <v>9.065574782412062</v>
      </c>
      <c r="U14" s="7">
        <f>$B14 * IFERROR(VLOOKUP("buildings|PM25|Minor restricted activity days", US_national_yearly!$D:$AM, 29, FALSE) / VLOOKUP("buildings|PM25|Minor restricted activity days", US_national_yearly!$D:$AM, 10, FALSE), 1)</f>
        <v>9.1350006895871374</v>
      </c>
      <c r="V14" s="7">
        <f>$B14 * IFERROR(VLOOKUP("buildings|PM25|Minor restricted activity days", US_national_yearly!$D:$AM, 30, FALSE) / VLOOKUP("buildings|PM25|Minor restricted activity days", US_national_yearly!$D:$AM, 10, FALSE), 1)</f>
        <v>9.204426596762211</v>
      </c>
      <c r="W14" s="7">
        <f>$B14 * IFERROR(VLOOKUP("buildings|PM25|Minor restricted activity days", US_national_yearly!$D:$AM, 31, FALSE) / VLOOKUP("buildings|PM25|Minor restricted activity days", US_national_yearly!$D:$AM, 10, FALSE), 1)</f>
        <v>9.2738525039372863</v>
      </c>
      <c r="X14" s="7">
        <f>$B14 * IFERROR(VLOOKUP("buildings|PM25|Minor restricted activity days", US_national_yearly!$D:$AM, 32, FALSE) / VLOOKUP("buildings|PM25|Minor restricted activity days", US_national_yearly!$D:$AM, 10, FALSE), 1)</f>
        <v>9.3341354072531644</v>
      </c>
      <c r="Y14" s="7">
        <f>$B14 * IFERROR(VLOOKUP("buildings|PM25|Minor restricted activity days", US_national_yearly!$D:$AM, 33, FALSE) / VLOOKUP("buildings|PM25|Minor restricted activity days", US_national_yearly!$D:$AM, 10, FALSE), 1)</f>
        <v>9.3944183105690424</v>
      </c>
      <c r="Z14" s="7">
        <f>$B14 * IFERROR(VLOOKUP("buildings|PM25|Minor restricted activity days", US_national_yearly!$D:$AM, 34, FALSE) / VLOOKUP("buildings|PM25|Minor restricted activity days", US_national_yearly!$D:$AM, 10, FALSE), 1)</f>
        <v>9.4547012138849169</v>
      </c>
      <c r="AA14" s="7">
        <f>$B14 * IFERROR(VLOOKUP("buildings|PM25|Minor restricted activity days", US_national_yearly!$D:$AM, 35, FALSE) / VLOOKUP("buildings|PM25|Minor restricted activity days", US_national_yearly!$D:$AM, 10, FALSE), 1)</f>
        <v>9.5149841172007932</v>
      </c>
      <c r="AB14" s="7">
        <f>$B14 * IFERROR(VLOOKUP("buildings|PM25|Minor restricted activity days", US_national_yearly!$D:$AM, 36, FALSE) / VLOOKUP("buildings|PM25|Minor restricted activity days", US_national_yearly!$D:$AM, 10, FALSE), 1)</f>
        <v>9.5752670205166694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1.4037028145477606</v>
      </c>
      <c r="C15" s="7">
        <f>$B15 * IFERROR(VLOOKUP("buildings|PM25|Work loss days", US_national_yearly!$D:$AM, 11, FALSE) / VLOOKUP("buildings|PM25|Work loss days", US_national_yearly!$D:$AM, 10, FALSE), 1)</f>
        <v>1.4081079367025271</v>
      </c>
      <c r="D15" s="7">
        <f>$B15 * IFERROR(VLOOKUP("buildings|PM25|Work loss days", US_national_yearly!$D:$AM, 12, FALSE) / VLOOKUP("buildings|PM25|Work loss days", US_national_yearly!$D:$AM, 10, FALSE), 1)</f>
        <v>1.4125130588572934</v>
      </c>
      <c r="E15" s="7">
        <f>$B15 * IFERROR(VLOOKUP("buildings|PM25|Work loss days", US_national_yearly!$D:$AM, 13, FALSE) / VLOOKUP("buildings|PM25|Work loss days", US_national_yearly!$D:$AM, 10, FALSE), 1)</f>
        <v>1.4169181810120595</v>
      </c>
      <c r="F15" s="7">
        <f>$B15 * IFERROR(VLOOKUP("buildings|PM25|Work loss days", US_national_yearly!$D:$AM, 14, FALSE) / VLOOKUP("buildings|PM25|Work loss days", US_national_yearly!$D:$AM, 10, FALSE), 1)</f>
        <v>1.4213233031668258</v>
      </c>
      <c r="G15" s="7">
        <f>$B15 * IFERROR(VLOOKUP("buildings|PM25|Work loss days", US_national_yearly!$D:$AM, 15, FALSE) / VLOOKUP("buildings|PM25|Work loss days", US_national_yearly!$D:$AM, 10, FALSE), 1)</f>
        <v>1.4270811925843283</v>
      </c>
      <c r="H15" s="7">
        <f>$B15 * IFERROR(VLOOKUP("buildings|PM25|Work loss days", US_national_yearly!$D:$AM, 16, FALSE) / VLOOKUP("buildings|PM25|Work loss days", US_national_yearly!$D:$AM, 10, FALSE), 1)</f>
        <v>1.4328390820018306</v>
      </c>
      <c r="I15" s="7">
        <f>$B15 * IFERROR(VLOOKUP("buildings|PM25|Work loss days", US_national_yearly!$D:$AM, 17, FALSE) / VLOOKUP("buildings|PM25|Work loss days", US_national_yearly!$D:$AM, 10, FALSE), 1)</f>
        <v>1.4412955001785934</v>
      </c>
      <c r="J15" s="7">
        <f>$B15 * IFERROR(VLOOKUP("buildings|PM25|Work loss days", US_national_yearly!$D:$AM, 18, FALSE) / VLOOKUP("buildings|PM25|Work loss days", US_national_yearly!$D:$AM, 10, FALSE), 1)</f>
        <v>1.449751918355356</v>
      </c>
      <c r="K15" s="7">
        <f>$B15 * IFERROR(VLOOKUP("buildings|PM25|Work loss days", US_national_yearly!$D:$AM, 19, FALSE) / VLOOKUP("buildings|PM25|Work loss days", US_national_yearly!$D:$AM, 10, FALSE), 1)</f>
        <v>1.4582083365321186</v>
      </c>
      <c r="L15" s="7">
        <f>$B15 * IFERROR(VLOOKUP("buildings|PM25|Work loss days", US_national_yearly!$D:$AM, 20, FALSE) / VLOOKUP("buildings|PM25|Work loss days", US_national_yearly!$D:$AM, 10, FALSE), 1)</f>
        <v>1.4666647547088814</v>
      </c>
      <c r="M15" s="7">
        <f>$B15 * IFERROR(VLOOKUP("buildings|PM25|Work loss days", US_national_yearly!$D:$AM, 21, FALSE) / VLOOKUP("buildings|PM25|Work loss days", US_national_yearly!$D:$AM, 10, FALSE), 1)</f>
        <v>1.4751211728856441</v>
      </c>
      <c r="N15" s="7">
        <f>$B15 * IFERROR(VLOOKUP("buildings|PM25|Work loss days", US_national_yearly!$D:$AM, 22, FALSE) / VLOOKUP("buildings|PM25|Work loss days", US_national_yearly!$D:$AM, 10, FALSE), 1)</f>
        <v>1.4857531351076849</v>
      </c>
      <c r="O15" s="7">
        <f>$B15 * IFERROR(VLOOKUP("buildings|PM25|Work loss days", US_national_yearly!$D:$AM, 23, FALSE) / VLOOKUP("buildings|PM25|Work loss days", US_national_yearly!$D:$AM, 10, FALSE), 1)</f>
        <v>1.4963850973297259</v>
      </c>
      <c r="P15" s="7">
        <f>$B15 * IFERROR(VLOOKUP("buildings|PM25|Work loss days", US_national_yearly!$D:$AM, 24, FALSE) / VLOOKUP("buildings|PM25|Work loss days", US_national_yearly!$D:$AM, 10, FALSE), 1)</f>
        <v>1.5070170595517667</v>
      </c>
      <c r="Q15" s="7">
        <f>$B15 * IFERROR(VLOOKUP("buildings|PM25|Work loss days", US_national_yearly!$D:$AM, 25, FALSE) / VLOOKUP("buildings|PM25|Work loss days", US_national_yearly!$D:$AM, 10, FALSE), 1)</f>
        <v>1.5176490217738072</v>
      </c>
      <c r="R15" s="7">
        <f>$B15 * IFERROR(VLOOKUP("buildings|PM25|Work loss days", US_national_yearly!$D:$AM, 26, FALSE) / VLOOKUP("buildings|PM25|Work loss days", US_national_yearly!$D:$AM, 10, FALSE), 1)</f>
        <v>1.5282809839958482</v>
      </c>
      <c r="S15" s="7">
        <f>$B15 * IFERROR(VLOOKUP("buildings|PM25|Work loss days", US_national_yearly!$D:$AM, 27, FALSE) / VLOOKUP("buildings|PM25|Work loss days", US_national_yearly!$D:$AM, 10, FALSE), 1)</f>
        <v>1.5400253076466144</v>
      </c>
      <c r="T15" s="7">
        <f>$B15 * IFERROR(VLOOKUP("buildings|PM25|Work loss days", US_national_yearly!$D:$AM, 28, FALSE) / VLOOKUP("buildings|PM25|Work loss days", US_national_yearly!$D:$AM, 10, FALSE), 1)</f>
        <v>1.5517696312973808</v>
      </c>
      <c r="U15" s="7">
        <f>$B15 * IFERROR(VLOOKUP("buildings|PM25|Work loss days", US_national_yearly!$D:$AM, 29, FALSE) / VLOOKUP("buildings|PM25|Work loss days", US_national_yearly!$D:$AM, 10, FALSE), 1)</f>
        <v>1.5635139549481474</v>
      </c>
      <c r="V15" s="7">
        <f>$B15 * IFERROR(VLOOKUP("buildings|PM25|Work loss days", US_national_yearly!$D:$AM, 30, FALSE) / VLOOKUP("buildings|PM25|Work loss days", US_national_yearly!$D:$AM, 10, FALSE), 1)</f>
        <v>1.5752582785989133</v>
      </c>
      <c r="W15" s="7">
        <f>$B15 * IFERROR(VLOOKUP("buildings|PM25|Work loss days", US_national_yearly!$D:$AM, 31, FALSE) / VLOOKUP("buildings|PM25|Work loss days", US_national_yearly!$D:$AM, 10, FALSE), 1)</f>
        <v>1.5870026022496799</v>
      </c>
      <c r="X15" s="7">
        <f>$B15 * IFERROR(VLOOKUP("buildings|PM25|Work loss days", US_national_yearly!$D:$AM, 32, FALSE) / VLOOKUP("buildings|PM25|Work loss days", US_national_yearly!$D:$AM, 10, FALSE), 1)</f>
        <v>1.5974245701451706</v>
      </c>
      <c r="Y15" s="7">
        <f>$B15 * IFERROR(VLOOKUP("buildings|PM25|Work loss days", US_national_yearly!$D:$AM, 33, FALSE) / VLOOKUP("buildings|PM25|Work loss days", US_national_yearly!$D:$AM, 10, FALSE), 1)</f>
        <v>1.6078465380406617</v>
      </c>
      <c r="Z15" s="7">
        <f>$B15 * IFERROR(VLOOKUP("buildings|PM25|Work loss days", US_national_yearly!$D:$AM, 34, FALSE) / VLOOKUP("buildings|PM25|Work loss days", US_national_yearly!$D:$AM, 10, FALSE), 1)</f>
        <v>1.6182685059361526</v>
      </c>
      <c r="AA15" s="7">
        <f>$B15 * IFERROR(VLOOKUP("buildings|PM25|Work loss days", US_national_yearly!$D:$AM, 35, FALSE) / VLOOKUP("buildings|PM25|Work loss days", US_national_yearly!$D:$AM, 10, FALSE), 1)</f>
        <v>1.6286904738316437</v>
      </c>
      <c r="AB15" s="7">
        <f>$B15 * IFERROR(VLOOKUP("buildings|PM25|Work loss days", US_national_yearly!$D:$AM, 36, FALSE) / VLOOKUP("buildings|PM25|Work loss days", US_national_yearly!$D:$AM, 10, FALSE), 1)</f>
        <v>1.6391124417271346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1.8011990079647609E-3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1.8550302660004841E-3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1.9088615240362074E-3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1.96269278207193E-3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2.0165240401076533E-3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2.0681025338113936E-3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2.1196810275151338E-3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2.1638369637651807E-3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2.2079929000152275E-3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2.2521488362652747E-3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2.296304772515322E-3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2.3404607087653692E-3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2.369945870499446E-3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2.3994310322335232E-3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2.4289161939675999E-3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2.4584013557016767E-3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2.4878865174357534E-3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2.5035539428628312E-3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2.5192213682899084E-3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2.5348887937169861E-3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2.5505562191440634E-3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2.5662236445711411E-3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2.5768172760403606E-3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2.5874109075095793E-3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2.5980045389787983E-3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2.608598170448017E-3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2.6191918019172361E-3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1.2610349189692476E-3</v>
      </c>
      <c r="C2" s="7">
        <f>$B2 * IFERROR(VLOOKUP("buildings|NOx|Premature mortality", US_national_yearly!$D:$AM, 11, FALSE) / VLOOKUP("buildings|NOx|Premature mortality", US_national_yearly!$D:$AM, 10, FALSE), 1)</f>
        <v>1.2795830830268037E-3</v>
      </c>
      <c r="D2" s="7">
        <f>$B2 * IFERROR(VLOOKUP("buildings|NOx|Premature mortality", US_national_yearly!$D:$AM, 12, FALSE) / VLOOKUP("buildings|NOx|Premature mortality", US_national_yearly!$D:$AM, 10, FALSE), 1)</f>
        <v>1.2981312470843596E-3</v>
      </c>
      <c r="E2" s="7">
        <f>$B2 * IFERROR(VLOOKUP("buildings|NOx|Premature mortality", US_national_yearly!$D:$AM, 13, FALSE) / VLOOKUP("buildings|NOx|Premature mortality", US_national_yearly!$D:$AM, 10, FALSE), 1)</f>
        <v>1.3166794111419159E-3</v>
      </c>
      <c r="F2" s="7">
        <f>$B2 * IFERROR(VLOOKUP("buildings|NOx|Premature mortality", US_national_yearly!$D:$AM, 14, FALSE) / VLOOKUP("buildings|NOx|Premature mortality", US_national_yearly!$D:$AM, 10, FALSE), 1)</f>
        <v>1.3352275751994718E-3</v>
      </c>
      <c r="G2" s="7">
        <f>$B2 * IFERROR(VLOOKUP("buildings|NOx|Premature mortality", US_national_yearly!$D:$AM, 15, FALSE) / VLOOKUP("buildings|NOx|Premature mortality", US_national_yearly!$D:$AM, 10, FALSE), 1)</f>
        <v>1.3685282509868508E-3</v>
      </c>
      <c r="H2" s="7">
        <f>$B2 * IFERROR(VLOOKUP("buildings|NOx|Premature mortality", US_national_yearly!$D:$AM, 16, FALSE) / VLOOKUP("buildings|NOx|Premature mortality", US_national_yearly!$D:$AM, 10, FALSE), 1)</f>
        <v>1.40182892677423E-3</v>
      </c>
      <c r="I2" s="7">
        <f>$B2 * IFERROR(VLOOKUP("buildings|NOx|Premature mortality", US_national_yearly!$D:$AM, 17, FALSE) / VLOOKUP("buildings|NOx|Premature mortality", US_national_yearly!$D:$AM, 10, FALSE), 1)</f>
        <v>1.4233496173042079E-3</v>
      </c>
      <c r="J2" s="7">
        <f>$B2 * IFERROR(VLOOKUP("buildings|NOx|Premature mortality", US_national_yearly!$D:$AM, 18, FALSE) / VLOOKUP("buildings|NOx|Premature mortality", US_national_yearly!$D:$AM, 10, FALSE), 1)</f>
        <v>1.4448703078341857E-3</v>
      </c>
      <c r="K2" s="7">
        <f>$B2 * IFERROR(VLOOKUP("buildings|NOx|Premature mortality", US_national_yearly!$D:$AM, 19, FALSE) / VLOOKUP("buildings|NOx|Premature mortality", US_national_yearly!$D:$AM, 10, FALSE), 1)</f>
        <v>1.4663909983641634E-3</v>
      </c>
      <c r="L2" s="7">
        <f>$B2 * IFERROR(VLOOKUP("buildings|NOx|Premature mortality", US_national_yearly!$D:$AM, 20, FALSE) / VLOOKUP("buildings|NOx|Premature mortality", US_national_yearly!$D:$AM, 10, FALSE), 1)</f>
        <v>1.4879116888941413E-3</v>
      </c>
      <c r="M2" s="7">
        <f>$B2 * IFERROR(VLOOKUP("buildings|NOx|Premature mortality", US_national_yearly!$D:$AM, 21, FALSE) / VLOOKUP("buildings|NOx|Premature mortality", US_national_yearly!$D:$AM, 10, FALSE), 1)</f>
        <v>1.5094323794241193E-3</v>
      </c>
      <c r="N2" s="7">
        <f>$B2 * IFERROR(VLOOKUP("buildings|NOx|Premature mortality", US_national_yearly!$D:$AM, 22, FALSE) / VLOOKUP("buildings|NOx|Premature mortality", US_national_yearly!$D:$AM, 10, FALSE), 1)</f>
        <v>1.5253783895955511E-3</v>
      </c>
      <c r="O2" s="7">
        <f>$B2 * IFERROR(VLOOKUP("buildings|NOx|Premature mortality", US_national_yearly!$D:$AM, 23, FALSE) / VLOOKUP("buildings|NOx|Premature mortality", US_national_yearly!$D:$AM, 10, FALSE), 1)</f>
        <v>1.5413243997669829E-3</v>
      </c>
      <c r="P2" s="7">
        <f>$B2 * IFERROR(VLOOKUP("buildings|NOx|Premature mortality", US_national_yearly!$D:$AM, 24, FALSE) / VLOOKUP("buildings|NOx|Premature mortality", US_national_yearly!$D:$AM, 10, FALSE), 1)</f>
        <v>1.5572704099384149E-3</v>
      </c>
      <c r="Q2" s="7">
        <f>$B2 * IFERROR(VLOOKUP("buildings|NOx|Premature mortality", US_national_yearly!$D:$AM, 25, FALSE) / VLOOKUP("buildings|NOx|Premature mortality", US_national_yearly!$D:$AM, 10, FALSE), 1)</f>
        <v>1.5732164201098465E-3</v>
      </c>
      <c r="R2" s="7">
        <f>$B2 * IFERROR(VLOOKUP("buildings|NOx|Premature mortality", US_national_yearly!$D:$AM, 26, FALSE) / VLOOKUP("buildings|NOx|Premature mortality", US_national_yearly!$D:$AM, 10, FALSE), 1)</f>
        <v>1.5891624302812786E-3</v>
      </c>
      <c r="S2" s="7">
        <f>$B2 * IFERROR(VLOOKUP("buildings|NOx|Premature mortality", US_national_yearly!$D:$AM, 27, FALSE) / VLOOKUP("buildings|NOx|Premature mortality", US_national_yearly!$D:$AM, 10, FALSE), 1)</f>
        <v>1.5964121151875871E-3</v>
      </c>
      <c r="T2" s="7">
        <f>$B2 * IFERROR(VLOOKUP("buildings|NOx|Premature mortality", US_national_yearly!$D:$AM, 28, FALSE) / VLOOKUP("buildings|NOx|Premature mortality", US_national_yearly!$D:$AM, 10, FALSE), 1)</f>
        <v>1.6036618000938951E-3</v>
      </c>
      <c r="U2" s="7">
        <f>$B2 * IFERROR(VLOOKUP("buildings|NOx|Premature mortality", US_national_yearly!$D:$AM, 29, FALSE) / VLOOKUP("buildings|NOx|Premature mortality", US_national_yearly!$D:$AM, 10, FALSE), 1)</f>
        <v>1.6109114850002037E-3</v>
      </c>
      <c r="V2" s="7">
        <f>$B2 * IFERROR(VLOOKUP("buildings|NOx|Premature mortality", US_national_yearly!$D:$AM, 30, FALSE) / VLOOKUP("buildings|NOx|Premature mortality", US_national_yearly!$D:$AM, 10, FALSE), 1)</f>
        <v>1.6181611699065122E-3</v>
      </c>
      <c r="W2" s="7">
        <f>$B2 * IFERROR(VLOOKUP("buildings|NOx|Premature mortality", US_national_yearly!$D:$AM, 31, FALSE) / VLOOKUP("buildings|NOx|Premature mortality", US_national_yearly!$D:$AM, 10, FALSE), 1)</f>
        <v>1.6254108548128204E-3</v>
      </c>
      <c r="X2" s="7">
        <f>$B2 * IFERROR(VLOOKUP("buildings|NOx|Premature mortality", US_national_yearly!$D:$AM, 32, FALSE) / VLOOKUP("buildings|NOx|Premature mortality", US_national_yearly!$D:$AM, 10, FALSE), 1)</f>
        <v>1.6256661828055051E-3</v>
      </c>
      <c r="Y2" s="7">
        <f>$B2 * IFERROR(VLOOKUP("buildings|NOx|Premature mortality", US_national_yearly!$D:$AM, 33, FALSE) / VLOOKUP("buildings|NOx|Premature mortality", US_national_yearly!$D:$AM, 10, FALSE), 1)</f>
        <v>1.6259215107981898E-3</v>
      </c>
      <c r="Z2" s="7">
        <f>$B2 * IFERROR(VLOOKUP("buildings|NOx|Premature mortality", US_national_yearly!$D:$AM, 34, FALSE) / VLOOKUP("buildings|NOx|Premature mortality", US_national_yearly!$D:$AM, 10, FALSE), 1)</f>
        <v>1.6261768387908747E-3</v>
      </c>
      <c r="AA2" s="7">
        <f>$B2 * IFERROR(VLOOKUP("buildings|NOx|Premature mortality", US_national_yearly!$D:$AM, 35, FALSE) / VLOOKUP("buildings|NOx|Premature mortality", US_national_yearly!$D:$AM, 10, FALSE), 1)</f>
        <v>1.6264321667835591E-3</v>
      </c>
      <c r="AB2" s="7">
        <f>$B2 * IFERROR(VLOOKUP("buildings|NOx|Premature mortality", US_national_yearly!$D:$AM, 36, FALSE) / VLOOKUP("buildings|NOx|Premature mortality", US_national_yearly!$D:$AM, 10, FALSE), 1)</f>
        <v>1.626687494776244E-3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3.758878845996109E-6</v>
      </c>
      <c r="C3" s="7">
        <f>$B3 * IFERROR(VLOOKUP("buildings|NOx|Infant mortality", US_national_yearly!$D:$AM, 11, FALSE) / VLOOKUP("buildings|NOx|Infant mortality", US_national_yearly!$D:$AM, 10, FALSE), 1)</f>
        <v>3.7231739085167943E-6</v>
      </c>
      <c r="D3" s="7">
        <f>$B3 * IFERROR(VLOOKUP("buildings|NOx|Infant mortality", US_national_yearly!$D:$AM, 12, FALSE) / VLOOKUP("buildings|NOx|Infant mortality", US_national_yearly!$D:$AM, 10, FALSE), 1)</f>
        <v>3.6874689710374787E-6</v>
      </c>
      <c r="E3" s="7">
        <f>$B3 * IFERROR(VLOOKUP("buildings|NOx|Infant mortality", US_national_yearly!$D:$AM, 13, FALSE) / VLOOKUP("buildings|NOx|Infant mortality", US_national_yearly!$D:$AM, 10, FALSE), 1)</f>
        <v>3.6517640335581636E-6</v>
      </c>
      <c r="F3" s="7">
        <f>$B3 * IFERROR(VLOOKUP("buildings|NOx|Infant mortality", US_national_yearly!$D:$AM, 14, FALSE) / VLOOKUP("buildings|NOx|Infant mortality", US_national_yearly!$D:$AM, 10, FALSE), 1)</f>
        <v>3.616059096078848E-6</v>
      </c>
      <c r="G3" s="7">
        <f>$B3 * IFERROR(VLOOKUP("buildings|NOx|Infant mortality", US_national_yearly!$D:$AM, 15, FALSE) / VLOOKUP("buildings|NOx|Infant mortality", US_national_yearly!$D:$AM, 10, FALSE), 1)</f>
        <v>2.4001138329546547E-6</v>
      </c>
      <c r="H3" s="7">
        <f>$B3 * IFERROR(VLOOKUP("buildings|NOx|Infant mortality", US_national_yearly!$D:$AM, 16, FALSE) / VLOOKUP("buildings|NOx|Infant mortality", US_national_yearly!$D:$AM, 10, FALSE), 1)</f>
        <v>1.1841685698304614E-6</v>
      </c>
      <c r="I3" s="7">
        <f>$B3 * IFERROR(VLOOKUP("buildings|NOx|Infant mortality", US_national_yearly!$D:$AM, 17, FALSE) / VLOOKUP("buildings|NOx|Infant mortality", US_national_yearly!$D:$AM, 10, FALSE), 1)</f>
        <v>1.1758029418412649E-6</v>
      </c>
      <c r="J3" s="7">
        <f>$B3 * IFERROR(VLOOKUP("buildings|NOx|Infant mortality", US_national_yearly!$D:$AM, 18, FALSE) / VLOOKUP("buildings|NOx|Infant mortality", US_national_yearly!$D:$AM, 10, FALSE), 1)</f>
        <v>1.1674373138520681E-6</v>
      </c>
      <c r="K3" s="7">
        <f>$B3 * IFERROR(VLOOKUP("buildings|NOx|Infant mortality", US_national_yearly!$D:$AM, 19, FALSE) / VLOOKUP("buildings|NOx|Infant mortality", US_national_yearly!$D:$AM, 10, FALSE), 1)</f>
        <v>1.1590716858628716E-6</v>
      </c>
      <c r="L3" s="7">
        <f>$B3 * IFERROR(VLOOKUP("buildings|NOx|Infant mortality", US_national_yearly!$D:$AM, 20, FALSE) / VLOOKUP("buildings|NOx|Infant mortality", US_national_yearly!$D:$AM, 10, FALSE), 1)</f>
        <v>1.1507060578736748E-6</v>
      </c>
      <c r="M3" s="7">
        <f>$B3 * IFERROR(VLOOKUP("buildings|NOx|Infant mortality", US_national_yearly!$D:$AM, 21, FALSE) / VLOOKUP("buildings|NOx|Infant mortality", US_national_yearly!$D:$AM, 10, FALSE), 1)</f>
        <v>1.142340429884478E-6</v>
      </c>
      <c r="N3" s="7">
        <f>$B3 * IFERROR(VLOOKUP("buildings|NOx|Infant mortality", US_national_yearly!$D:$AM, 22, FALSE) / VLOOKUP("buildings|NOx|Infant mortality", US_national_yearly!$D:$AM, 10, FALSE), 1)</f>
        <v>1.1367969966069366E-6</v>
      </c>
      <c r="O3" s="7">
        <f>$B3 * IFERROR(VLOOKUP("buildings|NOx|Infant mortality", US_national_yearly!$D:$AM, 23, FALSE) / VLOOKUP("buildings|NOx|Infant mortality", US_national_yearly!$D:$AM, 10, FALSE), 1)</f>
        <v>1.1312535633293953E-6</v>
      </c>
      <c r="P3" s="7">
        <f>$B3 * IFERROR(VLOOKUP("buildings|NOx|Infant mortality", US_national_yearly!$D:$AM, 24, FALSE) / VLOOKUP("buildings|NOx|Infant mortality", US_national_yearly!$D:$AM, 10, FALSE), 1)</f>
        <v>1.1257101300518539E-6</v>
      </c>
      <c r="Q3" s="7">
        <f>$B3 * IFERROR(VLOOKUP("buildings|NOx|Infant mortality", US_national_yearly!$D:$AM, 25, FALSE) / VLOOKUP("buildings|NOx|Infant mortality", US_national_yearly!$D:$AM, 10, FALSE), 1)</f>
        <v>1.1201666967743126E-6</v>
      </c>
      <c r="R3" s="7">
        <f>$B3 * IFERROR(VLOOKUP("buildings|NOx|Infant mortality", US_national_yearly!$D:$AM, 26, FALSE) / VLOOKUP("buildings|NOx|Infant mortality", US_national_yearly!$D:$AM, 10, FALSE), 1)</f>
        <v>1.1146232634967714E-6</v>
      </c>
      <c r="S3" s="7">
        <f>$B3 * IFERROR(VLOOKUP("buildings|NOx|Infant mortality", US_national_yearly!$D:$AM, 27, FALSE) / VLOOKUP("buildings|NOx|Infant mortality", US_national_yearly!$D:$AM, 10, FALSE), 1)</f>
        <v>1.1079548673109395E-6</v>
      </c>
      <c r="T3" s="7">
        <f>$B3 * IFERROR(VLOOKUP("buildings|NOx|Infant mortality", US_national_yearly!$D:$AM, 28, FALSE) / VLOOKUP("buildings|NOx|Infant mortality", US_national_yearly!$D:$AM, 10, FALSE), 1)</f>
        <v>1.1012864711251079E-6</v>
      </c>
      <c r="U3" s="7">
        <f>$B3 * IFERROR(VLOOKUP("buildings|NOx|Infant mortality", US_national_yearly!$D:$AM, 29, FALSE) / VLOOKUP("buildings|NOx|Infant mortality", US_national_yearly!$D:$AM, 10, FALSE), 1)</f>
        <v>1.0946180749392761E-6</v>
      </c>
      <c r="V3" s="7">
        <f>$B3 * IFERROR(VLOOKUP("buildings|NOx|Infant mortality", US_national_yearly!$D:$AM, 30, FALSE) / VLOOKUP("buildings|NOx|Infant mortality", US_national_yearly!$D:$AM, 10, FALSE), 1)</f>
        <v>1.0879496787534443E-6</v>
      </c>
      <c r="W3" s="7">
        <f>$B3 * IFERROR(VLOOKUP("buildings|NOx|Infant mortality", US_national_yearly!$D:$AM, 31, FALSE) / VLOOKUP("buildings|NOx|Infant mortality", US_national_yearly!$D:$AM, 10, FALSE), 1)</f>
        <v>1.0812812825676127E-6</v>
      </c>
      <c r="X3" s="7">
        <f>$B3 * IFERROR(VLOOKUP("buildings|NOx|Infant mortality", US_national_yearly!$D:$AM, 32, FALSE) / VLOOKUP("buildings|NOx|Infant mortality", US_national_yearly!$D:$AM, 10, FALSE), 1)</f>
        <v>1.0742255349572253E-6</v>
      </c>
      <c r="Y3" s="7">
        <f>$B3 * IFERROR(VLOOKUP("buildings|NOx|Infant mortality", US_national_yearly!$D:$AM, 33, FALSE) / VLOOKUP("buildings|NOx|Infant mortality", US_national_yearly!$D:$AM, 10, FALSE), 1)</f>
        <v>1.0671697873468383E-6</v>
      </c>
      <c r="Z3" s="7">
        <f>$B3 * IFERROR(VLOOKUP("buildings|NOx|Infant mortality", US_national_yearly!$D:$AM, 34, FALSE) / VLOOKUP("buildings|NOx|Infant mortality", US_national_yearly!$D:$AM, 10, FALSE), 1)</f>
        <v>1.0601140397364509E-6</v>
      </c>
      <c r="AA3" s="7">
        <f>$B3 * IFERROR(VLOOKUP("buildings|NOx|Infant mortality", US_national_yearly!$D:$AM, 35, FALSE) / VLOOKUP("buildings|NOx|Infant mortality", US_national_yearly!$D:$AM, 10, FALSE), 1)</f>
        <v>1.0530582921260635E-6</v>
      </c>
      <c r="AB3" s="7">
        <f>$B3 * IFERROR(VLOOKUP("buildings|NOx|Infant mortality", US_national_yearly!$D:$AM, 36, FALSE) / VLOOKUP("buildings|NOx|Infant mortality", US_national_yearly!$D:$AM, 10, FALSE), 1)</f>
        <v>1.0460025445156761E-6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4.3325031918214612E-3</v>
      </c>
      <c r="C6" s="7">
        <f>$B6 * IFERROR(VLOOKUP("buildings|NOx|Asthma symptoms cough", US_national_yearly!$D:$AM, 11, FALSE) / VLOOKUP("buildings|NOx|Asthma symptoms cough", US_national_yearly!$D:$AM, 10, FALSE), 1)</f>
        <v>4.3917946780953013E-3</v>
      </c>
      <c r="D6" s="7">
        <f>$B6 * IFERROR(VLOOKUP("buildings|NOx|Asthma symptoms cough", US_national_yearly!$D:$AM, 12, FALSE) / VLOOKUP("buildings|NOx|Asthma symptoms cough", US_national_yearly!$D:$AM, 10, FALSE), 1)</f>
        <v>4.4510861643691424E-3</v>
      </c>
      <c r="E6" s="7">
        <f>$B6 * IFERROR(VLOOKUP("buildings|NOx|Asthma symptoms cough", US_national_yearly!$D:$AM, 13, FALSE) / VLOOKUP("buildings|NOx|Asthma symptoms cough", US_national_yearly!$D:$AM, 10, FALSE), 1)</f>
        <v>4.5103776506429816E-3</v>
      </c>
      <c r="F6" s="7">
        <f>$B6 * IFERROR(VLOOKUP("buildings|NOx|Asthma symptoms cough", US_national_yearly!$D:$AM, 14, FALSE) / VLOOKUP("buildings|NOx|Asthma symptoms cough", US_national_yearly!$D:$AM, 10, FALSE), 1)</f>
        <v>4.5696691369168218E-3</v>
      </c>
      <c r="G6" s="7">
        <f>$B6 * IFERROR(VLOOKUP("buildings|NOx|Asthma symptoms cough", US_national_yearly!$D:$AM, 15, FALSE) / VLOOKUP("buildings|NOx|Asthma symptoms cough", US_national_yearly!$D:$AM, 10, FALSE), 1)</f>
        <v>4.6170541444654732E-3</v>
      </c>
      <c r="H6" s="7">
        <f>$B6 * IFERROR(VLOOKUP("buildings|NOx|Asthma symptoms cough", US_national_yearly!$D:$AM, 16, FALSE) / VLOOKUP("buildings|NOx|Asthma symptoms cough", US_national_yearly!$D:$AM, 10, FALSE), 1)</f>
        <v>4.6644391520141255E-3</v>
      </c>
      <c r="I6" s="7">
        <f>$B6 * IFERROR(VLOOKUP("buildings|NOx|Asthma symptoms cough", US_national_yearly!$D:$AM, 17, FALSE) / VLOOKUP("buildings|NOx|Asthma symptoms cough", US_national_yearly!$D:$AM, 10, FALSE), 1)</f>
        <v>4.6808377036173191E-3</v>
      </c>
      <c r="J6" s="7">
        <f>$B6 * IFERROR(VLOOKUP("buildings|NOx|Asthma symptoms cough", US_national_yearly!$D:$AM, 18, FALSE) / VLOOKUP("buildings|NOx|Asthma symptoms cough", US_national_yearly!$D:$AM, 10, FALSE), 1)</f>
        <v>4.6972362552205127E-3</v>
      </c>
      <c r="K6" s="7">
        <f>$B6 * IFERROR(VLOOKUP("buildings|NOx|Asthma symptoms cough", US_national_yearly!$D:$AM, 19, FALSE) / VLOOKUP("buildings|NOx|Asthma symptoms cough", US_national_yearly!$D:$AM, 10, FALSE), 1)</f>
        <v>4.7136348068237046E-3</v>
      </c>
      <c r="L6" s="7">
        <f>$B6 * IFERROR(VLOOKUP("buildings|NOx|Asthma symptoms cough", US_national_yearly!$D:$AM, 20, FALSE) / VLOOKUP("buildings|NOx|Asthma symptoms cough", US_national_yearly!$D:$AM, 10, FALSE), 1)</f>
        <v>4.7300333584268982E-3</v>
      </c>
      <c r="M6" s="7">
        <f>$B6 * IFERROR(VLOOKUP("buildings|NOx|Asthma symptoms cough", US_national_yearly!$D:$AM, 21, FALSE) / VLOOKUP("buildings|NOx|Asthma symptoms cough", US_national_yearly!$D:$AM, 10, FALSE), 1)</f>
        <v>4.746431910030091E-3</v>
      </c>
      <c r="N6" s="7">
        <f>$B6 * IFERROR(VLOOKUP("buildings|NOx|Asthma symptoms cough", US_national_yearly!$D:$AM, 22, FALSE) / VLOOKUP("buildings|NOx|Asthma symptoms cough", US_national_yearly!$D:$AM, 10, FALSE), 1)</f>
        <v>4.765393757091705E-3</v>
      </c>
      <c r="O6" s="7">
        <f>$B6 * IFERROR(VLOOKUP("buildings|NOx|Asthma symptoms cough", US_national_yearly!$D:$AM, 23, FALSE) / VLOOKUP("buildings|NOx|Asthma symptoms cough", US_national_yearly!$D:$AM, 10, FALSE), 1)</f>
        <v>4.7843556041533173E-3</v>
      </c>
      <c r="P6" s="7">
        <f>$B6 * IFERROR(VLOOKUP("buildings|NOx|Asthma symptoms cough", US_national_yearly!$D:$AM, 24, FALSE) / VLOOKUP("buildings|NOx|Asthma symptoms cough", US_national_yearly!$D:$AM, 10, FALSE), 1)</f>
        <v>4.8033174512149297E-3</v>
      </c>
      <c r="Q6" s="7">
        <f>$B6 * IFERROR(VLOOKUP("buildings|NOx|Asthma symptoms cough", US_national_yearly!$D:$AM, 25, FALSE) / VLOOKUP("buildings|NOx|Asthma symptoms cough", US_national_yearly!$D:$AM, 10, FALSE), 1)</f>
        <v>4.8222792982765437E-3</v>
      </c>
      <c r="R6" s="7">
        <f>$B6 * IFERROR(VLOOKUP("buildings|NOx|Asthma symptoms cough", US_national_yearly!$D:$AM, 26, FALSE) / VLOOKUP("buildings|NOx|Asthma symptoms cough", US_national_yearly!$D:$AM, 10, FALSE), 1)</f>
        <v>4.841241145338156E-3</v>
      </c>
      <c r="S6" s="7">
        <f>$B6 * IFERROR(VLOOKUP("buildings|NOx|Asthma symptoms cough", US_national_yearly!$D:$AM, 27, FALSE) / VLOOKUP("buildings|NOx|Asthma symptoms cough", US_national_yearly!$D:$AM, 10, FALSE), 1)</f>
        <v>4.8660057194540576E-3</v>
      </c>
      <c r="T6" s="7">
        <f>$B6 * IFERROR(VLOOKUP("buildings|NOx|Asthma symptoms cough", US_national_yearly!$D:$AM, 28, FALSE) / VLOOKUP("buildings|NOx|Asthma symptoms cough", US_national_yearly!$D:$AM, 10, FALSE), 1)</f>
        <v>4.8907702935699574E-3</v>
      </c>
      <c r="U6" s="7">
        <f>$B6 * IFERROR(VLOOKUP("buildings|NOx|Asthma symptoms cough", US_national_yearly!$D:$AM, 29, FALSE) / VLOOKUP("buildings|NOx|Asthma symptoms cough", US_national_yearly!$D:$AM, 10, FALSE), 1)</f>
        <v>4.9155348676858581E-3</v>
      </c>
      <c r="V6" s="7">
        <f>$B6 * IFERROR(VLOOKUP("buildings|NOx|Asthma symptoms cough", US_national_yearly!$D:$AM, 30, FALSE) / VLOOKUP("buildings|NOx|Asthma symptoms cough", US_national_yearly!$D:$AM, 10, FALSE), 1)</f>
        <v>4.9402994418017605E-3</v>
      </c>
      <c r="W6" s="7">
        <f>$B6 * IFERROR(VLOOKUP("buildings|NOx|Asthma symptoms cough", US_national_yearly!$D:$AM, 31, FALSE) / VLOOKUP("buildings|NOx|Asthma symptoms cough", US_national_yearly!$D:$AM, 10, FALSE), 1)</f>
        <v>4.9650640159176612E-3</v>
      </c>
      <c r="X6" s="7">
        <f>$B6 * IFERROR(VLOOKUP("buildings|NOx|Asthma symptoms cough", US_national_yearly!$D:$AM, 32, FALSE) / VLOOKUP("buildings|NOx|Asthma symptoms cough", US_national_yearly!$D:$AM, 10, FALSE), 1)</f>
        <v>4.9880737129427101E-3</v>
      </c>
      <c r="Y6" s="7">
        <f>$B6 * IFERROR(VLOOKUP("buildings|NOx|Asthma symptoms cough", US_national_yearly!$D:$AM, 33, FALSE) / VLOOKUP("buildings|NOx|Asthma symptoms cough", US_national_yearly!$D:$AM, 10, FALSE), 1)</f>
        <v>5.0110834099677598E-3</v>
      </c>
      <c r="Z6" s="7">
        <f>$B6 * IFERROR(VLOOKUP("buildings|NOx|Asthma symptoms cough", US_national_yearly!$D:$AM, 34, FALSE) / VLOOKUP("buildings|NOx|Asthma symptoms cough", US_national_yearly!$D:$AM, 10, FALSE), 1)</f>
        <v>5.0340931069928095E-3</v>
      </c>
      <c r="AA6" s="7">
        <f>$B6 * IFERROR(VLOOKUP("buildings|NOx|Asthma symptoms cough", US_national_yearly!$D:$AM, 35, FALSE) / VLOOKUP("buildings|NOx|Asthma symptoms cough", US_national_yearly!$D:$AM, 10, FALSE), 1)</f>
        <v>5.0571028040178592E-3</v>
      </c>
      <c r="AB6" s="7">
        <f>$B6 * IFERROR(VLOOKUP("buildings|NOx|Asthma symptoms cough", US_national_yearly!$D:$AM, 36, FALSE) / VLOOKUP("buildings|NOx|Asthma symptoms cough", US_national_yearly!$D:$AM, 10, FALSE), 1)</f>
        <v>5.0801125010429098E-3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5.8343048966880912E-3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5.9141489481980038E-3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5.9939929997079155E-3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6.0738370512178281E-3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6.1536811027277406E-3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6.2174914609065086E-3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6.2813018190852775E-3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6.3033846992034187E-3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6.325467579321559E-3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6.347550459439702E-3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6.3696333395578432E-3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6.3917162196759844E-3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6.4172509258553318E-3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6.4427856320346784E-3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6.4683203382140259E-3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6.4938550443933724E-3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6.5193897505727199E-3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6.5527386181624039E-3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6.5860874857520887E-3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6.6194363533417736E-3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6.6527852209314568E-3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6.6861340885211408E-3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6.717119775385692E-3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6.7481054622502415E-3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6.7790911491147927E-3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6.8100768359793404E-3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6.8410625228438916E-3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8.9139693379365562E-3</v>
      </c>
      <c r="C8" s="7">
        <f>$B8 * IFERROR(VLOOKUP("buildings|NOx|Asthma symptoms wheeze", US_national_yearly!$D:$AM, 11, FALSE) / VLOOKUP("buildings|NOx|Asthma symptoms wheeze", US_national_yearly!$D:$AM, 10, FALSE), 1)</f>
        <v>9.0359594363748439E-3</v>
      </c>
      <c r="D8" s="7">
        <f>$B8 * IFERROR(VLOOKUP("buildings|NOx|Asthma symptoms wheeze", US_national_yearly!$D:$AM, 12, FALSE) / VLOOKUP("buildings|NOx|Asthma symptoms wheeze", US_national_yearly!$D:$AM, 10, FALSE), 1)</f>
        <v>9.1579495348131316E-3</v>
      </c>
      <c r="E8" s="7">
        <f>$B8 * IFERROR(VLOOKUP("buildings|NOx|Asthma symptoms wheeze", US_national_yearly!$D:$AM, 13, FALSE) / VLOOKUP("buildings|NOx|Asthma symptoms wheeze", US_national_yearly!$D:$AM, 10, FALSE), 1)</f>
        <v>9.2799396332514175E-3</v>
      </c>
      <c r="F8" s="7">
        <f>$B8 * IFERROR(VLOOKUP("buildings|NOx|Asthma symptoms wheeze", US_national_yearly!$D:$AM, 14, FALSE) / VLOOKUP("buildings|NOx|Asthma symptoms wheeze", US_national_yearly!$D:$AM, 10, FALSE), 1)</f>
        <v>9.4019297316897069E-3</v>
      </c>
      <c r="G8" s="7">
        <f>$B8 * IFERROR(VLOOKUP("buildings|NOx|Asthma symptoms wheeze", US_national_yearly!$D:$AM, 15, FALSE) / VLOOKUP("buildings|NOx|Asthma symptoms wheeze", US_national_yearly!$D:$AM, 10, FALSE), 1)</f>
        <v>9.4994226788014616E-3</v>
      </c>
      <c r="H8" s="7">
        <f>$B8 * IFERROR(VLOOKUP("buildings|NOx|Asthma symptoms wheeze", US_national_yearly!$D:$AM, 16, FALSE) / VLOOKUP("buildings|NOx|Asthma symptoms wheeze", US_national_yearly!$D:$AM, 10, FALSE), 1)</f>
        <v>9.5969156259132146E-3</v>
      </c>
      <c r="I8" s="7">
        <f>$B8 * IFERROR(VLOOKUP("buildings|NOx|Asthma symptoms wheeze", US_national_yearly!$D:$AM, 17, FALSE) / VLOOKUP("buildings|NOx|Asthma symptoms wheeze", US_national_yearly!$D:$AM, 10, FALSE), 1)</f>
        <v>9.6306550554735998E-3</v>
      </c>
      <c r="J8" s="7">
        <f>$B8 * IFERROR(VLOOKUP("buildings|NOx|Asthma symptoms wheeze", US_national_yearly!$D:$AM, 18, FALSE) / VLOOKUP("buildings|NOx|Asthma symptoms wheeze", US_national_yearly!$D:$AM, 10, FALSE), 1)</f>
        <v>9.6643944850339815E-3</v>
      </c>
      <c r="K8" s="7">
        <f>$B8 * IFERROR(VLOOKUP("buildings|NOx|Asthma symptoms wheeze", US_national_yearly!$D:$AM, 19, FALSE) / VLOOKUP("buildings|NOx|Asthma symptoms wheeze", US_national_yearly!$D:$AM, 10, FALSE), 1)</f>
        <v>9.6981339145943649E-3</v>
      </c>
      <c r="L8" s="7">
        <f>$B8 * IFERROR(VLOOKUP("buildings|NOx|Asthma symptoms wheeze", US_national_yearly!$D:$AM, 20, FALSE) / VLOOKUP("buildings|NOx|Asthma symptoms wheeze", US_national_yearly!$D:$AM, 10, FALSE), 1)</f>
        <v>9.7318733441547466E-3</v>
      </c>
      <c r="M8" s="7">
        <f>$B8 * IFERROR(VLOOKUP("buildings|NOx|Asthma symptoms wheeze", US_national_yearly!$D:$AM, 21, FALSE) / VLOOKUP("buildings|NOx|Asthma symptoms wheeze", US_national_yearly!$D:$AM, 10, FALSE), 1)</f>
        <v>9.7656127737151318E-3</v>
      </c>
      <c r="N8" s="7">
        <f>$B8 * IFERROR(VLOOKUP("buildings|NOx|Asthma symptoms wheeze", US_national_yearly!$D:$AM, 22, FALSE) / VLOOKUP("buildings|NOx|Asthma symptoms wheeze", US_national_yearly!$D:$AM, 10, FALSE), 1)</f>
        <v>9.8046260914016227E-3</v>
      </c>
      <c r="O8" s="7">
        <f>$B8 * IFERROR(VLOOKUP("buildings|NOx|Asthma symptoms wheeze", US_national_yearly!$D:$AM, 23, FALSE) / VLOOKUP("buildings|NOx|Asthma symptoms wheeze", US_national_yearly!$D:$AM, 10, FALSE), 1)</f>
        <v>9.8436394090881171E-3</v>
      </c>
      <c r="P8" s="7">
        <f>$B8 * IFERROR(VLOOKUP("buildings|NOx|Asthma symptoms wheeze", US_national_yearly!$D:$AM, 24, FALSE) / VLOOKUP("buildings|NOx|Asthma symptoms wheeze", US_national_yearly!$D:$AM, 10, FALSE), 1)</f>
        <v>9.8826527267746097E-3</v>
      </c>
      <c r="Q8" s="7">
        <f>$B8 * IFERROR(VLOOKUP("buildings|NOx|Asthma symptoms wheeze", US_national_yearly!$D:$AM, 25, FALSE) / VLOOKUP("buildings|NOx|Asthma symptoms wheeze", US_national_yearly!$D:$AM, 10, FALSE), 1)</f>
        <v>9.9216660444611041E-3</v>
      </c>
      <c r="R8" s="7">
        <f>$B8 * IFERROR(VLOOKUP("buildings|NOx|Asthma symptoms wheeze", US_national_yearly!$D:$AM, 26, FALSE) / VLOOKUP("buildings|NOx|Asthma symptoms wheeze", US_national_yearly!$D:$AM, 10, FALSE), 1)</f>
        <v>9.9606793621475967E-3</v>
      </c>
      <c r="S8" s="7">
        <f>$B8 * IFERROR(VLOOKUP("buildings|NOx|Asthma symptoms wheeze", US_national_yearly!$D:$AM, 27, FALSE) / VLOOKUP("buildings|NOx|Asthma symptoms wheeze", US_national_yearly!$D:$AM, 10, FALSE), 1)</f>
        <v>1.0011631581857161E-2</v>
      </c>
      <c r="T8" s="7">
        <f>$B8 * IFERROR(VLOOKUP("buildings|NOx|Asthma symptoms wheeze", US_national_yearly!$D:$AM, 28, FALSE) / VLOOKUP("buildings|NOx|Asthma symptoms wheeze", US_national_yearly!$D:$AM, 10, FALSE), 1)</f>
        <v>1.0062583801566726E-2</v>
      </c>
      <c r="U8" s="7">
        <f>$B8 * IFERROR(VLOOKUP("buildings|NOx|Asthma symptoms wheeze", US_national_yearly!$D:$AM, 29, FALSE) / VLOOKUP("buildings|NOx|Asthma symptoms wheeze", US_national_yearly!$D:$AM, 10, FALSE), 1)</f>
        <v>1.0113536021276293E-2</v>
      </c>
      <c r="V8" s="7">
        <f>$B8 * IFERROR(VLOOKUP("buildings|NOx|Asthma symptoms wheeze", US_national_yearly!$D:$AM, 30, FALSE) / VLOOKUP("buildings|NOx|Asthma symptoms wheeze", US_national_yearly!$D:$AM, 10, FALSE), 1)</f>
        <v>1.0164488240985857E-2</v>
      </c>
      <c r="W8" s="7">
        <f>$B8 * IFERROR(VLOOKUP("buildings|NOx|Asthma symptoms wheeze", US_national_yearly!$D:$AM, 31, FALSE) / VLOOKUP("buildings|NOx|Asthma symptoms wheeze", US_national_yearly!$D:$AM, 10, FALSE), 1)</f>
        <v>1.0215440460695424E-2</v>
      </c>
      <c r="X8" s="7">
        <f>$B8 * IFERROR(VLOOKUP("buildings|NOx|Asthma symptoms wheeze", US_national_yearly!$D:$AM, 32, FALSE) / VLOOKUP("buildings|NOx|Asthma symptoms wheeze", US_national_yearly!$D:$AM, 10, FALSE), 1)</f>
        <v>1.0262782083969225E-2</v>
      </c>
      <c r="Y8" s="7">
        <f>$B8 * IFERROR(VLOOKUP("buildings|NOx|Asthma symptoms wheeze", US_national_yearly!$D:$AM, 33, FALSE) / VLOOKUP("buildings|NOx|Asthma symptoms wheeze", US_national_yearly!$D:$AM, 10, FALSE), 1)</f>
        <v>1.0310123707243029E-2</v>
      </c>
      <c r="Z8" s="7">
        <f>$B8 * IFERROR(VLOOKUP("buildings|NOx|Asthma symptoms wheeze", US_national_yearly!$D:$AM, 34, FALSE) / VLOOKUP("buildings|NOx|Asthma symptoms wheeze", US_national_yearly!$D:$AM, 10, FALSE), 1)</f>
        <v>1.0357465330516832E-2</v>
      </c>
      <c r="AA8" s="7">
        <f>$B8 * IFERROR(VLOOKUP("buildings|NOx|Asthma symptoms wheeze", US_national_yearly!$D:$AM, 35, FALSE) / VLOOKUP("buildings|NOx|Asthma symptoms wheeze", US_national_yearly!$D:$AM, 10, FALSE), 1)</f>
        <v>1.0404806953790636E-2</v>
      </c>
      <c r="AB8" s="7">
        <f>$B8 * IFERROR(VLOOKUP("buildings|NOx|Asthma symptoms wheeze", US_national_yearly!$D:$AM, 36, FALSE) / VLOOKUP("buildings|NOx|Asthma symptoms wheeze", US_national_yearly!$D:$AM, 10, FALSE), 1)</f>
        <v>1.0452148577064441E-2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9.3797271626923411E-5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9.6140735536216228E-5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9.8484199445509059E-5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1.0082766335480188E-4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1.0317112726409469E-4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1.0541155007247672E-4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1.0765197288085868E-4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1.0955515927162312E-4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1.1145834566238755E-4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1.13361532053152E-4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1.1526471844391643E-4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1.1716790483468088E-4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1.1844017446518101E-4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1.1971244409568116E-4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1.2098471372618131E-4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1.2225698335668146E-4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1.2352925298718159E-4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1.2421140543407162E-4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1.2489355788096164E-4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1.2557571032785169E-4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1.2625786277474171E-4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1.2694001522163171E-4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1.2740698075860391E-4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1.2787394629557611E-4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1.2834091183254833E-4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1.288078773695205E-4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1.292748429064927E-4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5.9170619022017642E-4</v>
      </c>
      <c r="C13" s="7">
        <f>$B13 * IFERROR(VLOOKUP("buildings|NOx|Non-fatal heart attacks", US_national_yearly!$D:$AM, 11, FALSE) / VLOOKUP("buildings|NOx|Non-fatal heart attacks", US_national_yearly!$D:$AM, 10, FALSE), 1)</f>
        <v>6.0863369791449694E-4</v>
      </c>
      <c r="D13" s="7">
        <f>$B13 * IFERROR(VLOOKUP("buildings|NOx|Non-fatal heart attacks", US_national_yearly!$D:$AM, 12, FALSE) / VLOOKUP("buildings|NOx|Non-fatal heart attacks", US_national_yearly!$D:$AM, 10, FALSE), 1)</f>
        <v>6.255612056088178E-4</v>
      </c>
      <c r="E13" s="7">
        <f>$B13 * IFERROR(VLOOKUP("buildings|NOx|Non-fatal heart attacks", US_national_yearly!$D:$AM, 13, FALSE) / VLOOKUP("buildings|NOx|Non-fatal heart attacks", US_national_yearly!$D:$AM, 10, FALSE), 1)</f>
        <v>6.4248871330313832E-4</v>
      </c>
      <c r="F13" s="7">
        <f>$B13 * IFERROR(VLOOKUP("buildings|NOx|Non-fatal heart attacks", US_national_yearly!$D:$AM, 14, FALSE) / VLOOKUP("buildings|NOx|Non-fatal heart attacks", US_national_yearly!$D:$AM, 10, FALSE), 1)</f>
        <v>6.5941622099745885E-4</v>
      </c>
      <c r="G13" s="7">
        <f>$B13 * IFERROR(VLOOKUP("buildings|NOx|Non-fatal heart attacks", US_national_yearly!$D:$AM, 15, FALSE) / VLOOKUP("buildings|NOx|Non-fatal heart attacks", US_national_yearly!$D:$AM, 10, FALSE), 1)</f>
        <v>6.7523830550469228E-4</v>
      </c>
      <c r="H13" s="7">
        <f>$B13 * IFERROR(VLOOKUP("buildings|NOx|Non-fatal heart attacks", US_national_yearly!$D:$AM, 16, FALSE) / VLOOKUP("buildings|NOx|Non-fatal heart attacks", US_national_yearly!$D:$AM, 10, FALSE), 1)</f>
        <v>6.9106039001192593E-4</v>
      </c>
      <c r="I13" s="7">
        <f>$B13 * IFERROR(VLOOKUP("buildings|NOx|Non-fatal heart attacks", US_national_yearly!$D:$AM, 17, FALSE) / VLOOKUP("buildings|NOx|Non-fatal heart attacks", US_national_yearly!$D:$AM, 10, FALSE), 1)</f>
        <v>7.0354287732471736E-4</v>
      </c>
      <c r="J13" s="7">
        <f>$B13 * IFERROR(VLOOKUP("buildings|NOx|Non-fatal heart attacks", US_national_yearly!$D:$AM, 18, FALSE) / VLOOKUP("buildings|NOx|Non-fatal heart attacks", US_national_yearly!$D:$AM, 10, FALSE), 1)</f>
        <v>7.1602536463750868E-4</v>
      </c>
      <c r="K13" s="7">
        <f>$B13 * IFERROR(VLOOKUP("buildings|NOx|Non-fatal heart attacks", US_national_yearly!$D:$AM, 19, FALSE) / VLOOKUP("buildings|NOx|Non-fatal heart attacks", US_national_yearly!$D:$AM, 10, FALSE), 1)</f>
        <v>7.2850785195030044E-4</v>
      </c>
      <c r="L13" s="7">
        <f>$B13 * IFERROR(VLOOKUP("buildings|NOx|Non-fatal heart attacks", US_national_yearly!$D:$AM, 20, FALSE) / VLOOKUP("buildings|NOx|Non-fatal heart attacks", US_national_yearly!$D:$AM, 10, FALSE), 1)</f>
        <v>7.4099033926309143E-4</v>
      </c>
      <c r="M13" s="7">
        <f>$B13 * IFERROR(VLOOKUP("buildings|NOx|Non-fatal heart attacks", US_national_yearly!$D:$AM, 21, FALSE) / VLOOKUP("buildings|NOx|Non-fatal heart attacks", US_national_yearly!$D:$AM, 10, FALSE), 1)</f>
        <v>7.5347282657588308E-4</v>
      </c>
      <c r="N13" s="7">
        <f>$B13 * IFERROR(VLOOKUP("buildings|NOx|Non-fatal heart attacks", US_national_yearly!$D:$AM, 22, FALSE) / VLOOKUP("buildings|NOx|Non-fatal heart attacks", US_national_yearly!$D:$AM, 10, FALSE), 1)</f>
        <v>7.6098516583520553E-4</v>
      </c>
      <c r="O13" s="7">
        <f>$B13 * IFERROR(VLOOKUP("buildings|NOx|Non-fatal heart attacks", US_national_yearly!$D:$AM, 23, FALSE) / VLOOKUP("buildings|NOx|Non-fatal heart attacks", US_national_yearly!$D:$AM, 10, FALSE), 1)</f>
        <v>7.6849750509452787E-4</v>
      </c>
      <c r="P13" s="7">
        <f>$B13 * IFERROR(VLOOKUP("buildings|NOx|Non-fatal heart attacks", US_national_yearly!$D:$AM, 24, FALSE) / VLOOKUP("buildings|NOx|Non-fatal heart attacks", US_national_yearly!$D:$AM, 10, FALSE), 1)</f>
        <v>7.7600984435385032E-4</v>
      </c>
      <c r="Q13" s="7">
        <f>$B13 * IFERROR(VLOOKUP("buildings|NOx|Non-fatal heart attacks", US_national_yearly!$D:$AM, 25, FALSE) / VLOOKUP("buildings|NOx|Non-fatal heart attacks", US_national_yearly!$D:$AM, 10, FALSE), 1)</f>
        <v>7.8352218361317277E-4</v>
      </c>
      <c r="R13" s="7">
        <f>$B13 * IFERROR(VLOOKUP("buildings|NOx|Non-fatal heart attacks", US_national_yearly!$D:$AM, 26, FALSE) / VLOOKUP("buildings|NOx|Non-fatal heart attacks", US_national_yearly!$D:$AM, 10, FALSE), 1)</f>
        <v>7.9103452287249501E-4</v>
      </c>
      <c r="S13" s="7">
        <f>$B13 * IFERROR(VLOOKUP("buildings|NOx|Non-fatal heart attacks", US_national_yearly!$D:$AM, 27, FALSE) / VLOOKUP("buildings|NOx|Non-fatal heart attacks", US_national_yearly!$D:$AM, 10, FALSE), 1)</f>
        <v>7.9444842454215979E-4</v>
      </c>
      <c r="T13" s="7">
        <f>$B13 * IFERROR(VLOOKUP("buildings|NOx|Non-fatal heart attacks", US_national_yearly!$D:$AM, 28, FALSE) / VLOOKUP("buildings|NOx|Non-fatal heart attacks", US_national_yearly!$D:$AM, 10, FALSE), 1)</f>
        <v>7.9786232621182468E-4</v>
      </c>
      <c r="U13" s="7">
        <f>$B13 * IFERROR(VLOOKUP("buildings|NOx|Non-fatal heart attacks", US_national_yearly!$D:$AM, 29, FALSE) / VLOOKUP("buildings|NOx|Non-fatal heart attacks", US_national_yearly!$D:$AM, 10, FALSE), 1)</f>
        <v>8.0127622788148947E-4</v>
      </c>
      <c r="V13" s="7">
        <f>$B13 * IFERROR(VLOOKUP("buildings|NOx|Non-fatal heart attacks", US_national_yearly!$D:$AM, 30, FALSE) / VLOOKUP("buildings|NOx|Non-fatal heart attacks", US_national_yearly!$D:$AM, 10, FALSE), 1)</f>
        <v>8.0469012955115414E-4</v>
      </c>
      <c r="W13" s="7">
        <f>$B13 * IFERROR(VLOOKUP("buildings|NOx|Non-fatal heart attacks", US_national_yearly!$D:$AM, 31, FALSE) / VLOOKUP("buildings|NOx|Non-fatal heart attacks", US_national_yearly!$D:$AM, 10, FALSE), 1)</f>
        <v>8.0810403122081893E-4</v>
      </c>
      <c r="X13" s="7">
        <f>$B13 * IFERROR(VLOOKUP("buildings|NOx|Non-fatal heart attacks", US_national_yearly!$D:$AM, 32, FALSE) / VLOOKUP("buildings|NOx|Non-fatal heart attacks", US_national_yearly!$D:$AM, 10, FALSE), 1)</f>
        <v>8.1038765343869527E-4</v>
      </c>
      <c r="Y13" s="7">
        <f>$B13 * IFERROR(VLOOKUP("buildings|NOx|Non-fatal heart attacks", US_national_yearly!$D:$AM, 33, FALSE) / VLOOKUP("buildings|NOx|Non-fatal heart attacks", US_national_yearly!$D:$AM, 10, FALSE), 1)</f>
        <v>8.1267127565657152E-4</v>
      </c>
      <c r="Z13" s="7">
        <f>$B13 * IFERROR(VLOOKUP("buildings|NOx|Non-fatal heart attacks", US_national_yearly!$D:$AM, 34, FALSE) / VLOOKUP("buildings|NOx|Non-fatal heart attacks", US_national_yearly!$D:$AM, 10, FALSE), 1)</f>
        <v>8.1495489787444797E-4</v>
      </c>
      <c r="AA13" s="7">
        <f>$B13 * IFERROR(VLOOKUP("buildings|NOx|Non-fatal heart attacks", US_national_yearly!$D:$AM, 35, FALSE) / VLOOKUP("buildings|NOx|Non-fatal heart attacks", US_national_yearly!$D:$AM, 10, FALSE), 1)</f>
        <v>8.1723852009232432E-4</v>
      </c>
      <c r="AB13" s="7">
        <f>$B13 * IFERROR(VLOOKUP("buildings|NOx|Non-fatal heart attacks", US_national_yearly!$D:$AM, 36, FALSE) / VLOOKUP("buildings|NOx|Non-fatal heart attacks", US_national_yearly!$D:$AM, 10, FALSE), 1)</f>
        <v>8.1952214231020056E-4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0.55507148819166119</v>
      </c>
      <c r="C14" s="7">
        <f>$B14 * IFERROR(VLOOKUP("buildings|NOx|Minor restricted activity days", US_national_yearly!$D:$AM, 11, FALSE) / VLOOKUP("buildings|NOx|Minor restricted activity days", US_national_yearly!$D:$AM, 10, FALSE), 1)</f>
        <v>0.55593282787086418</v>
      </c>
      <c r="D14" s="7">
        <f>$B14 * IFERROR(VLOOKUP("buildings|NOx|Minor restricted activity days", US_national_yearly!$D:$AM, 12, FALSE) / VLOOKUP("buildings|NOx|Minor restricted activity days", US_national_yearly!$D:$AM, 10, FALSE), 1)</f>
        <v>0.55679416755006716</v>
      </c>
      <c r="E14" s="7">
        <f>$B14 * IFERROR(VLOOKUP("buildings|NOx|Minor restricted activity days", US_national_yearly!$D:$AM, 13, FALSE) / VLOOKUP("buildings|NOx|Minor restricted activity days", US_national_yearly!$D:$AM, 10, FALSE), 1)</f>
        <v>0.55765550722927015</v>
      </c>
      <c r="F14" s="7">
        <f>$B14 * IFERROR(VLOOKUP("buildings|NOx|Minor restricted activity days", US_national_yearly!$D:$AM, 14, FALSE) / VLOOKUP("buildings|NOx|Minor restricted activity days", US_national_yearly!$D:$AM, 10, FALSE), 1)</f>
        <v>0.55851684690847314</v>
      </c>
      <c r="G14" s="7">
        <f>$B14 * IFERROR(VLOOKUP("buildings|NOx|Minor restricted activity days", US_national_yearly!$D:$AM, 15, FALSE) / VLOOKUP("buildings|NOx|Minor restricted activity days", US_national_yearly!$D:$AM, 10, FALSE), 1)</f>
        <v>0.56006424513685926</v>
      </c>
      <c r="H14" s="7">
        <f>$B14 * IFERROR(VLOOKUP("buildings|NOx|Minor restricted activity days", US_national_yearly!$D:$AM, 16, FALSE) / VLOOKUP("buildings|NOx|Minor restricted activity days", US_national_yearly!$D:$AM, 10, FALSE), 1)</f>
        <v>0.56161164336524549</v>
      </c>
      <c r="I14" s="7">
        <f>$B14 * IFERROR(VLOOKUP("buildings|NOx|Minor restricted activity days", US_national_yearly!$D:$AM, 17, FALSE) / VLOOKUP("buildings|NOx|Minor restricted activity days", US_national_yearly!$D:$AM, 10, FALSE), 1)</f>
        <v>0.56462862843565542</v>
      </c>
      <c r="J14" s="7">
        <f>$B14 * IFERROR(VLOOKUP("buildings|NOx|Minor restricted activity days", US_national_yearly!$D:$AM, 18, FALSE) / VLOOKUP("buildings|NOx|Minor restricted activity days", US_national_yearly!$D:$AM, 10, FALSE), 1)</f>
        <v>0.56764561350606535</v>
      </c>
      <c r="K14" s="7">
        <f>$B14 * IFERROR(VLOOKUP("buildings|NOx|Minor restricted activity days", US_national_yearly!$D:$AM, 19, FALSE) / VLOOKUP("buildings|NOx|Minor restricted activity days", US_national_yearly!$D:$AM, 10, FALSE), 1)</f>
        <v>0.57066259857647539</v>
      </c>
      <c r="L14" s="7">
        <f>$B14 * IFERROR(VLOOKUP("buildings|NOx|Minor restricted activity days", US_national_yearly!$D:$AM, 20, FALSE) / VLOOKUP("buildings|NOx|Minor restricted activity days", US_national_yearly!$D:$AM, 10, FALSE), 1)</f>
        <v>0.57367958364688532</v>
      </c>
      <c r="M14" s="7">
        <f>$B14 * IFERROR(VLOOKUP("buildings|NOx|Minor restricted activity days", US_national_yearly!$D:$AM, 21, FALSE) / VLOOKUP("buildings|NOx|Minor restricted activity days", US_national_yearly!$D:$AM, 10, FALSE), 1)</f>
        <v>0.57669656871729524</v>
      </c>
      <c r="N14" s="7">
        <f>$B14 * IFERROR(VLOOKUP("buildings|NOx|Minor restricted activity days", US_national_yearly!$D:$AM, 22, FALSE) / VLOOKUP("buildings|NOx|Minor restricted activity days", US_national_yearly!$D:$AM, 10, FALSE), 1)</f>
        <v>0.58101269255490817</v>
      </c>
      <c r="O14" s="7">
        <f>$B14 * IFERROR(VLOOKUP("buildings|NOx|Minor restricted activity days", US_national_yearly!$D:$AM, 23, FALSE) / VLOOKUP("buildings|NOx|Minor restricted activity days", US_national_yearly!$D:$AM, 10, FALSE), 1)</f>
        <v>0.58532881639252099</v>
      </c>
      <c r="P14" s="7">
        <f>$B14 * IFERROR(VLOOKUP("buildings|NOx|Minor restricted activity days", US_national_yearly!$D:$AM, 24, FALSE) / VLOOKUP("buildings|NOx|Minor restricted activity days", US_national_yearly!$D:$AM, 10, FALSE), 1)</f>
        <v>0.58964494023013392</v>
      </c>
      <c r="Q14" s="7">
        <f>$B14 * IFERROR(VLOOKUP("buildings|NOx|Minor restricted activity days", US_national_yearly!$D:$AM, 25, FALSE) / VLOOKUP("buildings|NOx|Minor restricted activity days", US_national_yearly!$D:$AM, 10, FALSE), 1)</f>
        <v>0.59396106406774674</v>
      </c>
      <c r="R14" s="7">
        <f>$B14 * IFERROR(VLOOKUP("buildings|NOx|Minor restricted activity days", US_national_yearly!$D:$AM, 26, FALSE) / VLOOKUP("buildings|NOx|Minor restricted activity days", US_national_yearly!$D:$AM, 10, FALSE), 1)</f>
        <v>0.59827718790535955</v>
      </c>
      <c r="S14" s="7">
        <f>$B14 * IFERROR(VLOOKUP("buildings|NOx|Minor restricted activity days", US_national_yearly!$D:$AM, 27, FALSE) / VLOOKUP("buildings|NOx|Minor restricted activity days", US_national_yearly!$D:$AM, 10, FALSE), 1)</f>
        <v>0.60259206924810804</v>
      </c>
      <c r="T14" s="7">
        <f>$B14 * IFERROR(VLOOKUP("buildings|NOx|Minor restricted activity days", US_national_yearly!$D:$AM, 28, FALSE) / VLOOKUP("buildings|NOx|Minor restricted activity days", US_national_yearly!$D:$AM, 10, FALSE), 1)</f>
        <v>0.60690695059085653</v>
      </c>
      <c r="U14" s="7">
        <f>$B14 * IFERROR(VLOOKUP("buildings|NOx|Minor restricted activity days", US_national_yearly!$D:$AM, 29, FALSE) / VLOOKUP("buildings|NOx|Minor restricted activity days", US_national_yearly!$D:$AM, 10, FALSE), 1)</f>
        <v>0.61122183193360524</v>
      </c>
      <c r="V14" s="7">
        <f>$B14 * IFERROR(VLOOKUP("buildings|NOx|Minor restricted activity days", US_national_yearly!$D:$AM, 30, FALSE) / VLOOKUP("buildings|NOx|Minor restricted activity days", US_national_yearly!$D:$AM, 10, FALSE), 1)</f>
        <v>0.61553671327635373</v>
      </c>
      <c r="W14" s="7">
        <f>$B14 * IFERROR(VLOOKUP("buildings|NOx|Minor restricted activity days", US_national_yearly!$D:$AM, 31, FALSE) / VLOOKUP("buildings|NOx|Minor restricted activity days", US_national_yearly!$D:$AM, 10, FALSE), 1)</f>
        <v>0.61985159461910222</v>
      </c>
      <c r="X14" s="7">
        <f>$B14 * IFERROR(VLOOKUP("buildings|NOx|Minor restricted activity days", US_national_yearly!$D:$AM, 32, FALSE) / VLOOKUP("buildings|NOx|Minor restricted activity days", US_national_yearly!$D:$AM, 10, FALSE), 1)</f>
        <v>0.62350086701254648</v>
      </c>
      <c r="Y14" s="7">
        <f>$B14 * IFERROR(VLOOKUP("buildings|NOx|Minor restricted activity days", US_national_yearly!$D:$AM, 33, FALSE) / VLOOKUP("buildings|NOx|Minor restricted activity days", US_national_yearly!$D:$AM, 10, FALSE), 1)</f>
        <v>0.62715013940599085</v>
      </c>
      <c r="Z14" s="7">
        <f>$B14 * IFERROR(VLOOKUP("buildings|NOx|Minor restricted activity days", US_national_yearly!$D:$AM, 34, FALSE) / VLOOKUP("buildings|NOx|Minor restricted activity days", US_national_yearly!$D:$AM, 10, FALSE), 1)</f>
        <v>0.63079941179943488</v>
      </c>
      <c r="AA14" s="7">
        <f>$B14 * IFERROR(VLOOKUP("buildings|NOx|Minor restricted activity days", US_national_yearly!$D:$AM, 35, FALSE) / VLOOKUP("buildings|NOx|Minor restricted activity days", US_national_yearly!$D:$AM, 10, FALSE), 1)</f>
        <v>0.63444868419287925</v>
      </c>
      <c r="AB14" s="7">
        <f>$B14 * IFERROR(VLOOKUP("buildings|NOx|Minor restricted activity days", US_national_yearly!$D:$AM, 36, FALSE) / VLOOKUP("buildings|NOx|Minor restricted activity days", US_national_yearly!$D:$AM, 10, FALSE), 1)</f>
        <v>0.63809795658632351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9.5005215554416184E-2</v>
      </c>
      <c r="C15" s="7">
        <f>$B15 * IFERROR(VLOOKUP("buildings|NOx|Work loss days", US_national_yearly!$D:$AM, 11, FALSE) / VLOOKUP("buildings|NOx|Work loss days", US_national_yearly!$D:$AM, 10, FALSE), 1)</f>
        <v>9.5218192077143216E-2</v>
      </c>
      <c r="D15" s="7">
        <f>$B15 * IFERROR(VLOOKUP("buildings|NOx|Work loss days", US_national_yearly!$D:$AM, 12, FALSE) / VLOOKUP("buildings|NOx|Work loss days", US_national_yearly!$D:$AM, 10, FALSE), 1)</f>
        <v>9.5431168599870234E-2</v>
      </c>
      <c r="E15" s="7">
        <f>$B15 * IFERROR(VLOOKUP("buildings|NOx|Work loss days", US_national_yearly!$D:$AM, 13, FALSE) / VLOOKUP("buildings|NOx|Work loss days", US_national_yearly!$D:$AM, 10, FALSE), 1)</f>
        <v>9.5644145122597252E-2</v>
      </c>
      <c r="F15" s="7">
        <f>$B15 * IFERROR(VLOOKUP("buildings|NOx|Work loss days", US_national_yearly!$D:$AM, 14, FALSE) / VLOOKUP("buildings|NOx|Work loss days", US_national_yearly!$D:$AM, 10, FALSE), 1)</f>
        <v>9.5857121645324297E-2</v>
      </c>
      <c r="G15" s="7">
        <f>$B15 * IFERROR(VLOOKUP("buildings|NOx|Work loss days", US_national_yearly!$D:$AM, 15, FALSE) / VLOOKUP("buildings|NOx|Work loss days", US_national_yearly!$D:$AM, 10, FALSE), 1)</f>
        <v>9.6167345828557779E-2</v>
      </c>
      <c r="H15" s="7">
        <f>$B15 * IFERROR(VLOOKUP("buildings|NOx|Work loss days", US_national_yearly!$D:$AM, 16, FALSE) / VLOOKUP("buildings|NOx|Work loss days", US_national_yearly!$D:$AM, 10, FALSE), 1)</f>
        <v>9.6477570011791275E-2</v>
      </c>
      <c r="I15" s="7">
        <f>$B15 * IFERROR(VLOOKUP("buildings|NOx|Work loss days", US_national_yearly!$D:$AM, 17, FALSE) / VLOOKUP("buildings|NOx|Work loss days", US_national_yearly!$D:$AM, 10, FALSE), 1)</f>
        <v>9.6979296023230438E-2</v>
      </c>
      <c r="J15" s="7">
        <f>$B15 * IFERROR(VLOOKUP("buildings|NOx|Work loss days", US_national_yearly!$D:$AM, 18, FALSE) / VLOOKUP("buildings|NOx|Work loss days", US_national_yearly!$D:$AM, 10, FALSE), 1)</f>
        <v>9.7481022034669573E-2</v>
      </c>
      <c r="K15" s="7">
        <f>$B15 * IFERROR(VLOOKUP("buildings|NOx|Work loss days", US_national_yearly!$D:$AM, 19, FALSE) / VLOOKUP("buildings|NOx|Work loss days", US_national_yearly!$D:$AM, 10, FALSE), 1)</f>
        <v>9.7982748046108722E-2</v>
      </c>
      <c r="L15" s="7">
        <f>$B15 * IFERROR(VLOOKUP("buildings|NOx|Work loss days", US_national_yearly!$D:$AM, 20, FALSE) / VLOOKUP("buildings|NOx|Work loss days", US_national_yearly!$D:$AM, 10, FALSE), 1)</f>
        <v>9.8484474057547886E-2</v>
      </c>
      <c r="M15" s="7">
        <f>$B15 * IFERROR(VLOOKUP("buildings|NOx|Work loss days", US_national_yearly!$D:$AM, 21, FALSE) / VLOOKUP("buildings|NOx|Work loss days", US_national_yearly!$D:$AM, 10, FALSE), 1)</f>
        <v>9.8986200068987021E-2</v>
      </c>
      <c r="N15" s="7">
        <f>$B15 * IFERROR(VLOOKUP("buildings|NOx|Work loss days", US_national_yearly!$D:$AM, 22, FALSE) / VLOOKUP("buildings|NOx|Work loss days", US_national_yearly!$D:$AM, 10, FALSE), 1)</f>
        <v>9.9638946437458298E-2</v>
      </c>
      <c r="O15" s="7">
        <f>$B15 * IFERROR(VLOOKUP("buildings|NOx|Work loss days", US_national_yearly!$D:$AM, 23, FALSE) / VLOOKUP("buildings|NOx|Work loss days", US_national_yearly!$D:$AM, 10, FALSE), 1)</f>
        <v>0.10029169280592959</v>
      </c>
      <c r="P15" s="7">
        <f>$B15 * IFERROR(VLOOKUP("buildings|NOx|Work loss days", US_national_yearly!$D:$AM, 24, FALSE) / VLOOKUP("buildings|NOx|Work loss days", US_national_yearly!$D:$AM, 10, FALSE), 1)</f>
        <v>0.10094443917440087</v>
      </c>
      <c r="Q15" s="7">
        <f>$B15 * IFERROR(VLOOKUP("buildings|NOx|Work loss days", US_national_yearly!$D:$AM, 25, FALSE) / VLOOKUP("buildings|NOx|Work loss days", US_national_yearly!$D:$AM, 10, FALSE), 1)</f>
        <v>0.10159718554287218</v>
      </c>
      <c r="R15" s="7">
        <f>$B15 * IFERROR(VLOOKUP("buildings|NOx|Work loss days", US_national_yearly!$D:$AM, 26, FALSE) / VLOOKUP("buildings|NOx|Work loss days", US_national_yearly!$D:$AM, 10, FALSE), 1)</f>
        <v>0.10224993191134346</v>
      </c>
      <c r="S15" s="7">
        <f>$B15 * IFERROR(VLOOKUP("buildings|NOx|Work loss days", US_national_yearly!$D:$AM, 27, FALSE) / VLOOKUP("buildings|NOx|Work loss days", US_national_yearly!$D:$AM, 10, FALSE), 1)</f>
        <v>0.10297730334606875</v>
      </c>
      <c r="T15" s="7">
        <f>$B15 * IFERROR(VLOOKUP("buildings|NOx|Work loss days", US_national_yearly!$D:$AM, 28, FALSE) / VLOOKUP("buildings|NOx|Work loss days", US_national_yearly!$D:$AM, 10, FALSE), 1)</f>
        <v>0.10370467478079406</v>
      </c>
      <c r="U15" s="7">
        <f>$B15 * IFERROR(VLOOKUP("buildings|NOx|Work loss days", US_national_yearly!$D:$AM, 29, FALSE) / VLOOKUP("buildings|NOx|Work loss days", US_national_yearly!$D:$AM, 10, FALSE), 1)</f>
        <v>0.10443204621551935</v>
      </c>
      <c r="V15" s="7">
        <f>$B15 * IFERROR(VLOOKUP("buildings|NOx|Work loss days", US_national_yearly!$D:$AM, 30, FALSE) / VLOOKUP("buildings|NOx|Work loss days", US_national_yearly!$D:$AM, 10, FALSE), 1)</f>
        <v>0.10515941765024464</v>
      </c>
      <c r="W15" s="7">
        <f>$B15 * IFERROR(VLOOKUP("buildings|NOx|Work loss days", US_national_yearly!$D:$AM, 31, FALSE) / VLOOKUP("buildings|NOx|Work loss days", US_national_yearly!$D:$AM, 10, FALSE), 1)</f>
        <v>0.10588678908496993</v>
      </c>
      <c r="X15" s="7">
        <f>$B15 * IFERROR(VLOOKUP("buildings|NOx|Work loss days", US_national_yearly!$D:$AM, 32, FALSE) / VLOOKUP("buildings|NOx|Work loss days", US_national_yearly!$D:$AM, 10, FALSE), 1)</f>
        <v>0.10651829946528268</v>
      </c>
      <c r="Y15" s="7">
        <f>$B15 * IFERROR(VLOOKUP("buildings|NOx|Work loss days", US_national_yearly!$D:$AM, 33, FALSE) / VLOOKUP("buildings|NOx|Work loss days", US_national_yearly!$D:$AM, 10, FALSE), 1)</f>
        <v>0.10714980984559543</v>
      </c>
      <c r="Z15" s="7">
        <f>$B15 * IFERROR(VLOOKUP("buildings|NOx|Work loss days", US_national_yearly!$D:$AM, 34, FALSE) / VLOOKUP("buildings|NOx|Work loss days", US_national_yearly!$D:$AM, 10, FALSE), 1)</f>
        <v>0.10778132022590817</v>
      </c>
      <c r="AA15" s="7">
        <f>$B15 * IFERROR(VLOOKUP("buildings|NOx|Work loss days", US_national_yearly!$D:$AM, 35, FALSE) / VLOOKUP("buildings|NOx|Work loss days", US_national_yearly!$D:$AM, 10, FALSE), 1)</f>
        <v>0.10841283060622092</v>
      </c>
      <c r="AB15" s="7">
        <f>$B15 * IFERROR(VLOOKUP("buildings|NOx|Work loss days", US_national_yearly!$D:$AM, 36, FALSE) / VLOOKUP("buildings|NOx|Work loss days", US_national_yearly!$D:$AM, 10, FALSE), 1)</f>
        <v>0.10904434098653366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1.15213278562397E-4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1.1860055918989192E-4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1.2198783981738689E-4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1.2537512044488182E-4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1.2876240107237676E-4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1.3198025606199349E-4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1.3519811105161021E-4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1.3790561832597309E-4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1.4061312560033592E-4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1.4332063287469878E-4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1.460281401490616E-4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1.4873564742342443E-4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1.5042928570995688E-4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1.5212292399648927E-4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1.5381656228302166E-4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1.5551020056955408E-4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1.5720383885608647E-4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1.5797771037821934E-4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1.5875158190035215E-4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1.5952545342248498E-4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1.6029932494461782E-4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1.6107319646675066E-4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1.6150454463953711E-4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1.619358928123236E-4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1.6236724098511008E-4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1.6279858915789656E-4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1.6322993733068302E-4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1.3332575001244989E-3</v>
      </c>
      <c r="C2" s="7">
        <f>$B2 * IFERROR(VLOOKUP("buildings|SO2|Premature mortality", US_national_yearly!$D:$AM, 11, FALSE) / VLOOKUP("buildings|SO2|Premature mortality", US_national_yearly!$D:$AM, 10, FALSE), 1)</f>
        <v>1.3501477552175919E-3</v>
      </c>
      <c r="D2" s="7">
        <f>$B2 * IFERROR(VLOOKUP("buildings|SO2|Premature mortality", US_national_yearly!$D:$AM, 12, FALSE) / VLOOKUP("buildings|SO2|Premature mortality", US_national_yearly!$D:$AM, 10, FALSE), 1)</f>
        <v>1.3670380103106845E-3</v>
      </c>
      <c r="E2" s="7">
        <f>$B2 * IFERROR(VLOOKUP("buildings|SO2|Premature mortality", US_national_yearly!$D:$AM, 13, FALSE) / VLOOKUP("buildings|SO2|Premature mortality", US_national_yearly!$D:$AM, 10, FALSE), 1)</f>
        <v>1.3839282654037775E-3</v>
      </c>
      <c r="F2" s="7">
        <f>$B2 * IFERROR(VLOOKUP("buildings|SO2|Premature mortality", US_national_yearly!$D:$AM, 14, FALSE) / VLOOKUP("buildings|SO2|Premature mortality", US_national_yearly!$D:$AM, 10, FALSE), 1)</f>
        <v>1.4008185204968705E-3</v>
      </c>
      <c r="G2" s="7">
        <f>$B2 * IFERROR(VLOOKUP("buildings|SO2|Premature mortality", US_national_yearly!$D:$AM, 15, FALSE) / VLOOKUP("buildings|SO2|Premature mortality", US_national_yearly!$D:$AM, 10, FALSE), 1)</f>
        <v>1.433362614907709E-3</v>
      </c>
      <c r="H2" s="7">
        <f>$B2 * IFERROR(VLOOKUP("buildings|SO2|Premature mortality", US_national_yearly!$D:$AM, 16, FALSE) / VLOOKUP("buildings|SO2|Premature mortality", US_national_yearly!$D:$AM, 10, FALSE), 1)</f>
        <v>1.465906709318548E-3</v>
      </c>
      <c r="I2" s="7">
        <f>$B2 * IFERROR(VLOOKUP("buildings|SO2|Premature mortality", US_national_yearly!$D:$AM, 17, FALSE) / VLOOKUP("buildings|SO2|Premature mortality", US_national_yearly!$D:$AM, 10, FALSE), 1)</f>
        <v>1.4874246776151524E-3</v>
      </c>
      <c r="J2" s="7">
        <f>$B2 * IFERROR(VLOOKUP("buildings|SO2|Premature mortality", US_national_yearly!$D:$AM, 18, FALSE) / VLOOKUP("buildings|SO2|Premature mortality", US_national_yearly!$D:$AM, 10, FALSE), 1)</f>
        <v>1.5089426459117565E-3</v>
      </c>
      <c r="K2" s="7">
        <f>$B2 * IFERROR(VLOOKUP("buildings|SO2|Premature mortality", US_national_yearly!$D:$AM, 19, FALSE) / VLOOKUP("buildings|SO2|Premature mortality", US_national_yearly!$D:$AM, 10, FALSE), 1)</f>
        <v>1.5304606142083608E-3</v>
      </c>
      <c r="L2" s="7">
        <f>$B2 * IFERROR(VLOOKUP("buildings|SO2|Premature mortality", US_national_yearly!$D:$AM, 20, FALSE) / VLOOKUP("buildings|SO2|Premature mortality", US_national_yearly!$D:$AM, 10, FALSE), 1)</f>
        <v>1.5519785825049647E-3</v>
      </c>
      <c r="M2" s="7">
        <f>$B2 * IFERROR(VLOOKUP("buildings|SO2|Premature mortality", US_national_yearly!$D:$AM, 21, FALSE) / VLOOKUP("buildings|SO2|Premature mortality", US_national_yearly!$D:$AM, 10, FALSE), 1)</f>
        <v>1.573496550801569E-3</v>
      </c>
      <c r="N2" s="7">
        <f>$B2 * IFERROR(VLOOKUP("buildings|SO2|Premature mortality", US_national_yearly!$D:$AM, 22, FALSE) / VLOOKUP("buildings|SO2|Premature mortality", US_national_yearly!$D:$AM, 10, FALSE), 1)</f>
        <v>1.5903056318006788E-3</v>
      </c>
      <c r="O2" s="7">
        <f>$B2 * IFERROR(VLOOKUP("buildings|SO2|Premature mortality", US_national_yearly!$D:$AM, 23, FALSE) / VLOOKUP("buildings|SO2|Premature mortality", US_national_yearly!$D:$AM, 10, FALSE), 1)</f>
        <v>1.6071147127997875E-3</v>
      </c>
      <c r="P2" s="7">
        <f>$B2 * IFERROR(VLOOKUP("buildings|SO2|Premature mortality", US_national_yearly!$D:$AM, 24, FALSE) / VLOOKUP("buildings|SO2|Premature mortality", US_national_yearly!$D:$AM, 10, FALSE), 1)</f>
        <v>1.6239237937988968E-3</v>
      </c>
      <c r="Q2" s="7">
        <f>$B2 * IFERROR(VLOOKUP("buildings|SO2|Premature mortality", US_national_yearly!$D:$AM, 25, FALSE) / VLOOKUP("buildings|SO2|Premature mortality", US_national_yearly!$D:$AM, 10, FALSE), 1)</f>
        <v>1.6407328747980057E-3</v>
      </c>
      <c r="R2" s="7">
        <f>$B2 * IFERROR(VLOOKUP("buildings|SO2|Premature mortality", US_national_yearly!$D:$AM, 26, FALSE) / VLOOKUP("buildings|SO2|Premature mortality", US_national_yearly!$D:$AM, 10, FALSE), 1)</f>
        <v>1.6575419557971151E-3</v>
      </c>
      <c r="S2" s="7">
        <f>$B2 * IFERROR(VLOOKUP("buildings|SO2|Premature mortality", US_national_yearly!$D:$AM, 27, FALSE) / VLOOKUP("buildings|SO2|Premature mortality", US_national_yearly!$D:$AM, 10, FALSE), 1)</f>
        <v>1.6665383678191462E-3</v>
      </c>
      <c r="T2" s="7">
        <f>$B2 * IFERROR(VLOOKUP("buildings|SO2|Premature mortality", US_national_yearly!$D:$AM, 28, FALSE) / VLOOKUP("buildings|SO2|Premature mortality", US_national_yearly!$D:$AM, 10, FALSE), 1)</f>
        <v>1.6755347798411775E-3</v>
      </c>
      <c r="U2" s="7">
        <f>$B2 * IFERROR(VLOOKUP("buildings|SO2|Premature mortality", US_national_yearly!$D:$AM, 29, FALSE) / VLOOKUP("buildings|SO2|Premature mortality", US_national_yearly!$D:$AM, 10, FALSE), 1)</f>
        <v>1.6845311918632084E-3</v>
      </c>
      <c r="V2" s="7">
        <f>$B2 * IFERROR(VLOOKUP("buildings|SO2|Premature mortality", US_national_yearly!$D:$AM, 30, FALSE) / VLOOKUP("buildings|SO2|Premature mortality", US_national_yearly!$D:$AM, 10, FALSE), 1)</f>
        <v>1.6935276038852398E-3</v>
      </c>
      <c r="W2" s="7">
        <f>$B2 * IFERROR(VLOOKUP("buildings|SO2|Premature mortality", US_national_yearly!$D:$AM, 31, FALSE) / VLOOKUP("buildings|SO2|Premature mortality", US_national_yearly!$D:$AM, 10, FALSE), 1)</f>
        <v>1.7025240159072709E-3</v>
      </c>
      <c r="X2" s="7">
        <f>$B2 * IFERROR(VLOOKUP("buildings|SO2|Premature mortality", US_national_yearly!$D:$AM, 32, FALSE) / VLOOKUP("buildings|SO2|Premature mortality", US_national_yearly!$D:$AM, 10, FALSE), 1)</f>
        <v>1.7043418755072126E-3</v>
      </c>
      <c r="Y2" s="7">
        <f>$B2 * IFERROR(VLOOKUP("buildings|SO2|Premature mortality", US_national_yearly!$D:$AM, 33, FALSE) / VLOOKUP("buildings|SO2|Premature mortality", US_national_yearly!$D:$AM, 10, FALSE), 1)</f>
        <v>1.7061597351071542E-3</v>
      </c>
      <c r="Z2" s="7">
        <f>$B2 * IFERROR(VLOOKUP("buildings|SO2|Premature mortality", US_national_yearly!$D:$AM, 34, FALSE) / VLOOKUP("buildings|SO2|Premature mortality", US_national_yearly!$D:$AM, 10, FALSE), 1)</f>
        <v>1.7079775947070957E-3</v>
      </c>
      <c r="AA2" s="7">
        <f>$B2 * IFERROR(VLOOKUP("buildings|SO2|Premature mortality", US_national_yearly!$D:$AM, 35, FALSE) / VLOOKUP("buildings|SO2|Premature mortality", US_national_yearly!$D:$AM, 10, FALSE), 1)</f>
        <v>1.7097954543070374E-3</v>
      </c>
      <c r="AB2" s="7">
        <f>$B2 * IFERROR(VLOOKUP("buildings|SO2|Premature mortality", US_national_yearly!$D:$AM, 36, FALSE) / VLOOKUP("buildings|SO2|Premature mortality", US_national_yearly!$D:$AM, 10, FALSE), 1)</f>
        <v>1.711613313906979E-3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4.132093205826143E-6</v>
      </c>
      <c r="C3" s="7">
        <f>$B3 * IFERROR(VLOOKUP("buildings|SO2|Infant mortality", US_national_yearly!$D:$AM, 11, FALSE) / VLOOKUP("buildings|SO2|Infant mortality", US_national_yearly!$D:$AM, 10, FALSE), 1)</f>
        <v>4.0966753523556679E-6</v>
      </c>
      <c r="D3" s="7">
        <f>$B3 * IFERROR(VLOOKUP("buildings|SO2|Infant mortality", US_national_yearly!$D:$AM, 12, FALSE) / VLOOKUP("buildings|SO2|Infant mortality", US_national_yearly!$D:$AM, 10, FALSE), 1)</f>
        <v>4.0612574988851936E-6</v>
      </c>
      <c r="E3" s="7">
        <f>$B3 * IFERROR(VLOOKUP("buildings|SO2|Infant mortality", US_national_yearly!$D:$AM, 13, FALSE) / VLOOKUP("buildings|SO2|Infant mortality", US_national_yearly!$D:$AM, 10, FALSE), 1)</f>
        <v>4.0258396454147194E-6</v>
      </c>
      <c r="F3" s="7">
        <f>$B3 * IFERROR(VLOOKUP("buildings|SO2|Infant mortality", US_national_yearly!$D:$AM, 14, FALSE) / VLOOKUP("buildings|SO2|Infant mortality", US_national_yearly!$D:$AM, 10, FALSE), 1)</f>
        <v>3.9904217919442451E-6</v>
      </c>
      <c r="G3" s="7">
        <f>$B3 * IFERROR(VLOOKUP("buildings|SO2|Infant mortality", US_national_yearly!$D:$AM, 15, FALSE) / VLOOKUP("buildings|SO2|Infant mortality", US_national_yearly!$D:$AM, 10, FALSE), 1)</f>
        <v>2.6574628259187336E-6</v>
      </c>
      <c r="H3" s="7">
        <f>$B3 * IFERROR(VLOOKUP("buildings|SO2|Infant mortality", US_national_yearly!$D:$AM, 16, FALSE) / VLOOKUP("buildings|SO2|Infant mortality", US_national_yearly!$D:$AM, 10, FALSE), 1)</f>
        <v>1.3245038598932218E-6</v>
      </c>
      <c r="I3" s="7">
        <f>$B3 * IFERROR(VLOOKUP("buildings|SO2|Infant mortality", US_national_yearly!$D:$AM, 17, FALSE) / VLOOKUP("buildings|SO2|Infant mortality", US_national_yearly!$D:$AM, 10, FALSE), 1)</f>
        <v>1.3161937764113373E-6</v>
      </c>
      <c r="J3" s="7">
        <f>$B3 * IFERROR(VLOOKUP("buildings|SO2|Infant mortality", US_national_yearly!$D:$AM, 18, FALSE) / VLOOKUP("buildings|SO2|Infant mortality", US_national_yearly!$D:$AM, 10, FALSE), 1)</f>
        <v>1.3078836929294526E-6</v>
      </c>
      <c r="K3" s="7">
        <f>$B3 * IFERROR(VLOOKUP("buildings|SO2|Infant mortality", US_national_yearly!$D:$AM, 19, FALSE) / VLOOKUP("buildings|SO2|Infant mortality", US_national_yearly!$D:$AM, 10, FALSE), 1)</f>
        <v>1.2995736094475681E-6</v>
      </c>
      <c r="L3" s="7">
        <f>$B3 * IFERROR(VLOOKUP("buildings|SO2|Infant mortality", US_national_yearly!$D:$AM, 20, FALSE) / VLOOKUP("buildings|SO2|Infant mortality", US_national_yearly!$D:$AM, 10, FALSE), 1)</f>
        <v>1.2912635259656832E-6</v>
      </c>
      <c r="M3" s="7">
        <f>$B3 * IFERROR(VLOOKUP("buildings|SO2|Infant mortality", US_national_yearly!$D:$AM, 21, FALSE) / VLOOKUP("buildings|SO2|Infant mortality", US_national_yearly!$D:$AM, 10, FALSE), 1)</f>
        <v>1.2829534424837987E-6</v>
      </c>
      <c r="N3" s="7">
        <f>$B3 * IFERROR(VLOOKUP("buildings|SO2|Infant mortality", US_national_yearly!$D:$AM, 22, FALSE) / VLOOKUP("buildings|SO2|Infant mortality", US_national_yearly!$D:$AM, 10, FALSE), 1)</f>
        <v>1.2777439029376431E-6</v>
      </c>
      <c r="O3" s="7">
        <f>$B3 * IFERROR(VLOOKUP("buildings|SO2|Infant mortality", US_national_yearly!$D:$AM, 23, FALSE) / VLOOKUP("buildings|SO2|Infant mortality", US_national_yearly!$D:$AM, 10, FALSE), 1)</f>
        <v>1.2725343633914877E-6</v>
      </c>
      <c r="P3" s="7">
        <f>$B3 * IFERROR(VLOOKUP("buildings|SO2|Infant mortality", US_national_yearly!$D:$AM, 24, FALSE) / VLOOKUP("buildings|SO2|Infant mortality", US_national_yearly!$D:$AM, 10, FALSE), 1)</f>
        <v>1.2673248238453322E-6</v>
      </c>
      <c r="Q3" s="7">
        <f>$B3 * IFERROR(VLOOKUP("buildings|SO2|Infant mortality", US_national_yearly!$D:$AM, 25, FALSE) / VLOOKUP("buildings|SO2|Infant mortality", US_national_yearly!$D:$AM, 10, FALSE), 1)</f>
        <v>1.2621152842991766E-6</v>
      </c>
      <c r="R3" s="7">
        <f>$B3 * IFERROR(VLOOKUP("buildings|SO2|Infant mortality", US_national_yearly!$D:$AM, 26, FALSE) / VLOOKUP("buildings|SO2|Infant mortality", US_national_yearly!$D:$AM, 10, FALSE), 1)</f>
        <v>1.256905744753021E-6</v>
      </c>
      <c r="S3" s="7">
        <f>$B3 * IFERROR(VLOOKUP("buildings|SO2|Infant mortality", US_national_yearly!$D:$AM, 27, FALSE) / VLOOKUP("buildings|SO2|Infant mortality", US_national_yearly!$D:$AM, 10, FALSE), 1)</f>
        <v>1.2503642146685702E-6</v>
      </c>
      <c r="T3" s="7">
        <f>$B3 * IFERROR(VLOOKUP("buildings|SO2|Infant mortality", US_national_yearly!$D:$AM, 28, FALSE) / VLOOKUP("buildings|SO2|Infant mortality", US_national_yearly!$D:$AM, 10, FALSE), 1)</f>
        <v>1.2438226845841192E-6</v>
      </c>
      <c r="U3" s="7">
        <f>$B3 * IFERROR(VLOOKUP("buildings|SO2|Infant mortality", US_national_yearly!$D:$AM, 29, FALSE) / VLOOKUP("buildings|SO2|Infant mortality", US_national_yearly!$D:$AM, 10, FALSE), 1)</f>
        <v>1.2372811544996684E-6</v>
      </c>
      <c r="V3" s="7">
        <f>$B3 * IFERROR(VLOOKUP("buildings|SO2|Infant mortality", US_national_yearly!$D:$AM, 30, FALSE) / VLOOKUP("buildings|SO2|Infant mortality", US_national_yearly!$D:$AM, 10, FALSE), 1)</f>
        <v>1.2307396244152173E-6</v>
      </c>
      <c r="W3" s="7">
        <f>$B3 * IFERROR(VLOOKUP("buildings|SO2|Infant mortality", US_national_yearly!$D:$AM, 31, FALSE) / VLOOKUP("buildings|SO2|Infant mortality", US_national_yearly!$D:$AM, 10, FALSE), 1)</f>
        <v>1.2241980943307663E-6</v>
      </c>
      <c r="X3" s="7">
        <f>$B3 * IFERROR(VLOOKUP("buildings|SO2|Infant mortality", US_national_yearly!$D:$AM, 32, FALSE) / VLOOKUP("buildings|SO2|Infant mortality", US_national_yearly!$D:$AM, 10, FALSE), 1)</f>
        <v>1.217053706962778E-6</v>
      </c>
      <c r="Y3" s="7">
        <f>$B3 * IFERROR(VLOOKUP("buildings|SO2|Infant mortality", US_national_yearly!$D:$AM, 33, FALSE) / VLOOKUP("buildings|SO2|Infant mortality", US_national_yearly!$D:$AM, 10, FALSE), 1)</f>
        <v>1.20990931959479E-6</v>
      </c>
      <c r="Z3" s="7">
        <f>$B3 * IFERROR(VLOOKUP("buildings|SO2|Infant mortality", US_national_yearly!$D:$AM, 34, FALSE) / VLOOKUP("buildings|SO2|Infant mortality", US_national_yearly!$D:$AM, 10, FALSE), 1)</f>
        <v>1.202764932226802E-6</v>
      </c>
      <c r="AA3" s="7">
        <f>$B3 * IFERROR(VLOOKUP("buildings|SO2|Infant mortality", US_national_yearly!$D:$AM, 35, FALSE) / VLOOKUP("buildings|SO2|Infant mortality", US_national_yearly!$D:$AM, 10, FALSE), 1)</f>
        <v>1.1956205448588135E-6</v>
      </c>
      <c r="AB3" s="7">
        <f>$B3 * IFERROR(VLOOKUP("buildings|SO2|Infant mortality", US_national_yearly!$D:$AM, 36, FALSE) / VLOOKUP("buildings|SO2|Infant mortality", US_national_yearly!$D:$AM, 10, FALSE), 1)</f>
        <v>1.1884761574908255E-6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4.6825027733536275E-3</v>
      </c>
      <c r="C6" s="7">
        <f>$B6 * IFERROR(VLOOKUP("buildings|SO2|Asthma symptoms cough", US_national_yearly!$D:$AM, 11, FALSE) / VLOOKUP("buildings|SO2|Asthma symptoms cough", US_national_yearly!$D:$AM, 10, FALSE), 1)</f>
        <v>4.6825027733536275E-3</v>
      </c>
      <c r="D6" s="7">
        <f>$B6 * IFERROR(VLOOKUP("buildings|SO2|Asthma symptoms cough", US_national_yearly!$D:$AM, 12, FALSE) / VLOOKUP("buildings|SO2|Asthma symptoms cough", US_national_yearly!$D:$AM, 10, FALSE), 1)</f>
        <v>4.6825027733536275E-3</v>
      </c>
      <c r="E6" s="7">
        <f>$B6 * IFERROR(VLOOKUP("buildings|SO2|Asthma symptoms cough", US_national_yearly!$D:$AM, 13, FALSE) / VLOOKUP("buildings|SO2|Asthma symptoms cough", US_national_yearly!$D:$AM, 10, FALSE), 1)</f>
        <v>4.6825027733536275E-3</v>
      </c>
      <c r="F6" s="7">
        <f>$B6 * IFERROR(VLOOKUP("buildings|SO2|Asthma symptoms cough", US_national_yearly!$D:$AM, 14, FALSE) / VLOOKUP("buildings|SO2|Asthma symptoms cough", US_national_yearly!$D:$AM, 10, FALSE), 1)</f>
        <v>4.6825027733536275E-3</v>
      </c>
      <c r="G6" s="7">
        <f>$B6 * IFERROR(VLOOKUP("buildings|SO2|Asthma symptoms cough", US_national_yearly!$D:$AM, 15, FALSE) / VLOOKUP("buildings|SO2|Asthma symptoms cough", US_national_yearly!$D:$AM, 10, FALSE), 1)</f>
        <v>4.6825027733536275E-3</v>
      </c>
      <c r="H6" s="7">
        <f>$B6 * IFERROR(VLOOKUP("buildings|SO2|Asthma symptoms cough", US_national_yearly!$D:$AM, 16, FALSE) / VLOOKUP("buildings|SO2|Asthma symptoms cough", US_national_yearly!$D:$AM, 10, FALSE), 1)</f>
        <v>4.6825027733536275E-3</v>
      </c>
      <c r="I6" s="7">
        <f>$B6 * IFERROR(VLOOKUP("buildings|SO2|Asthma symptoms cough", US_national_yearly!$D:$AM, 17, FALSE) / VLOOKUP("buildings|SO2|Asthma symptoms cough", US_national_yearly!$D:$AM, 10, FALSE), 1)</f>
        <v>4.6825027733536275E-3</v>
      </c>
      <c r="J6" s="7">
        <f>$B6 * IFERROR(VLOOKUP("buildings|SO2|Asthma symptoms cough", US_national_yearly!$D:$AM, 18, FALSE) / VLOOKUP("buildings|SO2|Asthma symptoms cough", US_national_yearly!$D:$AM, 10, FALSE), 1)</f>
        <v>4.6825027733536275E-3</v>
      </c>
      <c r="K6" s="7">
        <f>$B6 * IFERROR(VLOOKUP("buildings|SO2|Asthma symptoms cough", US_national_yearly!$D:$AM, 19, FALSE) / VLOOKUP("buildings|SO2|Asthma symptoms cough", US_national_yearly!$D:$AM, 10, FALSE), 1)</f>
        <v>4.6825027733536275E-3</v>
      </c>
      <c r="L6" s="7">
        <f>$B6 * IFERROR(VLOOKUP("buildings|SO2|Asthma symptoms cough", US_national_yearly!$D:$AM, 20, FALSE) / VLOOKUP("buildings|SO2|Asthma symptoms cough", US_national_yearly!$D:$AM, 10, FALSE), 1)</f>
        <v>4.6825027733536275E-3</v>
      </c>
      <c r="M6" s="7">
        <f>$B6 * IFERROR(VLOOKUP("buildings|SO2|Asthma symptoms cough", US_national_yearly!$D:$AM, 21, FALSE) / VLOOKUP("buildings|SO2|Asthma symptoms cough", US_national_yearly!$D:$AM, 10, FALSE), 1)</f>
        <v>4.6825027733536275E-3</v>
      </c>
      <c r="N6" s="7">
        <f>$B6 * IFERROR(VLOOKUP("buildings|SO2|Asthma symptoms cough", US_national_yearly!$D:$AM, 22, FALSE) / VLOOKUP("buildings|SO2|Asthma symptoms cough", US_national_yearly!$D:$AM, 10, FALSE), 1)</f>
        <v>4.6825027733536275E-3</v>
      </c>
      <c r="O6" s="7">
        <f>$B6 * IFERROR(VLOOKUP("buildings|SO2|Asthma symptoms cough", US_national_yearly!$D:$AM, 23, FALSE) / VLOOKUP("buildings|SO2|Asthma symptoms cough", US_national_yearly!$D:$AM, 10, FALSE), 1)</f>
        <v>4.6825027733536275E-3</v>
      </c>
      <c r="P6" s="7">
        <f>$B6 * IFERROR(VLOOKUP("buildings|SO2|Asthma symptoms cough", US_national_yearly!$D:$AM, 24, FALSE) / VLOOKUP("buildings|SO2|Asthma symptoms cough", US_national_yearly!$D:$AM, 10, FALSE), 1)</f>
        <v>4.6825027733536275E-3</v>
      </c>
      <c r="Q6" s="7">
        <f>$B6 * IFERROR(VLOOKUP("buildings|SO2|Asthma symptoms cough", US_national_yearly!$D:$AM, 25, FALSE) / VLOOKUP("buildings|SO2|Asthma symptoms cough", US_national_yearly!$D:$AM, 10, FALSE), 1)</f>
        <v>4.6825027733536275E-3</v>
      </c>
      <c r="R6" s="7">
        <f>$B6 * IFERROR(VLOOKUP("buildings|SO2|Asthma symptoms cough", US_national_yearly!$D:$AM, 26, FALSE) / VLOOKUP("buildings|SO2|Asthma symptoms cough", US_national_yearly!$D:$AM, 10, FALSE), 1)</f>
        <v>4.6825027733536275E-3</v>
      </c>
      <c r="S6" s="7">
        <f>$B6 * IFERROR(VLOOKUP("buildings|SO2|Asthma symptoms cough", US_national_yearly!$D:$AM, 27, FALSE) / VLOOKUP("buildings|SO2|Asthma symptoms cough", US_national_yearly!$D:$AM, 10, FALSE), 1)</f>
        <v>4.6825027733536275E-3</v>
      </c>
      <c r="T6" s="7">
        <f>$B6 * IFERROR(VLOOKUP("buildings|SO2|Asthma symptoms cough", US_national_yearly!$D:$AM, 28, FALSE) / VLOOKUP("buildings|SO2|Asthma symptoms cough", US_national_yearly!$D:$AM, 10, FALSE), 1)</f>
        <v>4.6825027733536275E-3</v>
      </c>
      <c r="U6" s="7">
        <f>$B6 * IFERROR(VLOOKUP("buildings|SO2|Asthma symptoms cough", US_national_yearly!$D:$AM, 29, FALSE) / VLOOKUP("buildings|SO2|Asthma symptoms cough", US_national_yearly!$D:$AM, 10, FALSE), 1)</f>
        <v>4.6825027733536275E-3</v>
      </c>
      <c r="V6" s="7">
        <f>$B6 * IFERROR(VLOOKUP("buildings|SO2|Asthma symptoms cough", US_national_yearly!$D:$AM, 30, FALSE) / VLOOKUP("buildings|SO2|Asthma symptoms cough", US_national_yearly!$D:$AM, 10, FALSE), 1)</f>
        <v>4.6825027733536275E-3</v>
      </c>
      <c r="W6" s="7">
        <f>$B6 * IFERROR(VLOOKUP("buildings|SO2|Asthma symptoms cough", US_national_yearly!$D:$AM, 31, FALSE) / VLOOKUP("buildings|SO2|Asthma symptoms cough", US_national_yearly!$D:$AM, 10, FALSE), 1)</f>
        <v>4.6825027733536275E-3</v>
      </c>
      <c r="X6" s="7">
        <f>$B6 * IFERROR(VLOOKUP("buildings|SO2|Asthma symptoms cough", US_national_yearly!$D:$AM, 32, FALSE) / VLOOKUP("buildings|SO2|Asthma symptoms cough", US_national_yearly!$D:$AM, 10, FALSE), 1)</f>
        <v>4.6825027733536275E-3</v>
      </c>
      <c r="Y6" s="7">
        <f>$B6 * IFERROR(VLOOKUP("buildings|SO2|Asthma symptoms cough", US_national_yearly!$D:$AM, 33, FALSE) / VLOOKUP("buildings|SO2|Asthma symptoms cough", US_national_yearly!$D:$AM, 10, FALSE), 1)</f>
        <v>4.6825027733536275E-3</v>
      </c>
      <c r="Z6" s="7">
        <f>$B6 * IFERROR(VLOOKUP("buildings|SO2|Asthma symptoms cough", US_national_yearly!$D:$AM, 34, FALSE) / VLOOKUP("buildings|SO2|Asthma symptoms cough", US_national_yearly!$D:$AM, 10, FALSE), 1)</f>
        <v>4.6825027733536275E-3</v>
      </c>
      <c r="AA6" s="7">
        <f>$B6 * IFERROR(VLOOKUP("buildings|SO2|Asthma symptoms cough", US_national_yearly!$D:$AM, 35, FALSE) / VLOOKUP("buildings|SO2|Asthma symptoms cough", US_national_yearly!$D:$AM, 10, FALSE), 1)</f>
        <v>4.6825027733536275E-3</v>
      </c>
      <c r="AB6" s="7">
        <f>$B6 * IFERROR(VLOOKUP("buildings|SO2|Asthma symptoms cough", US_national_yearly!$D:$AM, 36, FALSE) / VLOOKUP("buildings|SO2|Asthma symptoms cough", US_national_yearly!$D:$AM, 10, FALSE), 1)</f>
        <v>4.6825027733536275E-3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6.3056763944129785E-3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6.3056763944129785E-3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6.3056763944129785E-3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6.3056763944129785E-3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6.3056763944129785E-3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6.3056763944129785E-3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6.3056763944129785E-3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6.3056763944129785E-3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6.3056763944129785E-3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6.3056763944129785E-3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6.3056763944129785E-3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6.3056763944129785E-3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6.3056763944129785E-3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6.3056763944129785E-3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6.3056763944129785E-3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6.3056763944129785E-3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6.3056763944129785E-3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6.3056763944129785E-3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6.3056763944129785E-3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6.3056763944129785E-3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6.3056763944129785E-3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6.3056763944129785E-3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6.3056763944129785E-3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6.3056763944129785E-3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6.3056763944129785E-3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6.3056763944129785E-3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6.3056763944129785E-3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9.6339800154057863E-3</v>
      </c>
      <c r="C8" s="7">
        <f>$B8 * IFERROR(VLOOKUP("buildings|SO2|Asthma symptoms wheeze", US_national_yearly!$D:$AM, 11, FALSE) / VLOOKUP("buildings|SO2|Asthma symptoms wheeze", US_national_yearly!$D:$AM, 10, FALSE), 1)</f>
        <v>9.6339800154057863E-3</v>
      </c>
      <c r="D8" s="7">
        <f>$B8 * IFERROR(VLOOKUP("buildings|SO2|Asthma symptoms wheeze", US_national_yearly!$D:$AM, 12, FALSE) / VLOOKUP("buildings|SO2|Asthma symptoms wheeze", US_national_yearly!$D:$AM, 10, FALSE), 1)</f>
        <v>9.6339800154057863E-3</v>
      </c>
      <c r="E8" s="7">
        <f>$B8 * IFERROR(VLOOKUP("buildings|SO2|Asthma symptoms wheeze", US_national_yearly!$D:$AM, 13, FALSE) / VLOOKUP("buildings|SO2|Asthma symptoms wheeze", US_national_yearly!$D:$AM, 10, FALSE), 1)</f>
        <v>9.6339800154057863E-3</v>
      </c>
      <c r="F8" s="7">
        <f>$B8 * IFERROR(VLOOKUP("buildings|SO2|Asthma symptoms wheeze", US_national_yearly!$D:$AM, 14, FALSE) / VLOOKUP("buildings|SO2|Asthma symptoms wheeze", US_national_yearly!$D:$AM, 10, FALSE), 1)</f>
        <v>9.6339800154057863E-3</v>
      </c>
      <c r="G8" s="7">
        <f>$B8 * IFERROR(VLOOKUP("buildings|SO2|Asthma symptoms wheeze", US_national_yearly!$D:$AM, 15, FALSE) / VLOOKUP("buildings|SO2|Asthma symptoms wheeze", US_national_yearly!$D:$AM, 10, FALSE), 1)</f>
        <v>9.6339800154057863E-3</v>
      </c>
      <c r="H8" s="7">
        <f>$B8 * IFERROR(VLOOKUP("buildings|SO2|Asthma symptoms wheeze", US_national_yearly!$D:$AM, 16, FALSE) / VLOOKUP("buildings|SO2|Asthma symptoms wheeze", US_national_yearly!$D:$AM, 10, FALSE), 1)</f>
        <v>9.6339800154057863E-3</v>
      </c>
      <c r="I8" s="7">
        <f>$B8 * IFERROR(VLOOKUP("buildings|SO2|Asthma symptoms wheeze", US_national_yearly!$D:$AM, 17, FALSE) / VLOOKUP("buildings|SO2|Asthma symptoms wheeze", US_national_yearly!$D:$AM, 10, FALSE), 1)</f>
        <v>9.6339800154057863E-3</v>
      </c>
      <c r="J8" s="7">
        <f>$B8 * IFERROR(VLOOKUP("buildings|SO2|Asthma symptoms wheeze", US_national_yearly!$D:$AM, 18, FALSE) / VLOOKUP("buildings|SO2|Asthma symptoms wheeze", US_national_yearly!$D:$AM, 10, FALSE), 1)</f>
        <v>9.6339800154057863E-3</v>
      </c>
      <c r="K8" s="7">
        <f>$B8 * IFERROR(VLOOKUP("buildings|SO2|Asthma symptoms wheeze", US_national_yearly!$D:$AM, 19, FALSE) / VLOOKUP("buildings|SO2|Asthma symptoms wheeze", US_national_yearly!$D:$AM, 10, FALSE), 1)</f>
        <v>9.6339800154057863E-3</v>
      </c>
      <c r="L8" s="7">
        <f>$B8 * IFERROR(VLOOKUP("buildings|SO2|Asthma symptoms wheeze", US_national_yearly!$D:$AM, 20, FALSE) / VLOOKUP("buildings|SO2|Asthma symptoms wheeze", US_national_yearly!$D:$AM, 10, FALSE), 1)</f>
        <v>9.6339800154057863E-3</v>
      </c>
      <c r="M8" s="7">
        <f>$B8 * IFERROR(VLOOKUP("buildings|SO2|Asthma symptoms wheeze", US_national_yearly!$D:$AM, 21, FALSE) / VLOOKUP("buildings|SO2|Asthma symptoms wheeze", US_national_yearly!$D:$AM, 10, FALSE), 1)</f>
        <v>9.6339800154057863E-3</v>
      </c>
      <c r="N8" s="7">
        <f>$B8 * IFERROR(VLOOKUP("buildings|SO2|Asthma symptoms wheeze", US_national_yearly!$D:$AM, 22, FALSE) / VLOOKUP("buildings|SO2|Asthma symptoms wheeze", US_national_yearly!$D:$AM, 10, FALSE), 1)</f>
        <v>9.6339800154057863E-3</v>
      </c>
      <c r="O8" s="7">
        <f>$B8 * IFERROR(VLOOKUP("buildings|SO2|Asthma symptoms wheeze", US_national_yearly!$D:$AM, 23, FALSE) / VLOOKUP("buildings|SO2|Asthma symptoms wheeze", US_national_yearly!$D:$AM, 10, FALSE), 1)</f>
        <v>9.6339800154057863E-3</v>
      </c>
      <c r="P8" s="7">
        <f>$B8 * IFERROR(VLOOKUP("buildings|SO2|Asthma symptoms wheeze", US_national_yearly!$D:$AM, 24, FALSE) / VLOOKUP("buildings|SO2|Asthma symptoms wheeze", US_national_yearly!$D:$AM, 10, FALSE), 1)</f>
        <v>9.6339800154057863E-3</v>
      </c>
      <c r="Q8" s="7">
        <f>$B8 * IFERROR(VLOOKUP("buildings|SO2|Asthma symptoms wheeze", US_national_yearly!$D:$AM, 25, FALSE) / VLOOKUP("buildings|SO2|Asthma symptoms wheeze", US_national_yearly!$D:$AM, 10, FALSE), 1)</f>
        <v>9.6339800154057863E-3</v>
      </c>
      <c r="R8" s="7">
        <f>$B8 * IFERROR(VLOOKUP("buildings|SO2|Asthma symptoms wheeze", US_national_yearly!$D:$AM, 26, FALSE) / VLOOKUP("buildings|SO2|Asthma symptoms wheeze", US_national_yearly!$D:$AM, 10, FALSE), 1)</f>
        <v>9.6339800154057863E-3</v>
      </c>
      <c r="S8" s="7">
        <f>$B8 * IFERROR(VLOOKUP("buildings|SO2|Asthma symptoms wheeze", US_national_yearly!$D:$AM, 27, FALSE) / VLOOKUP("buildings|SO2|Asthma symptoms wheeze", US_national_yearly!$D:$AM, 10, FALSE), 1)</f>
        <v>9.6339800154057863E-3</v>
      </c>
      <c r="T8" s="7">
        <f>$B8 * IFERROR(VLOOKUP("buildings|SO2|Asthma symptoms wheeze", US_national_yearly!$D:$AM, 28, FALSE) / VLOOKUP("buildings|SO2|Asthma symptoms wheeze", US_national_yearly!$D:$AM, 10, FALSE), 1)</f>
        <v>9.6339800154057863E-3</v>
      </c>
      <c r="U8" s="7">
        <f>$B8 * IFERROR(VLOOKUP("buildings|SO2|Asthma symptoms wheeze", US_national_yearly!$D:$AM, 29, FALSE) / VLOOKUP("buildings|SO2|Asthma symptoms wheeze", US_national_yearly!$D:$AM, 10, FALSE), 1)</f>
        <v>9.6339800154057863E-3</v>
      </c>
      <c r="V8" s="7">
        <f>$B8 * IFERROR(VLOOKUP("buildings|SO2|Asthma symptoms wheeze", US_national_yearly!$D:$AM, 30, FALSE) / VLOOKUP("buildings|SO2|Asthma symptoms wheeze", US_national_yearly!$D:$AM, 10, FALSE), 1)</f>
        <v>9.6339800154057863E-3</v>
      </c>
      <c r="W8" s="7">
        <f>$B8 * IFERROR(VLOOKUP("buildings|SO2|Asthma symptoms wheeze", US_national_yearly!$D:$AM, 31, FALSE) / VLOOKUP("buildings|SO2|Asthma symptoms wheeze", US_national_yearly!$D:$AM, 10, FALSE), 1)</f>
        <v>9.6339800154057863E-3</v>
      </c>
      <c r="X8" s="7">
        <f>$B8 * IFERROR(VLOOKUP("buildings|SO2|Asthma symptoms wheeze", US_national_yearly!$D:$AM, 32, FALSE) / VLOOKUP("buildings|SO2|Asthma symptoms wheeze", US_national_yearly!$D:$AM, 10, FALSE), 1)</f>
        <v>9.6339800154057863E-3</v>
      </c>
      <c r="Y8" s="7">
        <f>$B8 * IFERROR(VLOOKUP("buildings|SO2|Asthma symptoms wheeze", US_national_yearly!$D:$AM, 33, FALSE) / VLOOKUP("buildings|SO2|Asthma symptoms wheeze", US_national_yearly!$D:$AM, 10, FALSE), 1)</f>
        <v>9.6339800154057863E-3</v>
      </c>
      <c r="Z8" s="7">
        <f>$B8 * IFERROR(VLOOKUP("buildings|SO2|Asthma symptoms wheeze", US_national_yearly!$D:$AM, 34, FALSE) / VLOOKUP("buildings|SO2|Asthma symptoms wheeze", US_national_yearly!$D:$AM, 10, FALSE), 1)</f>
        <v>9.6339800154057863E-3</v>
      </c>
      <c r="AA8" s="7">
        <f>$B8 * IFERROR(VLOOKUP("buildings|SO2|Asthma symptoms wheeze", US_national_yearly!$D:$AM, 35, FALSE) / VLOOKUP("buildings|SO2|Asthma symptoms wheeze", US_national_yearly!$D:$AM, 10, FALSE), 1)</f>
        <v>9.6339800154057863E-3</v>
      </c>
      <c r="AB8" s="7">
        <f>$B8 * IFERROR(VLOOKUP("buildings|SO2|Asthma symptoms wheeze", US_national_yearly!$D:$AM, 36, FALSE) / VLOOKUP("buildings|SO2|Asthma symptoms wheeze", US_national_yearly!$D:$AM, 10, FALSE), 1)</f>
        <v>9.6339800154057863E-3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1.2017742703461233E-4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1.2088724094907404E-4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1.2159705486353575E-4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1.2230686877799746E-4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1.2301668269245914E-4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1.2379029043260674E-4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1.2456389817275436E-4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1.2532521353362578E-4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1.2608652889449726E-4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1.2684784425536871E-4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1.2760915961624016E-4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1.2837047497711164E-4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1.2892636121926391E-4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1.2948224746141618E-4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1.3003813370356847E-4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1.3059401994572074E-4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1.3114990618787303E-4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1.3167995024491747E-4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1.3220999430196194E-4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1.3274003835900638E-4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1.3327008241605082E-4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1.3380012647309529E-4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1.3430380662306563E-4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1.3480748677303602E-4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1.3531116692300639E-4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1.3581484707297676E-4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1.3631852722294715E-4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6.9958193372345371E-4</v>
      </c>
      <c r="C13" s="7">
        <f>$B13 * IFERROR(VLOOKUP("buildings|SO2|Non-fatal heart attacks", US_national_yearly!$D:$AM, 11, FALSE) / VLOOKUP("buildings|SO2|Non-fatal heart attacks", US_national_yearly!$D:$AM, 10, FALSE), 1)</f>
        <v>7.2012575809878693E-4</v>
      </c>
      <c r="D13" s="7">
        <f>$B13 * IFERROR(VLOOKUP("buildings|SO2|Non-fatal heart attacks", US_national_yearly!$D:$AM, 12, FALSE) / VLOOKUP("buildings|SO2|Non-fatal heart attacks", US_national_yearly!$D:$AM, 10, FALSE), 1)</f>
        <v>7.4066958247411994E-4</v>
      </c>
      <c r="E13" s="7">
        <f>$B13 * IFERROR(VLOOKUP("buildings|SO2|Non-fatal heart attacks", US_national_yearly!$D:$AM, 13, FALSE) / VLOOKUP("buildings|SO2|Non-fatal heart attacks", US_national_yearly!$D:$AM, 10, FALSE), 1)</f>
        <v>7.6121340684945295E-4</v>
      </c>
      <c r="F13" s="7">
        <f>$B13 * IFERROR(VLOOKUP("buildings|SO2|Non-fatal heart attacks", US_national_yearly!$D:$AM, 14, FALSE) / VLOOKUP("buildings|SO2|Non-fatal heart attacks", US_national_yearly!$D:$AM, 10, FALSE), 1)</f>
        <v>7.8175723122478607E-4</v>
      </c>
      <c r="G13" s="7">
        <f>$B13 * IFERROR(VLOOKUP("buildings|SO2|Non-fatal heart attacks", US_national_yearly!$D:$AM, 15, FALSE) / VLOOKUP("buildings|SO2|Non-fatal heart attacks", US_national_yearly!$D:$AM, 10, FALSE), 1)</f>
        <v>8.0113337092472181E-4</v>
      </c>
      <c r="H13" s="7">
        <f>$B13 * IFERROR(VLOOKUP("buildings|SO2|Non-fatal heart attacks", US_national_yearly!$D:$AM, 16, FALSE) / VLOOKUP("buildings|SO2|Non-fatal heart attacks", US_national_yearly!$D:$AM, 10, FALSE), 1)</f>
        <v>8.2050951062465755E-4</v>
      </c>
      <c r="I13" s="7">
        <f>$B13 * IFERROR(VLOOKUP("buildings|SO2|Non-fatal heart attacks", US_national_yearly!$D:$AM, 17, FALSE) / VLOOKUP("buildings|SO2|Non-fatal heart attacks", US_national_yearly!$D:$AM, 10, FALSE), 1)</f>
        <v>8.3610601875952527E-4</v>
      </c>
      <c r="J13" s="7">
        <f>$B13 * IFERROR(VLOOKUP("buildings|SO2|Non-fatal heart attacks", US_national_yearly!$D:$AM, 18, FALSE) / VLOOKUP("buildings|SO2|Non-fatal heart attacks", US_national_yearly!$D:$AM, 10, FALSE), 1)</f>
        <v>8.5170252689439321E-4</v>
      </c>
      <c r="K13" s="7">
        <f>$B13 * IFERROR(VLOOKUP("buildings|SO2|Non-fatal heart attacks", US_national_yearly!$D:$AM, 19, FALSE) / VLOOKUP("buildings|SO2|Non-fatal heart attacks", US_national_yearly!$D:$AM, 10, FALSE), 1)</f>
        <v>8.6729903502926105E-4</v>
      </c>
      <c r="L13" s="7">
        <f>$B13 * IFERROR(VLOOKUP("buildings|SO2|Non-fatal heart attacks", US_national_yearly!$D:$AM, 20, FALSE) / VLOOKUP("buildings|SO2|Non-fatal heart attacks", US_national_yearly!$D:$AM, 10, FALSE), 1)</f>
        <v>8.8289554316412909E-4</v>
      </c>
      <c r="M13" s="7">
        <f>$B13 * IFERROR(VLOOKUP("buildings|SO2|Non-fatal heart attacks", US_national_yearly!$D:$AM, 21, FALSE) / VLOOKUP("buildings|SO2|Non-fatal heart attacks", US_national_yearly!$D:$AM, 10, FALSE), 1)</f>
        <v>8.9849205129899704E-4</v>
      </c>
      <c r="N13" s="7">
        <f>$B13 * IFERROR(VLOOKUP("buildings|SO2|Non-fatal heart attacks", US_national_yearly!$D:$AM, 22, FALSE) / VLOOKUP("buildings|SO2|Non-fatal heart attacks", US_national_yearly!$D:$AM, 10, FALSE), 1)</f>
        <v>9.0861491009524154E-4</v>
      </c>
      <c r="O13" s="7">
        <f>$B13 * IFERROR(VLOOKUP("buildings|SO2|Non-fatal heart attacks", US_national_yearly!$D:$AM, 23, FALSE) / VLOOKUP("buildings|SO2|Non-fatal heart attacks", US_national_yearly!$D:$AM, 10, FALSE), 1)</f>
        <v>9.1873776889148616E-4</v>
      </c>
      <c r="P13" s="7">
        <f>$B13 * IFERROR(VLOOKUP("buildings|SO2|Non-fatal heart attacks", US_national_yearly!$D:$AM, 24, FALSE) / VLOOKUP("buildings|SO2|Non-fatal heart attacks", US_national_yearly!$D:$AM, 10, FALSE), 1)</f>
        <v>9.2886062768773067E-4</v>
      </c>
      <c r="Q13" s="7">
        <f>$B13 * IFERROR(VLOOKUP("buildings|SO2|Non-fatal heart attacks", US_national_yearly!$D:$AM, 25, FALSE) / VLOOKUP("buildings|SO2|Non-fatal heart attacks", US_national_yearly!$D:$AM, 10, FALSE), 1)</f>
        <v>9.3898348648397518E-4</v>
      </c>
      <c r="R13" s="7">
        <f>$B13 * IFERROR(VLOOKUP("buildings|SO2|Non-fatal heart attacks", US_national_yearly!$D:$AM, 26, FALSE) / VLOOKUP("buildings|SO2|Non-fatal heart attacks", US_national_yearly!$D:$AM, 10, FALSE), 1)</f>
        <v>9.4910634528021991E-4</v>
      </c>
      <c r="S13" s="7">
        <f>$B13 * IFERROR(VLOOKUP("buildings|SO2|Non-fatal heart attacks", US_national_yearly!$D:$AM, 27, FALSE) / VLOOKUP("buildings|SO2|Non-fatal heart attacks", US_national_yearly!$D:$AM, 10, FALSE), 1)</f>
        <v>9.5439248556868463E-4</v>
      </c>
      <c r="T13" s="7">
        <f>$B13 * IFERROR(VLOOKUP("buildings|SO2|Non-fatal heart attacks", US_national_yearly!$D:$AM, 28, FALSE) / VLOOKUP("buildings|SO2|Non-fatal heart attacks", US_national_yearly!$D:$AM, 10, FALSE), 1)</f>
        <v>9.5967862585714936E-4</v>
      </c>
      <c r="U13" s="7">
        <f>$B13 * IFERROR(VLOOKUP("buildings|SO2|Non-fatal heart attacks", US_national_yearly!$D:$AM, 29, FALSE) / VLOOKUP("buildings|SO2|Non-fatal heart attacks", US_national_yearly!$D:$AM, 10, FALSE), 1)</f>
        <v>9.6496476614561376E-4</v>
      </c>
      <c r="V13" s="7">
        <f>$B13 * IFERROR(VLOOKUP("buildings|SO2|Non-fatal heart attacks", US_national_yearly!$D:$AM, 30, FALSE) / VLOOKUP("buildings|SO2|Non-fatal heart attacks", US_national_yearly!$D:$AM, 10, FALSE), 1)</f>
        <v>9.702509064340786E-4</v>
      </c>
      <c r="W13" s="7">
        <f>$B13 * IFERROR(VLOOKUP("buildings|SO2|Non-fatal heart attacks", US_national_yearly!$D:$AM, 31, FALSE) / VLOOKUP("buildings|SO2|Non-fatal heart attacks", US_national_yearly!$D:$AM, 10, FALSE), 1)</f>
        <v>9.7553704672254311E-4</v>
      </c>
      <c r="X13" s="7">
        <f>$B13 * IFERROR(VLOOKUP("buildings|SO2|Non-fatal heart attacks", US_national_yearly!$D:$AM, 32, FALSE) / VLOOKUP("buildings|SO2|Non-fatal heart attacks", US_national_yearly!$D:$AM, 10, FALSE), 1)</f>
        <v>9.7952952805351718E-4</v>
      </c>
      <c r="Y13" s="7">
        <f>$B13 * IFERROR(VLOOKUP("buildings|SO2|Non-fatal heart attacks", US_national_yearly!$D:$AM, 33, FALSE) / VLOOKUP("buildings|SO2|Non-fatal heart attacks", US_national_yearly!$D:$AM, 10, FALSE), 1)</f>
        <v>9.8352200938449136E-4</v>
      </c>
      <c r="Z13" s="7">
        <f>$B13 * IFERROR(VLOOKUP("buildings|SO2|Non-fatal heart attacks", US_national_yearly!$D:$AM, 34, FALSE) / VLOOKUP("buildings|SO2|Non-fatal heart attacks", US_national_yearly!$D:$AM, 10, FALSE), 1)</f>
        <v>9.8751449071546511E-4</v>
      </c>
      <c r="AA13" s="7">
        <f>$B13 * IFERROR(VLOOKUP("buildings|SO2|Non-fatal heart attacks", US_national_yearly!$D:$AM, 35, FALSE) / VLOOKUP("buildings|SO2|Non-fatal heart attacks", US_national_yearly!$D:$AM, 10, FALSE), 1)</f>
        <v>9.9150697204643929E-4</v>
      </c>
      <c r="AB13" s="7">
        <f>$B13 * IFERROR(VLOOKUP("buildings|SO2|Non-fatal heart attacks", US_national_yearly!$D:$AM, 36, FALSE) / VLOOKUP("buildings|SO2|Non-fatal heart attacks", US_national_yearly!$D:$AM, 10, FALSE), 1)</f>
        <v>9.9549945337741325E-4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0.58898896637427778</v>
      </c>
      <c r="C14" s="7">
        <f>$B14 * IFERROR(VLOOKUP("buildings|SO2|Minor restricted activity days", US_national_yearly!$D:$AM, 11, FALSE) / VLOOKUP("buildings|SO2|Minor restricted activity days", US_national_yearly!$D:$AM, 10, FALSE), 1)</f>
        <v>0.59047996091572685</v>
      </c>
      <c r="D14" s="7">
        <f>$B14 * IFERROR(VLOOKUP("buildings|SO2|Minor restricted activity days", US_national_yearly!$D:$AM, 12, FALSE) / VLOOKUP("buildings|SO2|Minor restricted activity days", US_national_yearly!$D:$AM, 10, FALSE), 1)</f>
        <v>0.59197095545717604</v>
      </c>
      <c r="E14" s="7">
        <f>$B14 * IFERROR(VLOOKUP("buildings|SO2|Minor restricted activity days", US_national_yearly!$D:$AM, 13, FALSE) / VLOOKUP("buildings|SO2|Minor restricted activity days", US_national_yearly!$D:$AM, 10, FALSE), 1)</f>
        <v>0.59346194999862523</v>
      </c>
      <c r="F14" s="7">
        <f>$B14 * IFERROR(VLOOKUP("buildings|SO2|Minor restricted activity days", US_national_yearly!$D:$AM, 14, FALSE) / VLOOKUP("buildings|SO2|Minor restricted activity days", US_national_yearly!$D:$AM, 10, FALSE), 1)</f>
        <v>0.5949529445400743</v>
      </c>
      <c r="G14" s="7">
        <f>$B14 * IFERROR(VLOOKUP("buildings|SO2|Minor restricted activity days", US_national_yearly!$D:$AM, 15, FALSE) / VLOOKUP("buildings|SO2|Minor restricted activity days", US_national_yearly!$D:$AM, 10, FALSE), 1)</f>
        <v>0.59714529728361687</v>
      </c>
      <c r="H14" s="7">
        <f>$B14 * IFERROR(VLOOKUP("buildings|SO2|Minor restricted activity days", US_national_yearly!$D:$AM, 16, FALSE) / VLOOKUP("buildings|SO2|Minor restricted activity days", US_national_yearly!$D:$AM, 10, FALSE), 1)</f>
        <v>0.59933765002715955</v>
      </c>
      <c r="I14" s="7">
        <f>$B14 * IFERROR(VLOOKUP("buildings|SO2|Minor restricted activity days", US_national_yearly!$D:$AM, 17, FALSE) / VLOOKUP("buildings|SO2|Minor restricted activity days", US_national_yearly!$D:$AM, 10, FALSE), 1)</f>
        <v>0.6030714473780856</v>
      </c>
      <c r="J14" s="7">
        <f>$B14 * IFERROR(VLOOKUP("buildings|SO2|Minor restricted activity days", US_national_yearly!$D:$AM, 18, FALSE) / VLOOKUP("buildings|SO2|Minor restricted activity days", US_national_yearly!$D:$AM, 10, FALSE), 1)</f>
        <v>0.60680524472901176</v>
      </c>
      <c r="K14" s="7">
        <f>$B14 * IFERROR(VLOOKUP("buildings|SO2|Minor restricted activity days", US_national_yearly!$D:$AM, 19, FALSE) / VLOOKUP("buildings|SO2|Minor restricted activity days", US_national_yearly!$D:$AM, 10, FALSE), 1)</f>
        <v>0.61053904207993792</v>
      </c>
      <c r="L14" s="7">
        <f>$B14 * IFERROR(VLOOKUP("buildings|SO2|Minor restricted activity days", US_national_yearly!$D:$AM, 20, FALSE) / VLOOKUP("buildings|SO2|Minor restricted activity days", US_national_yearly!$D:$AM, 10, FALSE), 1)</f>
        <v>0.61427283943086397</v>
      </c>
      <c r="M14" s="7">
        <f>$B14 * IFERROR(VLOOKUP("buildings|SO2|Minor restricted activity days", US_national_yearly!$D:$AM, 21, FALSE) / VLOOKUP("buildings|SO2|Minor restricted activity days", US_national_yearly!$D:$AM, 10, FALSE), 1)</f>
        <v>0.61800663678179002</v>
      </c>
      <c r="N14" s="7">
        <f>$B14 * IFERROR(VLOOKUP("buildings|SO2|Minor restricted activity days", US_national_yearly!$D:$AM, 22, FALSE) / VLOOKUP("buildings|SO2|Minor restricted activity days", US_national_yearly!$D:$AM, 10, FALSE), 1)</f>
        <v>0.62311240845116278</v>
      </c>
      <c r="O14" s="7">
        <f>$B14 * IFERROR(VLOOKUP("buildings|SO2|Minor restricted activity days", US_national_yearly!$D:$AM, 23, FALSE) / VLOOKUP("buildings|SO2|Minor restricted activity days", US_national_yearly!$D:$AM, 10, FALSE), 1)</f>
        <v>0.62821818012053543</v>
      </c>
      <c r="P14" s="7">
        <f>$B14 * IFERROR(VLOOKUP("buildings|SO2|Minor restricted activity days", US_national_yearly!$D:$AM, 24, FALSE) / VLOOKUP("buildings|SO2|Minor restricted activity days", US_national_yearly!$D:$AM, 10, FALSE), 1)</f>
        <v>0.63332395178990797</v>
      </c>
      <c r="Q14" s="7">
        <f>$B14 * IFERROR(VLOOKUP("buildings|SO2|Minor restricted activity days", US_national_yearly!$D:$AM, 25, FALSE) / VLOOKUP("buildings|SO2|Minor restricted activity days", US_national_yearly!$D:$AM, 10, FALSE), 1)</f>
        <v>0.63842972345928073</v>
      </c>
      <c r="R14" s="7">
        <f>$B14 * IFERROR(VLOOKUP("buildings|SO2|Minor restricted activity days", US_national_yearly!$D:$AM, 26, FALSE) / VLOOKUP("buildings|SO2|Minor restricted activity days", US_national_yearly!$D:$AM, 10, FALSE), 1)</f>
        <v>0.64353549512865338</v>
      </c>
      <c r="S14" s="7">
        <f>$B14 * IFERROR(VLOOKUP("buildings|SO2|Minor restricted activity days", US_national_yearly!$D:$AM, 27, FALSE) / VLOOKUP("buildings|SO2|Minor restricted activity days", US_national_yearly!$D:$AM, 10, FALSE), 1)</f>
        <v>0.64874049787002475</v>
      </c>
      <c r="T14" s="7">
        <f>$B14 * IFERROR(VLOOKUP("buildings|SO2|Minor restricted activity days", US_national_yearly!$D:$AM, 28, FALSE) / VLOOKUP("buildings|SO2|Minor restricted activity days", US_national_yearly!$D:$AM, 10, FALSE), 1)</f>
        <v>0.653945500611396</v>
      </c>
      <c r="U14" s="7">
        <f>$B14 * IFERROR(VLOOKUP("buildings|SO2|Minor restricted activity days", US_national_yearly!$D:$AM, 29, FALSE) / VLOOKUP("buildings|SO2|Minor restricted activity days", US_national_yearly!$D:$AM, 10, FALSE), 1)</f>
        <v>0.65915050335276726</v>
      </c>
      <c r="V14" s="7">
        <f>$B14 * IFERROR(VLOOKUP("buildings|SO2|Minor restricted activity days", US_national_yearly!$D:$AM, 30, FALSE) / VLOOKUP("buildings|SO2|Minor restricted activity days", US_national_yearly!$D:$AM, 10, FALSE), 1)</f>
        <v>0.66435550609413863</v>
      </c>
      <c r="W14" s="7">
        <f>$B14 * IFERROR(VLOOKUP("buildings|SO2|Minor restricted activity days", US_national_yearly!$D:$AM, 31, FALSE) / VLOOKUP("buildings|SO2|Minor restricted activity days", US_national_yearly!$D:$AM, 10, FALSE), 1)</f>
        <v>0.66956050883550999</v>
      </c>
      <c r="X14" s="7">
        <f>$B14 * IFERROR(VLOOKUP("buildings|SO2|Minor restricted activity days", US_national_yearly!$D:$AM, 32, FALSE) / VLOOKUP("buildings|SO2|Minor restricted activity days", US_national_yearly!$D:$AM, 10, FALSE), 1)</f>
        <v>0.67413800752796638</v>
      </c>
      <c r="Y14" s="7">
        <f>$B14 * IFERROR(VLOOKUP("buildings|SO2|Minor restricted activity days", US_national_yearly!$D:$AM, 33, FALSE) / VLOOKUP("buildings|SO2|Minor restricted activity days", US_national_yearly!$D:$AM, 10, FALSE), 1)</f>
        <v>0.67871550622042287</v>
      </c>
      <c r="Z14" s="7">
        <f>$B14 * IFERROR(VLOOKUP("buildings|SO2|Minor restricted activity days", US_national_yearly!$D:$AM, 34, FALSE) / VLOOKUP("buildings|SO2|Minor restricted activity days", US_national_yearly!$D:$AM, 10, FALSE), 1)</f>
        <v>0.68329300491287936</v>
      </c>
      <c r="AA14" s="7">
        <f>$B14 * IFERROR(VLOOKUP("buildings|SO2|Minor restricted activity days", US_national_yearly!$D:$AM, 35, FALSE) / VLOOKUP("buildings|SO2|Minor restricted activity days", US_national_yearly!$D:$AM, 10, FALSE), 1)</f>
        <v>0.68787050360533586</v>
      </c>
      <c r="AB14" s="7">
        <f>$B14 * IFERROR(VLOOKUP("buildings|SO2|Minor restricted activity days", US_national_yearly!$D:$AM, 36, FALSE) / VLOOKUP("buildings|SO2|Minor restricted activity days", US_national_yearly!$D:$AM, 10, FALSE), 1)</f>
        <v>0.69244800229779224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0.10085835093241299</v>
      </c>
      <c r="C15" s="7">
        <f>$B15 * IFERROR(VLOOKUP("buildings|SO2|Work loss days", US_national_yearly!$D:$AM, 11, FALSE) / VLOOKUP("buildings|SO2|Work loss days", US_national_yearly!$D:$AM, 10, FALSE), 1)</f>
        <v>0.10118603807208142</v>
      </c>
      <c r="D15" s="7">
        <f>$B15 * IFERROR(VLOOKUP("buildings|SO2|Work loss days", US_national_yearly!$D:$AM, 12, FALSE) / VLOOKUP("buildings|SO2|Work loss days", US_national_yearly!$D:$AM, 10, FALSE), 1)</f>
        <v>0.10151372521174985</v>
      </c>
      <c r="E15" s="7">
        <f>$B15 * IFERROR(VLOOKUP("buildings|SO2|Work loss days", US_national_yearly!$D:$AM, 13, FALSE) / VLOOKUP("buildings|SO2|Work loss days", US_national_yearly!$D:$AM, 10, FALSE), 1)</f>
        <v>0.10184141235141828</v>
      </c>
      <c r="F15" s="7">
        <f>$B15 * IFERROR(VLOOKUP("buildings|SO2|Work loss days", US_national_yearly!$D:$AM, 14, FALSE) / VLOOKUP("buildings|SO2|Work loss days", US_national_yearly!$D:$AM, 10, FALSE), 1)</f>
        <v>0.10216909949108668</v>
      </c>
      <c r="G15" s="7">
        <f>$B15 * IFERROR(VLOOKUP("buildings|SO2|Work loss days", US_national_yearly!$D:$AM, 15, FALSE) / VLOOKUP("buildings|SO2|Work loss days", US_national_yearly!$D:$AM, 10, FALSE), 1)</f>
        <v>0.10259707702924807</v>
      </c>
      <c r="H15" s="7">
        <f>$B15 * IFERROR(VLOOKUP("buildings|SO2|Work loss days", US_national_yearly!$D:$AM, 16, FALSE) / VLOOKUP("buildings|SO2|Work loss days", US_national_yearly!$D:$AM, 10, FALSE), 1)</f>
        <v>0.10302505456740949</v>
      </c>
      <c r="I15" s="7">
        <f>$B15 * IFERROR(VLOOKUP("buildings|SO2|Work loss days", US_national_yearly!$D:$AM, 17, FALSE) / VLOOKUP("buildings|SO2|Work loss days", US_national_yearly!$D:$AM, 10, FALSE), 1)</f>
        <v>0.10365078168303136</v>
      </c>
      <c r="J15" s="7">
        <f>$B15 * IFERROR(VLOOKUP("buildings|SO2|Work loss days", US_national_yearly!$D:$AM, 18, FALSE) / VLOOKUP("buildings|SO2|Work loss days", US_national_yearly!$D:$AM, 10, FALSE), 1)</f>
        <v>0.10427650879865322</v>
      </c>
      <c r="K15" s="7">
        <f>$B15 * IFERROR(VLOOKUP("buildings|SO2|Work loss days", US_national_yearly!$D:$AM, 19, FALSE) / VLOOKUP("buildings|SO2|Work loss days", US_national_yearly!$D:$AM, 10, FALSE), 1)</f>
        <v>0.10490223591427508</v>
      </c>
      <c r="L15" s="7">
        <f>$B15 * IFERROR(VLOOKUP("buildings|SO2|Work loss days", US_national_yearly!$D:$AM, 20, FALSE) / VLOOKUP("buildings|SO2|Work loss days", US_national_yearly!$D:$AM, 10, FALSE), 1)</f>
        <v>0.10552796302989695</v>
      </c>
      <c r="M15" s="7">
        <f>$B15 * IFERROR(VLOOKUP("buildings|SO2|Work loss days", US_national_yearly!$D:$AM, 21, FALSE) / VLOOKUP("buildings|SO2|Work loss days", US_national_yearly!$D:$AM, 10, FALSE), 1)</f>
        <v>0.1061536901455188</v>
      </c>
      <c r="N15" s="7">
        <f>$B15 * IFERROR(VLOOKUP("buildings|SO2|Work loss days", US_national_yearly!$D:$AM, 22, FALSE) / VLOOKUP("buildings|SO2|Work loss days", US_national_yearly!$D:$AM, 10, FALSE), 1)</f>
        <v>0.10693834169829429</v>
      </c>
      <c r="O15" s="7">
        <f>$B15 * IFERROR(VLOOKUP("buildings|SO2|Work loss days", US_national_yearly!$D:$AM, 23, FALSE) / VLOOKUP("buildings|SO2|Work loss days", US_national_yearly!$D:$AM, 10, FALSE), 1)</f>
        <v>0.10772299325106977</v>
      </c>
      <c r="P15" s="7">
        <f>$B15 * IFERROR(VLOOKUP("buildings|SO2|Work loss days", US_national_yearly!$D:$AM, 24, FALSE) / VLOOKUP("buildings|SO2|Work loss days", US_national_yearly!$D:$AM, 10, FALSE), 1)</f>
        <v>0.10850764480384524</v>
      </c>
      <c r="Q15" s="7">
        <f>$B15 * IFERROR(VLOOKUP("buildings|SO2|Work loss days", US_national_yearly!$D:$AM, 25, FALSE) / VLOOKUP("buildings|SO2|Work loss days", US_national_yearly!$D:$AM, 10, FALSE), 1)</f>
        <v>0.10929229635662073</v>
      </c>
      <c r="R15" s="7">
        <f>$B15 * IFERROR(VLOOKUP("buildings|SO2|Work loss days", US_national_yearly!$D:$AM, 26, FALSE) / VLOOKUP("buildings|SO2|Work loss days", US_national_yearly!$D:$AM, 10, FALSE), 1)</f>
        <v>0.11007694790939619</v>
      </c>
      <c r="S15" s="7">
        <f>$B15 * IFERROR(VLOOKUP("buildings|SO2|Work loss days", US_national_yearly!$D:$AM, 27, FALSE) / VLOOKUP("buildings|SO2|Work loss days", US_national_yearly!$D:$AM, 10, FALSE), 1)</f>
        <v>0.11095347242502655</v>
      </c>
      <c r="T15" s="7">
        <f>$B15 * IFERROR(VLOOKUP("buildings|SO2|Work loss days", US_national_yearly!$D:$AM, 28, FALSE) / VLOOKUP("buildings|SO2|Work loss days", US_national_yearly!$D:$AM, 10, FALSE), 1)</f>
        <v>0.11182999694065693</v>
      </c>
      <c r="U15" s="7">
        <f>$B15 * IFERROR(VLOOKUP("buildings|SO2|Work loss days", US_national_yearly!$D:$AM, 29, FALSE) / VLOOKUP("buildings|SO2|Work loss days", US_national_yearly!$D:$AM, 10, FALSE), 1)</f>
        <v>0.11270652145628729</v>
      </c>
      <c r="V15" s="7">
        <f>$B15 * IFERROR(VLOOKUP("buildings|SO2|Work loss days", US_national_yearly!$D:$AM, 30, FALSE) / VLOOKUP("buildings|SO2|Work loss days", US_national_yearly!$D:$AM, 10, FALSE), 1)</f>
        <v>0.11358304597191764</v>
      </c>
      <c r="W15" s="7">
        <f>$B15 * IFERROR(VLOOKUP("buildings|SO2|Work loss days", US_national_yearly!$D:$AM, 31, FALSE) / VLOOKUP("buildings|SO2|Work loss days", US_national_yearly!$D:$AM, 10, FALSE), 1)</f>
        <v>0.11445957048754801</v>
      </c>
      <c r="X15" s="7">
        <f>$B15 * IFERROR(VLOOKUP("buildings|SO2|Work loss days", US_national_yearly!$D:$AM, 32, FALSE) / VLOOKUP("buildings|SO2|Work loss days", US_national_yearly!$D:$AM, 10, FALSE), 1)</f>
        <v>0.11524658618317746</v>
      </c>
      <c r="Y15" s="7">
        <f>$B15 * IFERROR(VLOOKUP("buildings|SO2|Work loss days", US_national_yearly!$D:$AM, 33, FALSE) / VLOOKUP("buildings|SO2|Work loss days", US_national_yearly!$D:$AM, 10, FALSE), 1)</f>
        <v>0.11603360187880692</v>
      </c>
      <c r="Z15" s="7">
        <f>$B15 * IFERROR(VLOOKUP("buildings|SO2|Work loss days", US_national_yearly!$D:$AM, 34, FALSE) / VLOOKUP("buildings|SO2|Work loss days", US_national_yearly!$D:$AM, 10, FALSE), 1)</f>
        <v>0.11682061757443633</v>
      </c>
      <c r="AA15" s="7">
        <f>$B15 * IFERROR(VLOOKUP("buildings|SO2|Work loss days", US_national_yearly!$D:$AM, 35, FALSE) / VLOOKUP("buildings|SO2|Work loss days", US_national_yearly!$D:$AM, 10, FALSE), 1)</f>
        <v>0.11760763327006579</v>
      </c>
      <c r="AB15" s="7">
        <f>$B15 * IFERROR(VLOOKUP("buildings|SO2|Work loss days", US_national_yearly!$D:$AM, 36, FALSE) / VLOOKUP("buildings|SO2|Work loss days", US_national_yearly!$D:$AM, 10, FALSE), 1)</f>
        <v>0.11839464896569521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1.4354339791832916E-4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1.4788549362161919E-4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1.5222758932490924E-4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1.5656968502819932E-4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1.6091178073148935E-4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1.6507124832932339E-4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1.6923071592715738E-4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1.7279537127936194E-4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1.7636002663156642E-4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1.7992468198377098E-4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1.8348933733597551E-4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1.8705399268817999E-4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1.8944758731752743E-4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1.9184118194687485E-4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1.942347765762223E-4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1.9662837120556969E-4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1.9902196583491713E-4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2.0028070668647385E-4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2.0153944753803057E-4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2.0279818838958726E-4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2.0405692924114401E-4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2.053156700927007E-4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2.0616091740422436E-4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2.0700616471574796E-4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2.0785141202727159E-4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2.0869665933879525E-4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2.0954190665031889E-4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1.6892883086067755E-2</v>
      </c>
      <c r="C2" s="7">
        <f>$B2 * IFERROR(VLOOKUP("industry|PM25|Premature mortality", US_national_yearly!$D:$AM, 11, FALSE) / VLOOKUP("industry|PM25|Premature mortality", US_national_yearly!$D:$AM, 10, FALSE), 1)</f>
        <v>1.7103254684648291E-2</v>
      </c>
      <c r="D2" s="7">
        <f>$B2 * IFERROR(VLOOKUP("industry|PM25|Premature mortality", US_national_yearly!$D:$AM, 12, FALSE) / VLOOKUP("industry|PM25|Premature mortality", US_national_yearly!$D:$AM, 10, FALSE), 1)</f>
        <v>1.7313626283228824E-2</v>
      </c>
      <c r="E2" s="7">
        <f>$B2 * IFERROR(VLOOKUP("industry|PM25|Premature mortality", US_national_yearly!$D:$AM, 13, FALSE) / VLOOKUP("industry|PM25|Premature mortality", US_national_yearly!$D:$AM, 10, FALSE), 1)</f>
        <v>1.7523997881809365E-2</v>
      </c>
      <c r="F2" s="7">
        <f>$B2 * IFERROR(VLOOKUP("industry|PM25|Premature mortality", US_national_yearly!$D:$AM, 14, FALSE) / VLOOKUP("industry|PM25|Premature mortality", US_national_yearly!$D:$AM, 10, FALSE), 1)</f>
        <v>1.7734369480389898E-2</v>
      </c>
      <c r="G2" s="7">
        <f>$B2 * IFERROR(VLOOKUP("industry|PM25|Premature mortality", US_national_yearly!$D:$AM, 15, FALSE) / VLOOKUP("industry|PM25|Premature mortality", US_national_yearly!$D:$AM, 10, FALSE), 1)</f>
        <v>1.8143644157842621E-2</v>
      </c>
      <c r="H2" s="7">
        <f>$B2 * IFERROR(VLOOKUP("industry|PM25|Premature mortality", US_national_yearly!$D:$AM, 16, FALSE) / VLOOKUP("industry|PM25|Premature mortality", US_national_yearly!$D:$AM, 10, FALSE), 1)</f>
        <v>1.8552918835295348E-2</v>
      </c>
      <c r="I2" s="7">
        <f>$B2 * IFERROR(VLOOKUP("industry|PM25|Premature mortality", US_national_yearly!$D:$AM, 17, FALSE) / VLOOKUP("industry|PM25|Premature mortality", US_national_yearly!$D:$AM, 10, FALSE), 1)</f>
        <v>1.8823161544255791E-2</v>
      </c>
      <c r="J2" s="7">
        <f>$B2 * IFERROR(VLOOKUP("industry|PM25|Premature mortality", US_national_yearly!$D:$AM, 18, FALSE) / VLOOKUP("industry|PM25|Premature mortality", US_national_yearly!$D:$AM, 10, FALSE), 1)</f>
        <v>1.9093404253216234E-2</v>
      </c>
      <c r="K2" s="7">
        <f>$B2 * IFERROR(VLOOKUP("industry|PM25|Premature mortality", US_national_yearly!$D:$AM, 19, FALSE) / VLOOKUP("industry|PM25|Premature mortality", US_national_yearly!$D:$AM, 10, FALSE), 1)</f>
        <v>1.9363646962176673E-2</v>
      </c>
      <c r="L2" s="7">
        <f>$B2 * IFERROR(VLOOKUP("industry|PM25|Premature mortality", US_national_yearly!$D:$AM, 20, FALSE) / VLOOKUP("industry|PM25|Premature mortality", US_national_yearly!$D:$AM, 10, FALSE), 1)</f>
        <v>1.9633889671137113E-2</v>
      </c>
      <c r="M2" s="7">
        <f>$B2 * IFERROR(VLOOKUP("industry|PM25|Premature mortality", US_national_yearly!$D:$AM, 21, FALSE) / VLOOKUP("industry|PM25|Premature mortality", US_national_yearly!$D:$AM, 10, FALSE), 1)</f>
        <v>1.9904132380097559E-2</v>
      </c>
      <c r="N2" s="7">
        <f>$B2 * IFERROR(VLOOKUP("industry|PM25|Premature mortality", US_national_yearly!$D:$AM, 22, FALSE) / VLOOKUP("industry|PM25|Premature mortality", US_national_yearly!$D:$AM, 10, FALSE), 1)</f>
        <v>2.0114674555282281E-2</v>
      </c>
      <c r="O2" s="7">
        <f>$B2 * IFERROR(VLOOKUP("industry|PM25|Premature mortality", US_national_yearly!$D:$AM, 23, FALSE) / VLOOKUP("industry|PM25|Premature mortality", US_national_yearly!$D:$AM, 10, FALSE), 1)</f>
        <v>2.0325216730466996E-2</v>
      </c>
      <c r="P2" s="7">
        <f>$B2 * IFERROR(VLOOKUP("industry|PM25|Premature mortality", US_national_yearly!$D:$AM, 24, FALSE) / VLOOKUP("industry|PM25|Premature mortality", US_national_yearly!$D:$AM, 10, FALSE), 1)</f>
        <v>2.0535758905651718E-2</v>
      </c>
      <c r="Q2" s="7">
        <f>$B2 * IFERROR(VLOOKUP("industry|PM25|Premature mortality", US_national_yearly!$D:$AM, 25, FALSE) / VLOOKUP("industry|PM25|Premature mortality", US_national_yearly!$D:$AM, 10, FALSE), 1)</f>
        <v>2.074630108083644E-2</v>
      </c>
      <c r="R2" s="7">
        <f>$B2 * IFERROR(VLOOKUP("industry|PM25|Premature mortality", US_national_yearly!$D:$AM, 26, FALSE) / VLOOKUP("industry|PM25|Premature mortality", US_national_yearly!$D:$AM, 10, FALSE), 1)</f>
        <v>2.0956843256021158E-2</v>
      </c>
      <c r="S2" s="7">
        <f>$B2 * IFERROR(VLOOKUP("industry|PM25|Premature mortality", US_national_yearly!$D:$AM, 27, FALSE) / VLOOKUP("industry|PM25|Premature mortality", US_national_yearly!$D:$AM, 10, FALSE), 1)</f>
        <v>2.1070528221669868E-2</v>
      </c>
      <c r="T2" s="7">
        <f>$B2 * IFERROR(VLOOKUP("industry|PM25|Premature mortality", US_national_yearly!$D:$AM, 28, FALSE) / VLOOKUP("industry|PM25|Premature mortality", US_national_yearly!$D:$AM, 10, FALSE), 1)</f>
        <v>2.1184213187318578E-2</v>
      </c>
      <c r="U2" s="7">
        <f>$B2 * IFERROR(VLOOKUP("industry|PM25|Premature mortality", US_national_yearly!$D:$AM, 29, FALSE) / VLOOKUP("industry|PM25|Premature mortality", US_national_yearly!$D:$AM, 10, FALSE), 1)</f>
        <v>2.1297898152967298E-2</v>
      </c>
      <c r="V2" s="7">
        <f>$B2 * IFERROR(VLOOKUP("industry|PM25|Premature mortality", US_national_yearly!$D:$AM, 30, FALSE) / VLOOKUP("industry|PM25|Premature mortality", US_national_yearly!$D:$AM, 10, FALSE), 1)</f>
        <v>2.1411583118616007E-2</v>
      </c>
      <c r="W2" s="7">
        <f>$B2 * IFERROR(VLOOKUP("industry|PM25|Premature mortality", US_national_yearly!$D:$AM, 31, FALSE) / VLOOKUP("industry|PM25|Premature mortality", US_national_yearly!$D:$AM, 10, FALSE), 1)</f>
        <v>2.1525268084264717E-2</v>
      </c>
      <c r="X2" s="7">
        <f>$B2 * IFERROR(VLOOKUP("industry|PM25|Premature mortality", US_national_yearly!$D:$AM, 32, FALSE) / VLOOKUP("industry|PM25|Premature mortality", US_national_yearly!$D:$AM, 10, FALSE), 1)</f>
        <v>2.1548740044940055E-2</v>
      </c>
      <c r="Y2" s="7">
        <f>$B2 * IFERROR(VLOOKUP("industry|PM25|Premature mortality", US_national_yearly!$D:$AM, 33, FALSE) / VLOOKUP("industry|PM25|Premature mortality", US_national_yearly!$D:$AM, 10, FALSE), 1)</f>
        <v>2.1572212005615404E-2</v>
      </c>
      <c r="Z2" s="7">
        <f>$B2 * IFERROR(VLOOKUP("industry|PM25|Premature mortality", US_national_yearly!$D:$AM, 34, FALSE) / VLOOKUP("industry|PM25|Premature mortality", US_national_yearly!$D:$AM, 10, FALSE), 1)</f>
        <v>2.1595683966290739E-2</v>
      </c>
      <c r="AA2" s="7">
        <f>$B2 * IFERROR(VLOOKUP("industry|PM25|Premature mortality", US_national_yearly!$D:$AM, 35, FALSE) / VLOOKUP("industry|PM25|Premature mortality", US_national_yearly!$D:$AM, 10, FALSE), 1)</f>
        <v>2.1619155926966085E-2</v>
      </c>
      <c r="AB2" s="7">
        <f>$B2 * IFERROR(VLOOKUP("industry|PM25|Premature mortality", US_national_yearly!$D:$AM, 36, FALSE) / VLOOKUP("industry|PM25|Premature mortality", US_national_yearly!$D:$AM, 10, FALSE), 1)</f>
        <v>2.1642627887641427E-2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5.2052435112725014E-5</v>
      </c>
      <c r="C3" s="7">
        <f>$B3 * IFERROR(VLOOKUP("industry|PM25|Infant mortality", US_national_yearly!$D:$AM, 11, FALSE) / VLOOKUP("industry|PM25|Infant mortality", US_national_yearly!$D:$AM, 10, FALSE), 1)</f>
        <v>5.1599222427970423E-5</v>
      </c>
      <c r="D3" s="7">
        <f>$B3 * IFERROR(VLOOKUP("industry|PM25|Infant mortality", US_national_yearly!$D:$AM, 12, FALSE) / VLOOKUP("industry|PM25|Infant mortality", US_national_yearly!$D:$AM, 10, FALSE), 1)</f>
        <v>5.1146009743215825E-5</v>
      </c>
      <c r="E3" s="7">
        <f>$B3 * IFERROR(VLOOKUP("industry|PM25|Infant mortality", US_national_yearly!$D:$AM, 13, FALSE) / VLOOKUP("industry|PM25|Infant mortality", US_national_yearly!$D:$AM, 10, FALSE), 1)</f>
        <v>5.0692797058461227E-5</v>
      </c>
      <c r="F3" s="7">
        <f>$B3 * IFERROR(VLOOKUP("industry|PM25|Infant mortality", US_national_yearly!$D:$AM, 14, FALSE) / VLOOKUP("industry|PM25|Infant mortality", US_national_yearly!$D:$AM, 10, FALSE), 1)</f>
        <v>5.0239584373706636E-5</v>
      </c>
      <c r="G3" s="7">
        <f>$B3 * IFERROR(VLOOKUP("industry|PM25|Infant mortality", US_national_yearly!$D:$AM, 15, FALSE) / VLOOKUP("industry|PM25|Infant mortality", US_national_yearly!$D:$AM, 10, FALSE), 1)</f>
        <v>3.3380938393145357E-5</v>
      </c>
      <c r="H3" s="7">
        <f>$B3 * IFERROR(VLOOKUP("industry|PM25|Infant mortality", US_national_yearly!$D:$AM, 16, FALSE) / VLOOKUP("industry|PM25|Infant mortality", US_national_yearly!$D:$AM, 10, FALSE), 1)</f>
        <v>1.6522292412584084E-5</v>
      </c>
      <c r="I3" s="7">
        <f>$B3 * IFERROR(VLOOKUP("industry|PM25|Infant mortality", US_national_yearly!$D:$AM, 17, FALSE) / VLOOKUP("industry|PM25|Infant mortality", US_national_yearly!$D:$AM, 10, FALSE), 1)</f>
        <v>1.6412320260420314E-5</v>
      </c>
      <c r="J3" s="7">
        <f>$B3 * IFERROR(VLOOKUP("industry|PM25|Infant mortality", US_national_yearly!$D:$AM, 18, FALSE) / VLOOKUP("industry|PM25|Infant mortality", US_national_yearly!$D:$AM, 10, FALSE), 1)</f>
        <v>1.6302348108256546E-5</v>
      </c>
      <c r="K3" s="7">
        <f>$B3 * IFERROR(VLOOKUP("industry|PM25|Infant mortality", US_national_yearly!$D:$AM, 19, FALSE) / VLOOKUP("industry|PM25|Infant mortality", US_national_yearly!$D:$AM, 10, FALSE), 1)</f>
        <v>1.6192375956092775E-5</v>
      </c>
      <c r="L3" s="7">
        <f>$B3 * IFERROR(VLOOKUP("industry|PM25|Infant mortality", US_national_yearly!$D:$AM, 20, FALSE) / VLOOKUP("industry|PM25|Infant mortality", US_national_yearly!$D:$AM, 10, FALSE), 1)</f>
        <v>1.6082403803929004E-5</v>
      </c>
      <c r="M3" s="7">
        <f>$B3 * IFERROR(VLOOKUP("industry|PM25|Infant mortality", US_national_yearly!$D:$AM, 21, FALSE) / VLOOKUP("industry|PM25|Infant mortality", US_national_yearly!$D:$AM, 10, FALSE), 1)</f>
        <v>1.5972431651765237E-5</v>
      </c>
      <c r="N3" s="7">
        <f>$B3 * IFERROR(VLOOKUP("industry|PM25|Infant mortality", US_national_yearly!$D:$AM, 22, FALSE) / VLOOKUP("industry|PM25|Infant mortality", US_national_yearly!$D:$AM, 10, FALSE), 1)</f>
        <v>1.5902258709691739E-5</v>
      </c>
      <c r="O3" s="7">
        <f>$B3 * IFERROR(VLOOKUP("industry|PM25|Infant mortality", US_national_yearly!$D:$AM, 23, FALSE) / VLOOKUP("industry|PM25|Infant mortality", US_national_yearly!$D:$AM, 10, FALSE), 1)</f>
        <v>1.5832085767618241E-5</v>
      </c>
      <c r="P3" s="7">
        <f>$B3 * IFERROR(VLOOKUP("industry|PM25|Infant mortality", US_national_yearly!$D:$AM, 24, FALSE) / VLOOKUP("industry|PM25|Infant mortality", US_national_yearly!$D:$AM, 10, FALSE), 1)</f>
        <v>1.576191282554475E-5</v>
      </c>
      <c r="Q3" s="7">
        <f>$B3 * IFERROR(VLOOKUP("industry|PM25|Infant mortality", US_national_yearly!$D:$AM, 25, FALSE) / VLOOKUP("industry|PM25|Infant mortality", US_national_yearly!$D:$AM, 10, FALSE), 1)</f>
        <v>1.5691739883471255E-5</v>
      </c>
      <c r="R3" s="7">
        <f>$B3 * IFERROR(VLOOKUP("industry|PM25|Infant mortality", US_national_yearly!$D:$AM, 26, FALSE) / VLOOKUP("industry|PM25|Infant mortality", US_national_yearly!$D:$AM, 10, FALSE), 1)</f>
        <v>1.5621566941397757E-5</v>
      </c>
      <c r="S3" s="7">
        <f>$B3 * IFERROR(VLOOKUP("industry|PM25|Infant mortality", US_national_yearly!$D:$AM, 27, FALSE) / VLOOKUP("industry|PM25|Infant mortality", US_national_yearly!$D:$AM, 10, FALSE), 1)</f>
        <v>1.5535260558588234E-5</v>
      </c>
      <c r="T3" s="7">
        <f>$B3 * IFERROR(VLOOKUP("industry|PM25|Infant mortality", US_national_yearly!$D:$AM, 28, FALSE) / VLOOKUP("industry|PM25|Infant mortality", US_national_yearly!$D:$AM, 10, FALSE), 1)</f>
        <v>1.5448954175778715E-5</v>
      </c>
      <c r="U3" s="7">
        <f>$B3 * IFERROR(VLOOKUP("industry|PM25|Infant mortality", US_national_yearly!$D:$AM, 29, FALSE) / VLOOKUP("industry|PM25|Infant mortality", US_national_yearly!$D:$AM, 10, FALSE), 1)</f>
        <v>1.5362647792969188E-5</v>
      </c>
      <c r="V3" s="7">
        <f>$B3 * IFERROR(VLOOKUP("industry|PM25|Infant mortality", US_national_yearly!$D:$AM, 30, FALSE) / VLOOKUP("industry|PM25|Infant mortality", US_national_yearly!$D:$AM, 10, FALSE), 1)</f>
        <v>1.5276341410159669E-5</v>
      </c>
      <c r="W3" s="7">
        <f>$B3 * IFERROR(VLOOKUP("industry|PM25|Infant mortality", US_national_yearly!$D:$AM, 31, FALSE) / VLOOKUP("industry|PM25|Infant mortality", US_national_yearly!$D:$AM, 10, FALSE), 1)</f>
        <v>1.5190035027350149E-5</v>
      </c>
      <c r="X3" s="7">
        <f>$B3 * IFERROR(VLOOKUP("industry|PM25|Infant mortality", US_national_yearly!$D:$AM, 32, FALSE) / VLOOKUP("industry|PM25|Infant mortality", US_national_yearly!$D:$AM, 10, FALSE), 1)</f>
        <v>1.5097805842828818E-5</v>
      </c>
      <c r="Y3" s="7">
        <f>$B3 * IFERROR(VLOOKUP("industry|PM25|Infant mortality", US_national_yearly!$D:$AM, 33, FALSE) / VLOOKUP("industry|PM25|Infant mortality", US_national_yearly!$D:$AM, 10, FALSE), 1)</f>
        <v>1.5005576658307488E-5</v>
      </c>
      <c r="Z3" s="7">
        <f>$B3 * IFERROR(VLOOKUP("industry|PM25|Infant mortality", US_national_yearly!$D:$AM, 34, FALSE) / VLOOKUP("industry|PM25|Infant mortality", US_national_yearly!$D:$AM, 10, FALSE), 1)</f>
        <v>1.4913347473786158E-5</v>
      </c>
      <c r="AA3" s="7">
        <f>$B3 * IFERROR(VLOOKUP("industry|PM25|Infant mortality", US_national_yearly!$D:$AM, 35, FALSE) / VLOOKUP("industry|PM25|Infant mortality", US_national_yearly!$D:$AM, 10, FALSE), 1)</f>
        <v>1.4821118289264827E-5</v>
      </c>
      <c r="AB3" s="7">
        <f>$B3 * IFERROR(VLOOKUP("industry|PM25|Infant mortality", US_national_yearly!$D:$AM, 36, FALSE) / VLOOKUP("industry|PM25|Infant mortality", US_national_yearly!$D:$AM, 10, FALSE), 1)</f>
        <v>1.4728889104743497E-5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5.8339648853554457E-2</v>
      </c>
      <c r="C6" s="7">
        <f>$B6 * IFERROR(VLOOKUP("industry|PM25|Asthma symptoms cough", US_national_yearly!$D:$AM, 11, FALSE) / VLOOKUP("industry|PM25|Asthma symptoms cough", US_national_yearly!$D:$AM, 10, FALSE), 1)</f>
        <v>5.8339648853554457E-2</v>
      </c>
      <c r="D6" s="7">
        <f>$B6 * IFERROR(VLOOKUP("industry|PM25|Asthma symptoms cough", US_national_yearly!$D:$AM, 12, FALSE) / VLOOKUP("industry|PM25|Asthma symptoms cough", US_national_yearly!$D:$AM, 10, FALSE), 1)</f>
        <v>5.8339648853554457E-2</v>
      </c>
      <c r="E6" s="7">
        <f>$B6 * IFERROR(VLOOKUP("industry|PM25|Asthma symptoms cough", US_national_yearly!$D:$AM, 13, FALSE) / VLOOKUP("industry|PM25|Asthma symptoms cough", US_national_yearly!$D:$AM, 10, FALSE), 1)</f>
        <v>5.8339648853554457E-2</v>
      </c>
      <c r="F6" s="7">
        <f>$B6 * IFERROR(VLOOKUP("industry|PM25|Asthma symptoms cough", US_national_yearly!$D:$AM, 14, FALSE) / VLOOKUP("industry|PM25|Asthma symptoms cough", US_national_yearly!$D:$AM, 10, FALSE), 1)</f>
        <v>5.8339648853554457E-2</v>
      </c>
      <c r="G6" s="7">
        <f>$B6 * IFERROR(VLOOKUP("industry|PM25|Asthma symptoms cough", US_national_yearly!$D:$AM, 15, FALSE) / VLOOKUP("industry|PM25|Asthma symptoms cough", US_national_yearly!$D:$AM, 10, FALSE), 1)</f>
        <v>5.8339648853554457E-2</v>
      </c>
      <c r="H6" s="7">
        <f>$B6 * IFERROR(VLOOKUP("industry|PM25|Asthma symptoms cough", US_national_yearly!$D:$AM, 16, FALSE) / VLOOKUP("industry|PM25|Asthma symptoms cough", US_national_yearly!$D:$AM, 10, FALSE), 1)</f>
        <v>5.8339648853554457E-2</v>
      </c>
      <c r="I6" s="7">
        <f>$B6 * IFERROR(VLOOKUP("industry|PM25|Asthma symptoms cough", US_national_yearly!$D:$AM, 17, FALSE) / VLOOKUP("industry|PM25|Asthma symptoms cough", US_national_yearly!$D:$AM, 10, FALSE), 1)</f>
        <v>5.8339648853554457E-2</v>
      </c>
      <c r="J6" s="7">
        <f>$B6 * IFERROR(VLOOKUP("industry|PM25|Asthma symptoms cough", US_national_yearly!$D:$AM, 18, FALSE) / VLOOKUP("industry|PM25|Asthma symptoms cough", US_national_yearly!$D:$AM, 10, FALSE), 1)</f>
        <v>5.8339648853554457E-2</v>
      </c>
      <c r="K6" s="7">
        <f>$B6 * IFERROR(VLOOKUP("industry|PM25|Asthma symptoms cough", US_national_yearly!$D:$AM, 19, FALSE) / VLOOKUP("industry|PM25|Asthma symptoms cough", US_national_yearly!$D:$AM, 10, FALSE), 1)</f>
        <v>5.8339648853554457E-2</v>
      </c>
      <c r="L6" s="7">
        <f>$B6 * IFERROR(VLOOKUP("industry|PM25|Asthma symptoms cough", US_national_yearly!$D:$AM, 20, FALSE) / VLOOKUP("industry|PM25|Asthma symptoms cough", US_national_yearly!$D:$AM, 10, FALSE), 1)</f>
        <v>5.8339648853554457E-2</v>
      </c>
      <c r="M6" s="7">
        <f>$B6 * IFERROR(VLOOKUP("industry|PM25|Asthma symptoms cough", US_national_yearly!$D:$AM, 21, FALSE) / VLOOKUP("industry|PM25|Asthma symptoms cough", US_national_yearly!$D:$AM, 10, FALSE), 1)</f>
        <v>5.8339648853554457E-2</v>
      </c>
      <c r="N6" s="7">
        <f>$B6 * IFERROR(VLOOKUP("industry|PM25|Asthma symptoms cough", US_national_yearly!$D:$AM, 22, FALSE) / VLOOKUP("industry|PM25|Asthma symptoms cough", US_national_yearly!$D:$AM, 10, FALSE), 1)</f>
        <v>5.8339648853554457E-2</v>
      </c>
      <c r="O6" s="7">
        <f>$B6 * IFERROR(VLOOKUP("industry|PM25|Asthma symptoms cough", US_national_yearly!$D:$AM, 23, FALSE) / VLOOKUP("industry|PM25|Asthma symptoms cough", US_national_yearly!$D:$AM, 10, FALSE), 1)</f>
        <v>5.8339648853554457E-2</v>
      </c>
      <c r="P6" s="7">
        <f>$B6 * IFERROR(VLOOKUP("industry|PM25|Asthma symptoms cough", US_national_yearly!$D:$AM, 24, FALSE) / VLOOKUP("industry|PM25|Asthma symptoms cough", US_national_yearly!$D:$AM, 10, FALSE), 1)</f>
        <v>5.8339648853554457E-2</v>
      </c>
      <c r="Q6" s="7">
        <f>$B6 * IFERROR(VLOOKUP("industry|PM25|Asthma symptoms cough", US_national_yearly!$D:$AM, 25, FALSE) / VLOOKUP("industry|PM25|Asthma symptoms cough", US_national_yearly!$D:$AM, 10, FALSE), 1)</f>
        <v>5.8339648853554457E-2</v>
      </c>
      <c r="R6" s="7">
        <f>$B6 * IFERROR(VLOOKUP("industry|PM25|Asthma symptoms cough", US_national_yearly!$D:$AM, 26, FALSE) / VLOOKUP("industry|PM25|Asthma symptoms cough", US_national_yearly!$D:$AM, 10, FALSE), 1)</f>
        <v>5.8339648853554457E-2</v>
      </c>
      <c r="S6" s="7">
        <f>$B6 * IFERROR(VLOOKUP("industry|PM25|Asthma symptoms cough", US_national_yearly!$D:$AM, 27, FALSE) / VLOOKUP("industry|PM25|Asthma symptoms cough", US_national_yearly!$D:$AM, 10, FALSE), 1)</f>
        <v>5.8339648853554457E-2</v>
      </c>
      <c r="T6" s="7">
        <f>$B6 * IFERROR(VLOOKUP("industry|PM25|Asthma symptoms cough", US_national_yearly!$D:$AM, 28, FALSE) / VLOOKUP("industry|PM25|Asthma symptoms cough", US_national_yearly!$D:$AM, 10, FALSE), 1)</f>
        <v>5.8339648853554457E-2</v>
      </c>
      <c r="U6" s="7">
        <f>$B6 * IFERROR(VLOOKUP("industry|PM25|Asthma symptoms cough", US_national_yearly!$D:$AM, 29, FALSE) / VLOOKUP("industry|PM25|Asthma symptoms cough", US_national_yearly!$D:$AM, 10, FALSE), 1)</f>
        <v>5.8339648853554457E-2</v>
      </c>
      <c r="V6" s="7">
        <f>$B6 * IFERROR(VLOOKUP("industry|PM25|Asthma symptoms cough", US_national_yearly!$D:$AM, 30, FALSE) / VLOOKUP("industry|PM25|Asthma symptoms cough", US_national_yearly!$D:$AM, 10, FALSE), 1)</f>
        <v>5.8339648853554457E-2</v>
      </c>
      <c r="W6" s="7">
        <f>$B6 * IFERROR(VLOOKUP("industry|PM25|Asthma symptoms cough", US_national_yearly!$D:$AM, 31, FALSE) / VLOOKUP("industry|PM25|Asthma symptoms cough", US_national_yearly!$D:$AM, 10, FALSE), 1)</f>
        <v>5.8339648853554457E-2</v>
      </c>
      <c r="X6" s="7">
        <f>$B6 * IFERROR(VLOOKUP("industry|PM25|Asthma symptoms cough", US_national_yearly!$D:$AM, 32, FALSE) / VLOOKUP("industry|PM25|Asthma symptoms cough", US_national_yearly!$D:$AM, 10, FALSE), 1)</f>
        <v>5.8339648853554457E-2</v>
      </c>
      <c r="Y6" s="7">
        <f>$B6 * IFERROR(VLOOKUP("industry|PM25|Asthma symptoms cough", US_national_yearly!$D:$AM, 33, FALSE) / VLOOKUP("industry|PM25|Asthma symptoms cough", US_national_yearly!$D:$AM, 10, FALSE), 1)</f>
        <v>5.8339648853554457E-2</v>
      </c>
      <c r="Z6" s="7">
        <f>$B6 * IFERROR(VLOOKUP("industry|PM25|Asthma symptoms cough", US_national_yearly!$D:$AM, 34, FALSE) / VLOOKUP("industry|PM25|Asthma symptoms cough", US_national_yearly!$D:$AM, 10, FALSE), 1)</f>
        <v>5.8339648853554457E-2</v>
      </c>
      <c r="AA6" s="7">
        <f>$B6 * IFERROR(VLOOKUP("industry|PM25|Asthma symptoms cough", US_national_yearly!$D:$AM, 35, FALSE) / VLOOKUP("industry|PM25|Asthma symptoms cough", US_national_yearly!$D:$AM, 10, FALSE), 1)</f>
        <v>5.8339648853554457E-2</v>
      </c>
      <c r="AB6" s="7">
        <f>$B6 * IFERROR(VLOOKUP("industry|PM25|Asthma symptoms cough", US_national_yearly!$D:$AM, 36, FALSE) / VLOOKUP("industry|PM25|Asthma symptoms cough", US_national_yearly!$D:$AM, 10, FALSE), 1)</f>
        <v>5.8339648853554457E-2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7.8557746170161813E-2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7.8557746170161813E-2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7.8557746170161813E-2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7.8557746170161813E-2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7.8557746170161813E-2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7.8557746170161813E-2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7.8557746170161813E-2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7.8557746170161813E-2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7.8557746170161813E-2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7.8557746170161813E-2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7.8557746170161813E-2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7.8557746170161813E-2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7.8557746170161813E-2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7.8557746170161813E-2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7.8557746170161813E-2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7.8557746170161813E-2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7.8557746170161813E-2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7.8557746170161813E-2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7.8557746170161813E-2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7.8557746170161813E-2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7.8557746170161813E-2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7.8557746170161813E-2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7.8557746170161813E-2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7.8557746170161813E-2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7.8557746170161813E-2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7.8557746170161813E-2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7.8557746170161813E-2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0.1200409416731823</v>
      </c>
      <c r="C8" s="7">
        <f>$B8 * IFERROR(VLOOKUP("industry|PM25|Asthma symptoms wheeze", US_national_yearly!$D:$AM, 11, FALSE) / VLOOKUP("industry|PM25|Asthma symptoms wheeze", US_national_yearly!$D:$AM, 10, FALSE), 1)</f>
        <v>0.1200409416731823</v>
      </c>
      <c r="D8" s="7">
        <f>$B8 * IFERROR(VLOOKUP("industry|PM25|Asthma symptoms wheeze", US_national_yearly!$D:$AM, 12, FALSE) / VLOOKUP("industry|PM25|Asthma symptoms wheeze", US_national_yearly!$D:$AM, 10, FALSE), 1)</f>
        <v>0.1200409416731823</v>
      </c>
      <c r="E8" s="7">
        <f>$B8 * IFERROR(VLOOKUP("industry|PM25|Asthma symptoms wheeze", US_national_yearly!$D:$AM, 13, FALSE) / VLOOKUP("industry|PM25|Asthma symptoms wheeze", US_national_yearly!$D:$AM, 10, FALSE), 1)</f>
        <v>0.1200409416731823</v>
      </c>
      <c r="F8" s="7">
        <f>$B8 * IFERROR(VLOOKUP("industry|PM25|Asthma symptoms wheeze", US_national_yearly!$D:$AM, 14, FALSE) / VLOOKUP("industry|PM25|Asthma symptoms wheeze", US_national_yearly!$D:$AM, 10, FALSE), 1)</f>
        <v>0.1200409416731823</v>
      </c>
      <c r="G8" s="7">
        <f>$B8 * IFERROR(VLOOKUP("industry|PM25|Asthma symptoms wheeze", US_national_yearly!$D:$AM, 15, FALSE) / VLOOKUP("industry|PM25|Asthma symptoms wheeze", US_national_yearly!$D:$AM, 10, FALSE), 1)</f>
        <v>0.1200409416731823</v>
      </c>
      <c r="H8" s="7">
        <f>$B8 * IFERROR(VLOOKUP("industry|PM25|Asthma symptoms wheeze", US_national_yearly!$D:$AM, 16, FALSE) / VLOOKUP("industry|PM25|Asthma symptoms wheeze", US_national_yearly!$D:$AM, 10, FALSE), 1)</f>
        <v>0.1200409416731823</v>
      </c>
      <c r="I8" s="7">
        <f>$B8 * IFERROR(VLOOKUP("industry|PM25|Asthma symptoms wheeze", US_national_yearly!$D:$AM, 17, FALSE) / VLOOKUP("industry|PM25|Asthma symptoms wheeze", US_national_yearly!$D:$AM, 10, FALSE), 1)</f>
        <v>0.1200409416731823</v>
      </c>
      <c r="J8" s="7">
        <f>$B8 * IFERROR(VLOOKUP("industry|PM25|Asthma symptoms wheeze", US_national_yearly!$D:$AM, 18, FALSE) / VLOOKUP("industry|PM25|Asthma symptoms wheeze", US_national_yearly!$D:$AM, 10, FALSE), 1)</f>
        <v>0.1200409416731823</v>
      </c>
      <c r="K8" s="7">
        <f>$B8 * IFERROR(VLOOKUP("industry|PM25|Asthma symptoms wheeze", US_national_yearly!$D:$AM, 19, FALSE) / VLOOKUP("industry|PM25|Asthma symptoms wheeze", US_national_yearly!$D:$AM, 10, FALSE), 1)</f>
        <v>0.1200409416731823</v>
      </c>
      <c r="L8" s="7">
        <f>$B8 * IFERROR(VLOOKUP("industry|PM25|Asthma symptoms wheeze", US_national_yearly!$D:$AM, 20, FALSE) / VLOOKUP("industry|PM25|Asthma symptoms wheeze", US_national_yearly!$D:$AM, 10, FALSE), 1)</f>
        <v>0.1200409416731823</v>
      </c>
      <c r="M8" s="7">
        <f>$B8 * IFERROR(VLOOKUP("industry|PM25|Asthma symptoms wheeze", US_national_yearly!$D:$AM, 21, FALSE) / VLOOKUP("industry|PM25|Asthma symptoms wheeze", US_national_yearly!$D:$AM, 10, FALSE), 1)</f>
        <v>0.1200409416731823</v>
      </c>
      <c r="N8" s="7">
        <f>$B8 * IFERROR(VLOOKUP("industry|PM25|Asthma symptoms wheeze", US_national_yearly!$D:$AM, 22, FALSE) / VLOOKUP("industry|PM25|Asthma symptoms wheeze", US_national_yearly!$D:$AM, 10, FALSE), 1)</f>
        <v>0.1200409416731823</v>
      </c>
      <c r="O8" s="7">
        <f>$B8 * IFERROR(VLOOKUP("industry|PM25|Asthma symptoms wheeze", US_national_yearly!$D:$AM, 23, FALSE) / VLOOKUP("industry|PM25|Asthma symptoms wheeze", US_national_yearly!$D:$AM, 10, FALSE), 1)</f>
        <v>0.1200409416731823</v>
      </c>
      <c r="P8" s="7">
        <f>$B8 * IFERROR(VLOOKUP("industry|PM25|Asthma symptoms wheeze", US_national_yearly!$D:$AM, 24, FALSE) / VLOOKUP("industry|PM25|Asthma symptoms wheeze", US_national_yearly!$D:$AM, 10, FALSE), 1)</f>
        <v>0.1200409416731823</v>
      </c>
      <c r="Q8" s="7">
        <f>$B8 * IFERROR(VLOOKUP("industry|PM25|Asthma symptoms wheeze", US_national_yearly!$D:$AM, 25, FALSE) / VLOOKUP("industry|PM25|Asthma symptoms wheeze", US_national_yearly!$D:$AM, 10, FALSE), 1)</f>
        <v>0.1200409416731823</v>
      </c>
      <c r="R8" s="7">
        <f>$B8 * IFERROR(VLOOKUP("industry|PM25|Asthma symptoms wheeze", US_national_yearly!$D:$AM, 26, FALSE) / VLOOKUP("industry|PM25|Asthma symptoms wheeze", US_national_yearly!$D:$AM, 10, FALSE), 1)</f>
        <v>0.1200409416731823</v>
      </c>
      <c r="S8" s="7">
        <f>$B8 * IFERROR(VLOOKUP("industry|PM25|Asthma symptoms wheeze", US_national_yearly!$D:$AM, 27, FALSE) / VLOOKUP("industry|PM25|Asthma symptoms wheeze", US_national_yearly!$D:$AM, 10, FALSE), 1)</f>
        <v>0.1200409416731823</v>
      </c>
      <c r="T8" s="7">
        <f>$B8 * IFERROR(VLOOKUP("industry|PM25|Asthma symptoms wheeze", US_national_yearly!$D:$AM, 28, FALSE) / VLOOKUP("industry|PM25|Asthma symptoms wheeze", US_national_yearly!$D:$AM, 10, FALSE), 1)</f>
        <v>0.1200409416731823</v>
      </c>
      <c r="U8" s="7">
        <f>$B8 * IFERROR(VLOOKUP("industry|PM25|Asthma symptoms wheeze", US_national_yearly!$D:$AM, 29, FALSE) / VLOOKUP("industry|PM25|Asthma symptoms wheeze", US_national_yearly!$D:$AM, 10, FALSE), 1)</f>
        <v>0.1200409416731823</v>
      </c>
      <c r="V8" s="7">
        <f>$B8 * IFERROR(VLOOKUP("industry|PM25|Asthma symptoms wheeze", US_national_yearly!$D:$AM, 30, FALSE) / VLOOKUP("industry|PM25|Asthma symptoms wheeze", US_national_yearly!$D:$AM, 10, FALSE), 1)</f>
        <v>0.1200409416731823</v>
      </c>
      <c r="W8" s="7">
        <f>$B8 * IFERROR(VLOOKUP("industry|PM25|Asthma symptoms wheeze", US_national_yearly!$D:$AM, 31, FALSE) / VLOOKUP("industry|PM25|Asthma symptoms wheeze", US_national_yearly!$D:$AM, 10, FALSE), 1)</f>
        <v>0.1200409416731823</v>
      </c>
      <c r="X8" s="7">
        <f>$B8 * IFERROR(VLOOKUP("industry|PM25|Asthma symptoms wheeze", US_national_yearly!$D:$AM, 32, FALSE) / VLOOKUP("industry|PM25|Asthma symptoms wheeze", US_national_yearly!$D:$AM, 10, FALSE), 1)</f>
        <v>0.1200409416731823</v>
      </c>
      <c r="Y8" s="7">
        <f>$B8 * IFERROR(VLOOKUP("industry|PM25|Asthma symptoms wheeze", US_national_yearly!$D:$AM, 33, FALSE) / VLOOKUP("industry|PM25|Asthma symptoms wheeze", US_national_yearly!$D:$AM, 10, FALSE), 1)</f>
        <v>0.1200409416731823</v>
      </c>
      <c r="Z8" s="7">
        <f>$B8 * IFERROR(VLOOKUP("industry|PM25|Asthma symptoms wheeze", US_national_yearly!$D:$AM, 34, FALSE) / VLOOKUP("industry|PM25|Asthma symptoms wheeze", US_national_yearly!$D:$AM, 10, FALSE), 1)</f>
        <v>0.1200409416731823</v>
      </c>
      <c r="AA8" s="7">
        <f>$B8 * IFERROR(VLOOKUP("industry|PM25|Asthma symptoms wheeze", US_national_yearly!$D:$AM, 35, FALSE) / VLOOKUP("industry|PM25|Asthma symptoms wheeze", US_national_yearly!$D:$AM, 10, FALSE), 1)</f>
        <v>0.1200409416731823</v>
      </c>
      <c r="AB8" s="7">
        <f>$B8 * IFERROR(VLOOKUP("industry|PM25|Asthma symptoms wheeze", US_national_yearly!$D:$AM, 36, FALSE) / VLOOKUP("industry|PM25|Asthma symptoms wheeze", US_national_yearly!$D:$AM, 10, FALSE), 1)</f>
        <v>0.1200409416731823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1.2439027321850271E-3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1.2509650691320871E-3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1.2580274060791472E-3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1.2650897430262075E-3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1.2721520799732677E-3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1.279787798323494E-3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1.2874235166737203E-3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1.2946669561515287E-3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1.3019103956293373E-3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1.3091538351071455E-3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1.3163972745849539E-3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1.3236407140627625E-3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1.3287637958994342E-3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1.3338868777361059E-3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1.3390099595727777E-3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1.3441330414094494E-3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1.3492561232461213E-3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1.3540880951657692E-3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1.3589200670854171E-3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1.3637520390050652E-3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1.3685840109247131E-3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1.3734159828443612E-3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1.3780684693007362E-3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1.3827209557571113E-3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1.3873734422134867E-3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1.392025928669862E-3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1.3966784151262369E-3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7.8564306833524434E-3</v>
      </c>
      <c r="C13" s="7">
        <f>$B13 * IFERROR(VLOOKUP("industry|PM25|Non-fatal heart attacks", US_national_yearly!$D:$AM, 11, FALSE) / VLOOKUP("industry|PM25|Non-fatal heart attacks", US_national_yearly!$D:$AM, 10, FALSE), 1)</f>
        <v>8.0851334405474071E-3</v>
      </c>
      <c r="D13" s="7">
        <f>$B13 * IFERROR(VLOOKUP("industry|PM25|Non-fatal heart attacks", US_national_yearly!$D:$AM, 12, FALSE) / VLOOKUP("industry|PM25|Non-fatal heart attacks", US_national_yearly!$D:$AM, 10, FALSE), 1)</f>
        <v>8.3138361977423709E-3</v>
      </c>
      <c r="E13" s="7">
        <f>$B13 * IFERROR(VLOOKUP("industry|PM25|Non-fatal heart attacks", US_national_yearly!$D:$AM, 13, FALSE) / VLOOKUP("industry|PM25|Non-fatal heart attacks", US_national_yearly!$D:$AM, 10, FALSE), 1)</f>
        <v>8.5425389549373346E-3</v>
      </c>
      <c r="F13" s="7">
        <f>$B13 * IFERROR(VLOOKUP("industry|PM25|Non-fatal heart attacks", US_national_yearly!$D:$AM, 14, FALSE) / VLOOKUP("industry|PM25|Non-fatal heart attacks", US_national_yearly!$D:$AM, 10, FALSE), 1)</f>
        <v>8.7712417121322984E-3</v>
      </c>
      <c r="G13" s="7">
        <f>$B13 * IFERROR(VLOOKUP("industry|PM25|Non-fatal heart attacks", US_national_yearly!$D:$AM, 15, FALSE) / VLOOKUP("industry|PM25|Non-fatal heart attacks", US_national_yearly!$D:$AM, 10, FALSE), 1)</f>
        <v>8.9871531957535222E-3</v>
      </c>
      <c r="H13" s="7">
        <f>$B13 * IFERROR(VLOOKUP("industry|PM25|Non-fatal heart attacks", US_national_yearly!$D:$AM, 16, FALSE) / VLOOKUP("industry|PM25|Non-fatal heart attacks", US_national_yearly!$D:$AM, 10, FALSE), 1)</f>
        <v>9.2030646793747495E-3</v>
      </c>
      <c r="I13" s="7">
        <f>$B13 * IFERROR(VLOOKUP("industry|PM25|Non-fatal heart attacks", US_national_yearly!$D:$AM, 17, FALSE) / VLOOKUP("industry|PM25|Non-fatal heart attacks", US_national_yearly!$D:$AM, 10, FALSE), 1)</f>
        <v>9.3774151963916079E-3</v>
      </c>
      <c r="J13" s="7">
        <f>$B13 * IFERROR(VLOOKUP("industry|PM25|Non-fatal heart attacks", US_national_yearly!$D:$AM, 18, FALSE) / VLOOKUP("industry|PM25|Non-fatal heart attacks", US_national_yearly!$D:$AM, 10, FALSE), 1)</f>
        <v>9.5517657134084662E-3</v>
      </c>
      <c r="K13" s="7">
        <f>$B13 * IFERROR(VLOOKUP("industry|PM25|Non-fatal heart attacks", US_national_yearly!$D:$AM, 19, FALSE) / VLOOKUP("industry|PM25|Non-fatal heart attacks", US_national_yearly!$D:$AM, 10, FALSE), 1)</f>
        <v>9.7261162304253228E-3</v>
      </c>
      <c r="L13" s="7">
        <f>$B13 * IFERROR(VLOOKUP("industry|PM25|Non-fatal heart attacks", US_national_yearly!$D:$AM, 20, FALSE) / VLOOKUP("industry|PM25|Non-fatal heart attacks", US_national_yearly!$D:$AM, 10, FALSE), 1)</f>
        <v>9.9004667474421812E-3</v>
      </c>
      <c r="M13" s="7">
        <f>$B13 * IFERROR(VLOOKUP("industry|PM25|Non-fatal heart attacks", US_national_yearly!$D:$AM, 21, FALSE) / VLOOKUP("industry|PM25|Non-fatal heart attacks", US_national_yearly!$D:$AM, 10, FALSE), 1)</f>
        <v>1.0074817264459038E-2</v>
      </c>
      <c r="N13" s="7">
        <f>$B13 * IFERROR(VLOOKUP("industry|PM25|Non-fatal heart attacks", US_national_yearly!$D:$AM, 22, FALSE) / VLOOKUP("industry|PM25|Non-fatal heart attacks", US_national_yearly!$D:$AM, 10, FALSE), 1)</f>
        <v>1.0187544583452186E-2</v>
      </c>
      <c r="O13" s="7">
        <f>$B13 * IFERROR(VLOOKUP("industry|PM25|Non-fatal heart attacks", US_national_yearly!$D:$AM, 23, FALSE) / VLOOKUP("industry|PM25|Non-fatal heart attacks", US_national_yearly!$D:$AM, 10, FALSE), 1)</f>
        <v>1.0300271902445332E-2</v>
      </c>
      <c r="P13" s="7">
        <f>$B13 * IFERROR(VLOOKUP("industry|PM25|Non-fatal heart attacks", US_national_yearly!$D:$AM, 24, FALSE) / VLOOKUP("industry|PM25|Non-fatal heart attacks", US_national_yearly!$D:$AM, 10, FALSE), 1)</f>
        <v>1.041299922143848E-2</v>
      </c>
      <c r="Q13" s="7">
        <f>$B13 * IFERROR(VLOOKUP("industry|PM25|Non-fatal heart attacks", US_national_yearly!$D:$AM, 25, FALSE) / VLOOKUP("industry|PM25|Non-fatal heart attacks", US_national_yearly!$D:$AM, 10, FALSE), 1)</f>
        <v>1.0525726540431624E-2</v>
      </c>
      <c r="R13" s="7">
        <f>$B13 * IFERROR(VLOOKUP("industry|PM25|Non-fatal heart attacks", US_national_yearly!$D:$AM, 26, FALSE) / VLOOKUP("industry|PM25|Non-fatal heart attacks", US_national_yearly!$D:$AM, 10, FALSE), 1)</f>
        <v>1.063845385942477E-2</v>
      </c>
      <c r="S13" s="7">
        <f>$B13 * IFERROR(VLOOKUP("industry|PM25|Non-fatal heart attacks", US_national_yearly!$D:$AM, 27, FALSE) / VLOOKUP("industry|PM25|Non-fatal heart attacks", US_national_yearly!$D:$AM, 10, FALSE), 1)</f>
        <v>1.0698661947696012E-2</v>
      </c>
      <c r="T13" s="7">
        <f>$B13 * IFERROR(VLOOKUP("industry|PM25|Non-fatal heart attacks", US_national_yearly!$D:$AM, 28, FALSE) / VLOOKUP("industry|PM25|Non-fatal heart attacks", US_national_yearly!$D:$AM, 10, FALSE), 1)</f>
        <v>1.0758870035967257E-2</v>
      </c>
      <c r="U13" s="7">
        <f>$B13 * IFERROR(VLOOKUP("industry|PM25|Non-fatal heart attacks", US_national_yearly!$D:$AM, 29, FALSE) / VLOOKUP("industry|PM25|Non-fatal heart attacks", US_national_yearly!$D:$AM, 10, FALSE), 1)</f>
        <v>1.0819078124238501E-2</v>
      </c>
      <c r="V13" s="7">
        <f>$B13 * IFERROR(VLOOKUP("industry|PM25|Non-fatal heart attacks", US_national_yearly!$D:$AM, 30, FALSE) / VLOOKUP("industry|PM25|Non-fatal heart attacks", US_national_yearly!$D:$AM, 10, FALSE), 1)</f>
        <v>1.0879286212509743E-2</v>
      </c>
      <c r="W13" s="7">
        <f>$B13 * IFERROR(VLOOKUP("industry|PM25|Non-fatal heart attacks", US_national_yearly!$D:$AM, 31, FALSE) / VLOOKUP("industry|PM25|Non-fatal heart attacks", US_national_yearly!$D:$AM, 10, FALSE), 1)</f>
        <v>1.0939494300780988E-2</v>
      </c>
      <c r="X13" s="7">
        <f>$B13 * IFERROR(VLOOKUP("industry|PM25|Non-fatal heart attacks", US_national_yearly!$D:$AM, 32, FALSE) / VLOOKUP("industry|PM25|Non-fatal heart attacks", US_national_yearly!$D:$AM, 10, FALSE), 1)</f>
        <v>1.0985962514774574E-2</v>
      </c>
      <c r="Y13" s="7">
        <f>$B13 * IFERROR(VLOOKUP("industry|PM25|Non-fatal heart attacks", US_national_yearly!$D:$AM, 33, FALSE) / VLOOKUP("industry|PM25|Non-fatal heart attacks", US_national_yearly!$D:$AM, 10, FALSE), 1)</f>
        <v>1.103243072876816E-2</v>
      </c>
      <c r="Z13" s="7">
        <f>$B13 * IFERROR(VLOOKUP("industry|PM25|Non-fatal heart attacks", US_national_yearly!$D:$AM, 34, FALSE) / VLOOKUP("industry|PM25|Non-fatal heart attacks", US_national_yearly!$D:$AM, 10, FALSE), 1)</f>
        <v>1.1078898942761747E-2</v>
      </c>
      <c r="AA13" s="7">
        <f>$B13 * IFERROR(VLOOKUP("industry|PM25|Non-fatal heart attacks", US_national_yearly!$D:$AM, 35, FALSE) / VLOOKUP("industry|PM25|Non-fatal heart attacks", US_national_yearly!$D:$AM, 10, FALSE), 1)</f>
        <v>1.1125367156755333E-2</v>
      </c>
      <c r="AB13" s="7">
        <f>$B13 * IFERROR(VLOOKUP("industry|PM25|Non-fatal heart attacks", US_national_yearly!$D:$AM, 36, FALSE) / VLOOKUP("industry|PM25|Non-fatal heart attacks", US_national_yearly!$D:$AM, 10, FALSE), 1)</f>
        <v>1.1171835370748921E-2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7.5158132385404981</v>
      </c>
      <c r="C14" s="7">
        <f>$B14 * IFERROR(VLOOKUP("industry|PM25|Minor restricted activity days", US_national_yearly!$D:$AM, 11, FALSE) / VLOOKUP("industry|PM25|Minor restricted activity days", US_national_yearly!$D:$AM, 10, FALSE), 1)</f>
        <v>7.5342207109511907</v>
      </c>
      <c r="D14" s="7">
        <f>$B14 * IFERROR(VLOOKUP("industry|PM25|Minor restricted activity days", US_national_yearly!$D:$AM, 12, FALSE) / VLOOKUP("industry|PM25|Minor restricted activity days", US_national_yearly!$D:$AM, 10, FALSE), 1)</f>
        <v>7.5526281833618842</v>
      </c>
      <c r="E14" s="7">
        <f>$B14 * IFERROR(VLOOKUP("industry|PM25|Minor restricted activity days", US_national_yearly!$D:$AM, 13, FALSE) / VLOOKUP("industry|PM25|Minor restricted activity days", US_national_yearly!$D:$AM, 10, FALSE), 1)</f>
        <v>7.5710356557725769</v>
      </c>
      <c r="F14" s="7">
        <f>$B14 * IFERROR(VLOOKUP("industry|PM25|Minor restricted activity days", US_national_yearly!$D:$AM, 14, FALSE) / VLOOKUP("industry|PM25|Minor restricted activity days", US_national_yearly!$D:$AM, 10, FALSE), 1)</f>
        <v>7.5894431281832695</v>
      </c>
      <c r="G14" s="7">
        <f>$B14 * IFERROR(VLOOKUP("industry|PM25|Minor restricted activity days", US_national_yearly!$D:$AM, 15, FALSE) / VLOOKUP("industry|PM25|Minor restricted activity days", US_national_yearly!$D:$AM, 10, FALSE), 1)</f>
        <v>7.6164623059401784</v>
      </c>
      <c r="H14" s="7">
        <f>$B14 * IFERROR(VLOOKUP("industry|PM25|Minor restricted activity days", US_national_yearly!$D:$AM, 16, FALSE) / VLOOKUP("industry|PM25|Minor restricted activity days", US_national_yearly!$D:$AM, 10, FALSE), 1)</f>
        <v>7.6434814836970864</v>
      </c>
      <c r="I14" s="7">
        <f>$B14 * IFERROR(VLOOKUP("industry|PM25|Minor restricted activity days", US_national_yearly!$D:$AM, 17, FALSE) / VLOOKUP("industry|PM25|Minor restricted activity days", US_national_yearly!$D:$AM, 10, FALSE), 1)</f>
        <v>7.6893801193348201</v>
      </c>
      <c r="J14" s="7">
        <f>$B14 * IFERROR(VLOOKUP("industry|PM25|Minor restricted activity days", US_national_yearly!$D:$AM, 18, FALSE) / VLOOKUP("industry|PM25|Minor restricted activity days", US_national_yearly!$D:$AM, 10, FALSE), 1)</f>
        <v>7.7352787549725548</v>
      </c>
      <c r="K14" s="7">
        <f>$B14 * IFERROR(VLOOKUP("industry|PM25|Minor restricted activity days", US_national_yearly!$D:$AM, 19, FALSE) / VLOOKUP("industry|PM25|Minor restricted activity days", US_national_yearly!$D:$AM, 10, FALSE), 1)</f>
        <v>7.7811773906102868</v>
      </c>
      <c r="L14" s="7">
        <f>$B14 * IFERROR(VLOOKUP("industry|PM25|Minor restricted activity days", US_national_yearly!$D:$AM, 20, FALSE) / VLOOKUP("industry|PM25|Minor restricted activity days", US_national_yearly!$D:$AM, 10, FALSE), 1)</f>
        <v>7.8270760262480206</v>
      </c>
      <c r="M14" s="7">
        <f>$B14 * IFERROR(VLOOKUP("industry|PM25|Minor restricted activity days", US_national_yearly!$D:$AM, 21, FALSE) / VLOOKUP("industry|PM25|Minor restricted activity days", US_national_yearly!$D:$AM, 10, FALSE), 1)</f>
        <v>7.8729746618857535</v>
      </c>
      <c r="N14" s="7">
        <f>$B14 * IFERROR(VLOOKUP("industry|PM25|Minor restricted activity days", US_national_yearly!$D:$AM, 22, FALSE) / VLOOKUP("industry|PM25|Minor restricted activity days", US_national_yearly!$D:$AM, 10, FALSE), 1)</f>
        <v>7.9356767302408739</v>
      </c>
      <c r="O14" s="7">
        <f>$B14 * IFERROR(VLOOKUP("industry|PM25|Minor restricted activity days", US_national_yearly!$D:$AM, 23, FALSE) / VLOOKUP("industry|PM25|Minor restricted activity days", US_national_yearly!$D:$AM, 10, FALSE), 1)</f>
        <v>7.9983787985960006</v>
      </c>
      <c r="P14" s="7">
        <f>$B14 * IFERROR(VLOOKUP("industry|PM25|Minor restricted activity days", US_national_yearly!$D:$AM, 24, FALSE) / VLOOKUP("industry|PM25|Minor restricted activity days", US_national_yearly!$D:$AM, 10, FALSE), 1)</f>
        <v>8.0610808669511211</v>
      </c>
      <c r="Q14" s="7">
        <f>$B14 * IFERROR(VLOOKUP("industry|PM25|Minor restricted activity days", US_national_yearly!$D:$AM, 25, FALSE) / VLOOKUP("industry|PM25|Minor restricted activity days", US_national_yearly!$D:$AM, 10, FALSE), 1)</f>
        <v>8.1237829353062505</v>
      </c>
      <c r="R14" s="7">
        <f>$B14 * IFERROR(VLOOKUP("industry|PM25|Minor restricted activity days", US_national_yearly!$D:$AM, 26, FALSE) / VLOOKUP("industry|PM25|Minor restricted activity days", US_national_yearly!$D:$AM, 10, FALSE), 1)</f>
        <v>8.186485003661371</v>
      </c>
      <c r="S14" s="7">
        <f>$B14 * IFERROR(VLOOKUP("industry|PM25|Minor restricted activity days", US_national_yearly!$D:$AM, 27, FALSE) / VLOOKUP("industry|PM25|Minor restricted activity days", US_national_yearly!$D:$AM, 10, FALSE), 1)</f>
        <v>8.2497890363952919</v>
      </c>
      <c r="T14" s="7">
        <f>$B14 * IFERROR(VLOOKUP("industry|PM25|Minor restricted activity days", US_national_yearly!$D:$AM, 28, FALSE) / VLOOKUP("industry|PM25|Minor restricted activity days", US_national_yearly!$D:$AM, 10, FALSE), 1)</f>
        <v>8.3130930691292164</v>
      </c>
      <c r="U14" s="7">
        <f>$B14 * IFERROR(VLOOKUP("industry|PM25|Minor restricted activity days", US_national_yearly!$D:$AM, 29, FALSE) / VLOOKUP("industry|PM25|Minor restricted activity days", US_national_yearly!$D:$AM, 10, FALSE), 1)</f>
        <v>8.3763971018631391</v>
      </c>
      <c r="V14" s="7">
        <f>$B14 * IFERROR(VLOOKUP("industry|PM25|Minor restricted activity days", US_national_yearly!$D:$AM, 30, FALSE) / VLOOKUP("industry|PM25|Minor restricted activity days", US_national_yearly!$D:$AM, 10, FALSE), 1)</f>
        <v>8.4397011345970618</v>
      </c>
      <c r="W14" s="7">
        <f>$B14 * IFERROR(VLOOKUP("industry|PM25|Minor restricted activity days", US_national_yearly!$D:$AM, 31, FALSE) / VLOOKUP("industry|PM25|Minor restricted activity days", US_national_yearly!$D:$AM, 10, FALSE), 1)</f>
        <v>8.5030051673309845</v>
      </c>
      <c r="X14" s="7">
        <f>$B14 * IFERROR(VLOOKUP("industry|PM25|Minor restricted activity days", US_national_yearly!$D:$AM, 32, FALSE) / VLOOKUP("industry|PM25|Minor restricted activity days", US_national_yearly!$D:$AM, 10, FALSE), 1)</f>
        <v>8.5580140533944871</v>
      </c>
      <c r="Y14" s="7">
        <f>$B14 * IFERROR(VLOOKUP("industry|PM25|Minor restricted activity days", US_national_yearly!$D:$AM, 33, FALSE) / VLOOKUP("industry|PM25|Minor restricted activity days", US_national_yearly!$D:$AM, 10, FALSE), 1)</f>
        <v>8.6130229394579914</v>
      </c>
      <c r="Z14" s="7">
        <f>$B14 * IFERROR(VLOOKUP("industry|PM25|Minor restricted activity days", US_national_yearly!$D:$AM, 34, FALSE) / VLOOKUP("industry|PM25|Minor restricted activity days", US_national_yearly!$D:$AM, 10, FALSE), 1)</f>
        <v>8.6680318255214956</v>
      </c>
      <c r="AA14" s="7">
        <f>$B14 * IFERROR(VLOOKUP("industry|PM25|Minor restricted activity days", US_national_yearly!$D:$AM, 35, FALSE) / VLOOKUP("industry|PM25|Minor restricted activity days", US_national_yearly!$D:$AM, 10, FALSE), 1)</f>
        <v>8.7230407115849999</v>
      </c>
      <c r="AB14" s="7">
        <f>$B14 * IFERROR(VLOOKUP("industry|PM25|Minor restricted activity days", US_national_yearly!$D:$AM, 36, FALSE) / VLOOKUP("industry|PM25|Minor restricted activity days", US_national_yearly!$D:$AM, 10, FALSE), 1)</f>
        <v>8.7780495976485042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1.2882958215743385</v>
      </c>
      <c r="C15" s="7">
        <f>$B15 * IFERROR(VLOOKUP("industry|PM25|Work loss days", US_national_yearly!$D:$AM, 11, FALSE) / VLOOKUP("industry|PM25|Work loss days", US_national_yearly!$D:$AM, 10, FALSE), 1)</f>
        <v>1.2922900558713675</v>
      </c>
      <c r="D15" s="7">
        <f>$B15 * IFERROR(VLOOKUP("industry|PM25|Work loss days", US_national_yearly!$D:$AM, 12, FALSE) / VLOOKUP("industry|PM25|Work loss days", US_national_yearly!$D:$AM, 10, FALSE), 1)</f>
        <v>1.2962842901683964</v>
      </c>
      <c r="E15" s="7">
        <f>$B15 * IFERROR(VLOOKUP("industry|PM25|Work loss days", US_national_yearly!$D:$AM, 13, FALSE) / VLOOKUP("industry|PM25|Work loss days", US_national_yearly!$D:$AM, 10, FALSE), 1)</f>
        <v>1.3002785244654251</v>
      </c>
      <c r="F15" s="7">
        <f>$B15 * IFERROR(VLOOKUP("industry|PM25|Work loss days", US_national_yearly!$D:$AM, 14, FALSE) / VLOOKUP("industry|PM25|Work loss days", US_national_yearly!$D:$AM, 10, FALSE), 1)</f>
        <v>1.3042727587624541</v>
      </c>
      <c r="G15" s="7">
        <f>$B15 * IFERROR(VLOOKUP("industry|PM25|Work loss days", US_national_yearly!$D:$AM, 15, FALSE) / VLOOKUP("industry|PM25|Work loss days", US_national_yearly!$D:$AM, 10, FALSE), 1)</f>
        <v>1.3094874065241422</v>
      </c>
      <c r="H15" s="7">
        <f>$B15 * IFERROR(VLOOKUP("industry|PM25|Work loss days", US_national_yearly!$D:$AM, 16, FALSE) / VLOOKUP("industry|PM25|Work loss days", US_national_yearly!$D:$AM, 10, FALSE), 1)</f>
        <v>1.3147020542858303</v>
      </c>
      <c r="I15" s="7">
        <f>$B15 * IFERROR(VLOOKUP("industry|PM25|Work loss days", US_national_yearly!$D:$AM, 17, FALSE) / VLOOKUP("industry|PM25|Work loss days", US_national_yearly!$D:$AM, 10, FALSE), 1)</f>
        <v>1.322337958242644</v>
      </c>
      <c r="J15" s="7">
        <f>$B15 * IFERROR(VLOOKUP("industry|PM25|Work loss days", US_national_yearly!$D:$AM, 18, FALSE) / VLOOKUP("industry|PM25|Work loss days", US_national_yearly!$D:$AM, 10, FALSE), 1)</f>
        <v>1.3299738621994575</v>
      </c>
      <c r="K15" s="7">
        <f>$B15 * IFERROR(VLOOKUP("industry|PM25|Work loss days", US_national_yearly!$D:$AM, 19, FALSE) / VLOOKUP("industry|PM25|Work loss days", US_national_yearly!$D:$AM, 10, FALSE), 1)</f>
        <v>1.3376097661562709</v>
      </c>
      <c r="L15" s="7">
        <f>$B15 * IFERROR(VLOOKUP("industry|PM25|Work loss days", US_national_yearly!$D:$AM, 20, FALSE) / VLOOKUP("industry|PM25|Work loss days", US_national_yearly!$D:$AM, 10, FALSE), 1)</f>
        <v>1.3452456701130844</v>
      </c>
      <c r="M15" s="7">
        <f>$B15 * IFERROR(VLOOKUP("industry|PM25|Work loss days", US_national_yearly!$D:$AM, 21, FALSE) / VLOOKUP("industry|PM25|Work loss days", US_national_yearly!$D:$AM, 10, FALSE), 1)</f>
        <v>1.3528815740698981</v>
      </c>
      <c r="N15" s="7">
        <f>$B15 * IFERROR(VLOOKUP("industry|PM25|Work loss days", US_national_yearly!$D:$AM, 22, FALSE) / VLOOKUP("industry|PM25|Work loss days", US_national_yearly!$D:$AM, 10, FALSE), 1)</f>
        <v>1.3625170825907849</v>
      </c>
      <c r="O15" s="7">
        <f>$B15 * IFERROR(VLOOKUP("industry|PM25|Work loss days", US_national_yearly!$D:$AM, 23, FALSE) / VLOOKUP("industry|PM25|Work loss days", US_national_yearly!$D:$AM, 10, FALSE), 1)</f>
        <v>1.3721525911116719</v>
      </c>
      <c r="P15" s="7">
        <f>$B15 * IFERROR(VLOOKUP("industry|PM25|Work loss days", US_national_yearly!$D:$AM, 24, FALSE) / VLOOKUP("industry|PM25|Work loss days", US_national_yearly!$D:$AM, 10, FALSE), 1)</f>
        <v>1.3817880996325584</v>
      </c>
      <c r="Q15" s="7">
        <f>$B15 * IFERROR(VLOOKUP("industry|PM25|Work loss days", US_national_yearly!$D:$AM, 25, FALSE) / VLOOKUP("industry|PM25|Work loss days", US_national_yearly!$D:$AM, 10, FALSE), 1)</f>
        <v>1.3914236081534452</v>
      </c>
      <c r="R15" s="7">
        <f>$B15 * IFERROR(VLOOKUP("industry|PM25|Work loss days", US_national_yearly!$D:$AM, 26, FALSE) / VLOOKUP("industry|PM25|Work loss days", US_national_yearly!$D:$AM, 10, FALSE), 1)</f>
        <v>1.4010591166743318</v>
      </c>
      <c r="S15" s="7">
        <f>$B15 * IFERROR(VLOOKUP("industry|PM25|Work loss days", US_national_yearly!$D:$AM, 27, FALSE) / VLOOKUP("industry|PM25|Work loss days", US_national_yearly!$D:$AM, 10, FALSE), 1)</f>
        <v>1.4117435296126419</v>
      </c>
      <c r="T15" s="7">
        <f>$B15 * IFERROR(VLOOKUP("industry|PM25|Work loss days", US_national_yearly!$D:$AM, 28, FALSE) / VLOOKUP("industry|PM25|Work loss days", US_national_yearly!$D:$AM, 10, FALSE), 1)</f>
        <v>1.4224279425509518</v>
      </c>
      <c r="U15" s="7">
        <f>$B15 * IFERROR(VLOOKUP("industry|PM25|Work loss days", US_national_yearly!$D:$AM, 29, FALSE) / VLOOKUP("industry|PM25|Work loss days", US_national_yearly!$D:$AM, 10, FALSE), 1)</f>
        <v>1.433112355489262</v>
      </c>
      <c r="V15" s="7">
        <f>$B15 * IFERROR(VLOOKUP("industry|PM25|Work loss days", US_national_yearly!$D:$AM, 30, FALSE) / VLOOKUP("industry|PM25|Work loss days", US_national_yearly!$D:$AM, 10, FALSE), 1)</f>
        <v>1.4437967684275719</v>
      </c>
      <c r="W15" s="7">
        <f>$B15 * IFERROR(VLOOKUP("industry|PM25|Work loss days", US_national_yearly!$D:$AM, 31, FALSE) / VLOOKUP("industry|PM25|Work loss days", US_national_yearly!$D:$AM, 10, FALSE), 1)</f>
        <v>1.454481181365882</v>
      </c>
      <c r="X15" s="7">
        <f>$B15 * IFERROR(VLOOKUP("industry|PM25|Work loss days", US_national_yearly!$D:$AM, 32, FALSE) / VLOOKUP("industry|PM25|Work loss days", US_national_yearly!$D:$AM, 10, FALSE), 1)</f>
        <v>1.4639756871554404</v>
      </c>
      <c r="Y15" s="7">
        <f>$B15 * IFERROR(VLOOKUP("industry|PM25|Work loss days", US_national_yearly!$D:$AM, 33, FALSE) / VLOOKUP("industry|PM25|Work loss days", US_national_yearly!$D:$AM, 10, FALSE), 1)</f>
        <v>1.4734701929449989</v>
      </c>
      <c r="Z15" s="7">
        <f>$B15 * IFERROR(VLOOKUP("industry|PM25|Work loss days", US_national_yearly!$D:$AM, 34, FALSE) / VLOOKUP("industry|PM25|Work loss days", US_national_yearly!$D:$AM, 10, FALSE), 1)</f>
        <v>1.4829646987345573</v>
      </c>
      <c r="AA15" s="7">
        <f>$B15 * IFERROR(VLOOKUP("industry|PM25|Work loss days", US_national_yearly!$D:$AM, 35, FALSE) / VLOOKUP("industry|PM25|Work loss days", US_national_yearly!$D:$AM, 10, FALSE), 1)</f>
        <v>1.4924592045241156</v>
      </c>
      <c r="AB15" s="7">
        <f>$B15 * IFERROR(VLOOKUP("industry|PM25|Work loss days", US_national_yearly!$D:$AM, 36, FALSE) / VLOOKUP("industry|PM25|Work loss days", US_national_yearly!$D:$AM, 10, FALSE), 1)</f>
        <v>1.5019537103136742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1.5316348879616695E-3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1.5774470694231426E-3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1.623259250884616E-3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1.6690714323460891E-3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1.714883613807562E-3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1.7587912876552633E-3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1.8026989615029642E-3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1.8403975473231258E-3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1.8780961331432871E-3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1.9157947189634491E-3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1.9534933047836108E-3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1.9911918906037724E-3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2.0163746880608809E-3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2.0415574855179889E-3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2.0667402829750974E-3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2.0919230804322059E-3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2.117105877889314E-3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2.1305982100703826E-3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2.1440905422514516E-3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2.1575828744325202E-3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2.1710752066135888E-3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2.1845675387946574E-3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2.1938326498489097E-3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2.2030977609031614E-3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2.2123628719574137E-3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2.2216279830116654E-3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2.2308930940659177E-3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2.8128268090814884E-5</v>
      </c>
      <c r="C2" s="7">
        <f>$B2 * IFERROR(VLOOKUP("industry|NOx|Premature mortality", US_national_yearly!$D:$AM, 11, FALSE) / VLOOKUP("industry|NOx|Premature mortality", US_national_yearly!$D:$AM, 10, FALSE), 1)</f>
        <v>2.8544193408008806E-5</v>
      </c>
      <c r="D2" s="7">
        <f>$B2 * IFERROR(VLOOKUP("industry|NOx|Premature mortality", US_national_yearly!$D:$AM, 12, FALSE) / VLOOKUP("industry|NOx|Premature mortality", US_national_yearly!$D:$AM, 10, FALSE), 1)</f>
        <v>2.8960118725202731E-5</v>
      </c>
      <c r="E2" s="7">
        <f>$B2 * IFERROR(VLOOKUP("industry|NOx|Premature mortality", US_national_yearly!$D:$AM, 13, FALSE) / VLOOKUP("industry|NOx|Premature mortality", US_national_yearly!$D:$AM, 10, FALSE), 1)</f>
        <v>2.9376044042396654E-5</v>
      </c>
      <c r="F2" s="7">
        <f>$B2 * IFERROR(VLOOKUP("industry|NOx|Premature mortality", US_national_yearly!$D:$AM, 14, FALSE) / VLOOKUP("industry|NOx|Premature mortality", US_national_yearly!$D:$AM, 10, FALSE), 1)</f>
        <v>2.9791969359590579E-5</v>
      </c>
      <c r="G2" s="7">
        <f>$B2 * IFERROR(VLOOKUP("industry|NOx|Premature mortality", US_national_yearly!$D:$AM, 15, FALSE) / VLOOKUP("industry|NOx|Premature mortality", US_national_yearly!$D:$AM, 10, FALSE), 1)</f>
        <v>3.0537879210068115E-5</v>
      </c>
      <c r="H2" s="7">
        <f>$B2 * IFERROR(VLOOKUP("industry|NOx|Premature mortality", US_national_yearly!$D:$AM, 16, FALSE) / VLOOKUP("industry|NOx|Premature mortality", US_national_yearly!$D:$AM, 10, FALSE), 1)</f>
        <v>3.1283789060545641E-5</v>
      </c>
      <c r="I2" s="7">
        <f>$B2 * IFERROR(VLOOKUP("industry|NOx|Premature mortality", US_national_yearly!$D:$AM, 17, FALSE) / VLOOKUP("industry|NOx|Premature mortality", US_national_yearly!$D:$AM, 10, FALSE), 1)</f>
        <v>3.1767685879281467E-5</v>
      </c>
      <c r="J2" s="7">
        <f>$B2 * IFERROR(VLOOKUP("industry|NOx|Premature mortality", US_national_yearly!$D:$AM, 18, FALSE) / VLOOKUP("industry|NOx|Premature mortality", US_national_yearly!$D:$AM, 10, FALSE), 1)</f>
        <v>3.2251582698017292E-5</v>
      </c>
      <c r="K2" s="7">
        <f>$B2 * IFERROR(VLOOKUP("industry|NOx|Premature mortality", US_national_yearly!$D:$AM, 19, FALSE) / VLOOKUP("industry|NOx|Premature mortality", US_national_yearly!$D:$AM, 10, FALSE), 1)</f>
        <v>3.2735479516753125E-5</v>
      </c>
      <c r="L2" s="7">
        <f>$B2 * IFERROR(VLOOKUP("industry|NOx|Premature mortality", US_national_yearly!$D:$AM, 20, FALSE) / VLOOKUP("industry|NOx|Premature mortality", US_national_yearly!$D:$AM, 10, FALSE), 1)</f>
        <v>3.3219376335488951E-5</v>
      </c>
      <c r="M2" s="7">
        <f>$B2 * IFERROR(VLOOKUP("industry|NOx|Premature mortality", US_national_yearly!$D:$AM, 21, FALSE) / VLOOKUP("industry|NOx|Premature mortality", US_national_yearly!$D:$AM, 10, FALSE), 1)</f>
        <v>3.3703273154224777E-5</v>
      </c>
      <c r="N2" s="7">
        <f>$B2 * IFERROR(VLOOKUP("industry|NOx|Premature mortality", US_national_yearly!$D:$AM, 22, FALSE) / VLOOKUP("industry|NOx|Premature mortality", US_national_yearly!$D:$AM, 10, FALSE), 1)</f>
        <v>3.4063355531276398E-5</v>
      </c>
      <c r="O2" s="7">
        <f>$B2 * IFERROR(VLOOKUP("industry|NOx|Premature mortality", US_national_yearly!$D:$AM, 23, FALSE) / VLOOKUP("industry|NOx|Premature mortality", US_national_yearly!$D:$AM, 10, FALSE), 1)</f>
        <v>3.4423437908328013E-5</v>
      </c>
      <c r="P2" s="7">
        <f>$B2 * IFERROR(VLOOKUP("industry|NOx|Premature mortality", US_national_yearly!$D:$AM, 24, FALSE) / VLOOKUP("industry|NOx|Premature mortality", US_national_yearly!$D:$AM, 10, FALSE), 1)</f>
        <v>3.4783520285379621E-5</v>
      </c>
      <c r="Q2" s="7">
        <f>$B2 * IFERROR(VLOOKUP("industry|NOx|Premature mortality", US_national_yearly!$D:$AM, 25, FALSE) / VLOOKUP("industry|NOx|Premature mortality", US_national_yearly!$D:$AM, 10, FALSE), 1)</f>
        <v>3.5143602662431236E-5</v>
      </c>
      <c r="R2" s="7">
        <f>$B2 * IFERROR(VLOOKUP("industry|NOx|Premature mortality", US_national_yearly!$D:$AM, 26, FALSE) / VLOOKUP("industry|NOx|Premature mortality", US_national_yearly!$D:$AM, 10, FALSE), 1)</f>
        <v>3.5503685039482851E-5</v>
      </c>
      <c r="S2" s="7">
        <f>$B2 * IFERROR(VLOOKUP("industry|NOx|Premature mortality", US_national_yearly!$D:$AM, 27, FALSE) / VLOOKUP("industry|NOx|Premature mortality", US_national_yearly!$D:$AM, 10, FALSE), 1)</f>
        <v>3.5671361134018195E-5</v>
      </c>
      <c r="T2" s="7">
        <f>$B2 * IFERROR(VLOOKUP("industry|NOx|Premature mortality", US_national_yearly!$D:$AM, 28, FALSE) / VLOOKUP("industry|NOx|Premature mortality", US_national_yearly!$D:$AM, 10, FALSE), 1)</f>
        <v>3.583903722855354E-5</v>
      </c>
      <c r="U2" s="7">
        <f>$B2 * IFERROR(VLOOKUP("industry|NOx|Premature mortality", US_national_yearly!$D:$AM, 29, FALSE) / VLOOKUP("industry|NOx|Premature mortality", US_national_yearly!$D:$AM, 10, FALSE), 1)</f>
        <v>3.6006713323088884E-5</v>
      </c>
      <c r="V2" s="7">
        <f>$B2 * IFERROR(VLOOKUP("industry|NOx|Premature mortality", US_national_yearly!$D:$AM, 30, FALSE) / VLOOKUP("industry|NOx|Premature mortality", US_national_yearly!$D:$AM, 10, FALSE), 1)</f>
        <v>3.6174389417624221E-5</v>
      </c>
      <c r="W2" s="7">
        <f>$B2 * IFERROR(VLOOKUP("industry|NOx|Premature mortality", US_national_yearly!$D:$AM, 31, FALSE) / VLOOKUP("industry|NOx|Premature mortality", US_national_yearly!$D:$AM, 10, FALSE), 1)</f>
        <v>3.6342065512159566E-5</v>
      </c>
      <c r="X2" s="7">
        <f>$B2 * IFERROR(VLOOKUP("industry|NOx|Premature mortality", US_national_yearly!$D:$AM, 32, FALSE) / VLOOKUP("industry|NOx|Premature mortality", US_national_yearly!$D:$AM, 10, FALSE), 1)</f>
        <v>3.6354879855561657E-5</v>
      </c>
      <c r="Y2" s="7">
        <f>$B2 * IFERROR(VLOOKUP("industry|NOx|Premature mortality", US_national_yearly!$D:$AM, 33, FALSE) / VLOOKUP("industry|NOx|Premature mortality", US_national_yearly!$D:$AM, 10, FALSE), 1)</f>
        <v>3.6367694198963754E-5</v>
      </c>
      <c r="Z2" s="7">
        <f>$B2 * IFERROR(VLOOKUP("industry|NOx|Premature mortality", US_national_yearly!$D:$AM, 34, FALSE) / VLOOKUP("industry|NOx|Premature mortality", US_national_yearly!$D:$AM, 10, FALSE), 1)</f>
        <v>3.6380508542365845E-5</v>
      </c>
      <c r="AA2" s="7">
        <f>$B2 * IFERROR(VLOOKUP("industry|NOx|Premature mortality", US_national_yearly!$D:$AM, 35, FALSE) / VLOOKUP("industry|NOx|Premature mortality", US_national_yearly!$D:$AM, 10, FALSE), 1)</f>
        <v>3.6393322885767943E-5</v>
      </c>
      <c r="AB2" s="7">
        <f>$B2 * IFERROR(VLOOKUP("industry|NOx|Premature mortality", US_national_yearly!$D:$AM, 36, FALSE) / VLOOKUP("industry|NOx|Premature mortality", US_national_yearly!$D:$AM, 10, FALSE), 1)</f>
        <v>3.6406137229170041E-5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7.969208362036114E-8</v>
      </c>
      <c r="C3" s="7">
        <f>$B3 * IFERROR(VLOOKUP("industry|NOx|Infant mortality", US_national_yearly!$D:$AM, 11, FALSE) / VLOOKUP("industry|NOx|Infant mortality", US_national_yearly!$D:$AM, 10, FALSE), 1)</f>
        <v>7.8928885890499936E-8</v>
      </c>
      <c r="D3" s="7">
        <f>$B3 * IFERROR(VLOOKUP("industry|NOx|Infant mortality", US_national_yearly!$D:$AM, 12, FALSE) / VLOOKUP("industry|NOx|Infant mortality", US_national_yearly!$D:$AM, 10, FALSE), 1)</f>
        <v>7.816568816063872E-8</v>
      </c>
      <c r="E3" s="7">
        <f>$B3 * IFERROR(VLOOKUP("industry|NOx|Infant mortality", US_national_yearly!$D:$AM, 13, FALSE) / VLOOKUP("industry|NOx|Infant mortality", US_national_yearly!$D:$AM, 10, FALSE), 1)</f>
        <v>7.7402490430777516E-8</v>
      </c>
      <c r="F3" s="7">
        <f>$B3 * IFERROR(VLOOKUP("industry|NOx|Infant mortality", US_national_yearly!$D:$AM, 14, FALSE) / VLOOKUP("industry|NOx|Infant mortality", US_national_yearly!$D:$AM, 10, FALSE), 1)</f>
        <v>7.6639292700916299E-8</v>
      </c>
      <c r="G3" s="7">
        <f>$B3 * IFERROR(VLOOKUP("industry|NOx|Infant mortality", US_national_yearly!$D:$AM, 15, FALSE) / VLOOKUP("industry|NOx|Infant mortality", US_national_yearly!$D:$AM, 10, FALSE), 1)</f>
        <v>5.0833941232962477E-8</v>
      </c>
      <c r="H3" s="7">
        <f>$B3 * IFERROR(VLOOKUP("industry|NOx|Infant mortality", US_national_yearly!$D:$AM, 16, FALSE) / VLOOKUP("industry|NOx|Infant mortality", US_national_yearly!$D:$AM, 10, FALSE), 1)</f>
        <v>2.5028589765008662E-8</v>
      </c>
      <c r="I3" s="7">
        <f>$B3 * IFERROR(VLOOKUP("industry|NOx|Infant mortality", US_national_yearly!$D:$AM, 17, FALSE) / VLOOKUP("industry|NOx|Infant mortality", US_national_yearly!$D:$AM, 10, FALSE), 1)</f>
        <v>2.484814443922299E-8</v>
      </c>
      <c r="J3" s="7">
        <f>$B3 * IFERROR(VLOOKUP("industry|NOx|Infant mortality", US_national_yearly!$D:$AM, 18, FALSE) / VLOOKUP("industry|NOx|Infant mortality", US_national_yearly!$D:$AM, 10, FALSE), 1)</f>
        <v>2.4667699113437322E-8</v>
      </c>
      <c r="K3" s="7">
        <f>$B3 * IFERROR(VLOOKUP("industry|NOx|Infant mortality", US_national_yearly!$D:$AM, 19, FALSE) / VLOOKUP("industry|NOx|Infant mortality", US_national_yearly!$D:$AM, 10, FALSE), 1)</f>
        <v>2.448725378765165E-8</v>
      </c>
      <c r="L3" s="7">
        <f>$B3 * IFERROR(VLOOKUP("industry|NOx|Infant mortality", US_national_yearly!$D:$AM, 20, FALSE) / VLOOKUP("industry|NOx|Infant mortality", US_national_yearly!$D:$AM, 10, FALSE), 1)</f>
        <v>2.4306808461865975E-8</v>
      </c>
      <c r="M3" s="7">
        <f>$B3 * IFERROR(VLOOKUP("industry|NOx|Infant mortality", US_national_yearly!$D:$AM, 21, FALSE) / VLOOKUP("industry|NOx|Infant mortality", US_national_yearly!$D:$AM, 10, FALSE), 1)</f>
        <v>2.4126363136080303E-8</v>
      </c>
      <c r="N3" s="7">
        <f>$B3 * IFERROR(VLOOKUP("industry|NOx|Infant mortality", US_national_yearly!$D:$AM, 22, FALSE) / VLOOKUP("industry|NOx|Infant mortality", US_national_yearly!$D:$AM, 10, FALSE), 1)</f>
        <v>2.4004787214906305E-8</v>
      </c>
      <c r="O3" s="7">
        <f>$B3 * IFERROR(VLOOKUP("industry|NOx|Infant mortality", US_national_yearly!$D:$AM, 23, FALSE) / VLOOKUP("industry|NOx|Infant mortality", US_national_yearly!$D:$AM, 10, FALSE), 1)</f>
        <v>2.3883211293732299E-8</v>
      </c>
      <c r="P3" s="7">
        <f>$B3 * IFERROR(VLOOKUP("industry|NOx|Infant mortality", US_national_yearly!$D:$AM, 24, FALSE) / VLOOKUP("industry|NOx|Infant mortality", US_national_yearly!$D:$AM, 10, FALSE), 1)</f>
        <v>2.3761635372558297E-8</v>
      </c>
      <c r="Q3" s="7">
        <f>$B3 * IFERROR(VLOOKUP("industry|NOx|Infant mortality", US_national_yearly!$D:$AM, 25, FALSE) / VLOOKUP("industry|NOx|Infant mortality", US_national_yearly!$D:$AM, 10, FALSE), 1)</f>
        <v>2.3640059451384299E-8</v>
      </c>
      <c r="R3" s="7">
        <f>$B3 * IFERROR(VLOOKUP("industry|NOx|Infant mortality", US_national_yearly!$D:$AM, 26, FALSE) / VLOOKUP("industry|NOx|Infant mortality", US_national_yearly!$D:$AM, 10, FALSE), 1)</f>
        <v>2.3518483530210296E-8</v>
      </c>
      <c r="S3" s="7">
        <f>$B3 * IFERROR(VLOOKUP("industry|NOx|Infant mortality", US_national_yearly!$D:$AM, 27, FALSE) / VLOOKUP("industry|NOx|Infant mortality", US_national_yearly!$D:$AM, 10, FALSE), 1)</f>
        <v>2.3374114297359682E-8</v>
      </c>
      <c r="T3" s="7">
        <f>$B3 * IFERROR(VLOOKUP("industry|NOx|Infant mortality", US_national_yearly!$D:$AM, 28, FALSE) / VLOOKUP("industry|NOx|Infant mortality", US_national_yearly!$D:$AM, 10, FALSE), 1)</f>
        <v>2.3229745064509068E-8</v>
      </c>
      <c r="U3" s="7">
        <f>$B3 * IFERROR(VLOOKUP("industry|NOx|Infant mortality", US_national_yearly!$D:$AM, 29, FALSE) / VLOOKUP("industry|NOx|Infant mortality", US_national_yearly!$D:$AM, 10, FALSE), 1)</f>
        <v>2.3085375831658451E-8</v>
      </c>
      <c r="V3" s="7">
        <f>$B3 * IFERROR(VLOOKUP("industry|NOx|Infant mortality", US_national_yearly!$D:$AM, 30, FALSE) / VLOOKUP("industry|NOx|Infant mortality", US_national_yearly!$D:$AM, 10, FALSE), 1)</f>
        <v>2.2941006598807836E-8</v>
      </c>
      <c r="W3" s="7">
        <f>$B3 * IFERROR(VLOOKUP("industry|NOx|Infant mortality", US_national_yearly!$D:$AM, 31, FALSE) / VLOOKUP("industry|NOx|Infant mortality", US_national_yearly!$D:$AM, 10, FALSE), 1)</f>
        <v>2.2796637365957226E-8</v>
      </c>
      <c r="X3" s="7">
        <f>$B3 * IFERROR(VLOOKUP("industry|NOx|Infant mortality", US_national_yearly!$D:$AM, 32, FALSE) / VLOOKUP("industry|NOx|Infant mortality", US_national_yearly!$D:$AM, 10, FALSE), 1)</f>
        <v>2.2645033685737363E-8</v>
      </c>
      <c r="Y3" s="7">
        <f>$B3 * IFERROR(VLOOKUP("industry|NOx|Infant mortality", US_national_yearly!$D:$AM, 33, FALSE) / VLOOKUP("industry|NOx|Infant mortality", US_national_yearly!$D:$AM, 10, FALSE), 1)</f>
        <v>2.2493430005517506E-8</v>
      </c>
      <c r="Z3" s="7">
        <f>$B3 * IFERROR(VLOOKUP("industry|NOx|Infant mortality", US_national_yearly!$D:$AM, 34, FALSE) / VLOOKUP("industry|NOx|Infant mortality", US_national_yearly!$D:$AM, 10, FALSE), 1)</f>
        <v>2.2341826325297647E-8</v>
      </c>
      <c r="AA3" s="7">
        <f>$B3 * IFERROR(VLOOKUP("industry|NOx|Infant mortality", US_national_yearly!$D:$AM, 35, FALSE) / VLOOKUP("industry|NOx|Infant mortality", US_national_yearly!$D:$AM, 10, FALSE), 1)</f>
        <v>2.2190222645077787E-8</v>
      </c>
      <c r="AB3" s="7">
        <f>$B3 * IFERROR(VLOOKUP("industry|NOx|Infant mortality", US_national_yearly!$D:$AM, 36, FALSE) / VLOOKUP("industry|NOx|Infant mortality", US_national_yearly!$D:$AM, 10, FALSE), 1)</f>
        <v>2.2038618964857927E-8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9.5571216966374009E-5</v>
      </c>
      <c r="C6" s="7">
        <f>$B6 * IFERROR(VLOOKUP("industry|NOx|Asthma symptoms cough", US_national_yearly!$D:$AM, 11, FALSE) / VLOOKUP("industry|NOx|Asthma symptoms cough", US_national_yearly!$D:$AM, 10, FALSE), 1)</f>
        <v>9.687866364351154E-5</v>
      </c>
      <c r="D6" s="7">
        <f>$B6 * IFERROR(VLOOKUP("industry|NOx|Asthma symptoms cough", US_national_yearly!$D:$AM, 12, FALSE) / VLOOKUP("industry|NOx|Asthma symptoms cough", US_national_yearly!$D:$AM, 10, FALSE), 1)</f>
        <v>9.8186110320649071E-5</v>
      </c>
      <c r="E6" s="7">
        <f>$B6 * IFERROR(VLOOKUP("industry|NOx|Asthma symptoms cough", US_national_yearly!$D:$AM, 13, FALSE) / VLOOKUP("industry|NOx|Asthma symptoms cough", US_national_yearly!$D:$AM, 10, FALSE), 1)</f>
        <v>9.9493556997786603E-5</v>
      </c>
      <c r="F6" s="7">
        <f>$B6 * IFERROR(VLOOKUP("industry|NOx|Asthma symptoms cough", US_national_yearly!$D:$AM, 14, FALSE) / VLOOKUP("industry|NOx|Asthma symptoms cough", US_national_yearly!$D:$AM, 10, FALSE), 1)</f>
        <v>1.0080100367492413E-4</v>
      </c>
      <c r="G6" s="7">
        <f>$B6 * IFERROR(VLOOKUP("industry|NOx|Asthma symptoms cough", US_national_yearly!$D:$AM, 15, FALSE) / VLOOKUP("industry|NOx|Asthma symptoms cough", US_national_yearly!$D:$AM, 10, FALSE), 1)</f>
        <v>1.0184937307604676E-4</v>
      </c>
      <c r="H6" s="7">
        <f>$B6 * IFERROR(VLOOKUP("industry|NOx|Asthma symptoms cough", US_national_yearly!$D:$AM, 16, FALSE) / VLOOKUP("industry|NOx|Asthma symptoms cough", US_national_yearly!$D:$AM, 10, FALSE), 1)</f>
        <v>1.028977424771694E-4</v>
      </c>
      <c r="I6" s="7">
        <f>$B6 * IFERROR(VLOOKUP("industry|NOx|Asthma symptoms cough", US_national_yearly!$D:$AM, 17, FALSE) / VLOOKUP("industry|NOx|Asthma symptoms cough", US_national_yearly!$D:$AM, 10, FALSE), 1)</f>
        <v>1.0326258432262493E-4</v>
      </c>
      <c r="J6" s="7">
        <f>$B6 * IFERROR(VLOOKUP("industry|NOx|Asthma symptoms cough", US_national_yearly!$D:$AM, 18, FALSE) / VLOOKUP("industry|NOx|Asthma symptoms cough", US_national_yearly!$D:$AM, 10, FALSE), 1)</f>
        <v>1.036274261680805E-4</v>
      </c>
      <c r="K6" s="7">
        <f>$B6 * IFERROR(VLOOKUP("industry|NOx|Asthma symptoms cough", US_national_yearly!$D:$AM, 19, FALSE) / VLOOKUP("industry|NOx|Asthma symptoms cough", US_national_yearly!$D:$AM, 10, FALSE), 1)</f>
        <v>1.0399226801353602E-4</v>
      </c>
      <c r="L6" s="7">
        <f>$B6 * IFERROR(VLOOKUP("industry|NOx|Asthma symptoms cough", US_national_yearly!$D:$AM, 20, FALSE) / VLOOKUP("industry|NOx|Asthma symptoms cough", US_national_yearly!$D:$AM, 10, FALSE), 1)</f>
        <v>1.0435710985899158E-4</v>
      </c>
      <c r="M6" s="7">
        <f>$B6 * IFERROR(VLOOKUP("industry|NOx|Asthma symptoms cough", US_national_yearly!$D:$AM, 21, FALSE) / VLOOKUP("industry|NOx|Asthma symptoms cough", US_national_yearly!$D:$AM, 10, FALSE), 1)</f>
        <v>1.0472195170444715E-4</v>
      </c>
      <c r="N6" s="7">
        <f>$B6 * IFERROR(VLOOKUP("industry|NOx|Asthma symptoms cough", US_national_yearly!$D:$AM, 22, FALSE) / VLOOKUP("industry|NOx|Asthma symptoms cough", US_national_yearly!$D:$AM, 10, FALSE), 1)</f>
        <v>1.0513842863073282E-4</v>
      </c>
      <c r="O6" s="7">
        <f>$B6 * IFERROR(VLOOKUP("industry|NOx|Asthma symptoms cough", US_national_yearly!$D:$AM, 23, FALSE) / VLOOKUP("industry|NOx|Asthma symptoms cough", US_national_yearly!$D:$AM, 10, FALSE), 1)</f>
        <v>1.0555490555701848E-4</v>
      </c>
      <c r="P6" s="7">
        <f>$B6 * IFERROR(VLOOKUP("industry|NOx|Asthma symptoms cough", US_national_yearly!$D:$AM, 24, FALSE) / VLOOKUP("industry|NOx|Asthma symptoms cough", US_national_yearly!$D:$AM, 10, FALSE), 1)</f>
        <v>1.0597138248330415E-4</v>
      </c>
      <c r="Q6" s="7">
        <f>$B6 * IFERROR(VLOOKUP("industry|NOx|Asthma symptoms cough", US_national_yearly!$D:$AM, 25, FALSE) / VLOOKUP("industry|NOx|Asthma symptoms cough", US_national_yearly!$D:$AM, 10, FALSE), 1)</f>
        <v>1.0638785940958982E-4</v>
      </c>
      <c r="R6" s="7">
        <f>$B6 * IFERROR(VLOOKUP("industry|NOx|Asthma symptoms cough", US_national_yearly!$D:$AM, 26, FALSE) / VLOOKUP("industry|NOx|Asthma symptoms cough", US_national_yearly!$D:$AM, 10, FALSE), 1)</f>
        <v>1.0680433633587549E-4</v>
      </c>
      <c r="S6" s="7">
        <f>$B6 * IFERROR(VLOOKUP("industry|NOx|Asthma symptoms cough", US_national_yearly!$D:$AM, 27, FALSE) / VLOOKUP("industry|NOx|Asthma symptoms cough", US_national_yearly!$D:$AM, 10, FALSE), 1)</f>
        <v>1.0734157314334198E-4</v>
      </c>
      <c r="T6" s="7">
        <f>$B6 * IFERROR(VLOOKUP("industry|NOx|Asthma symptoms cough", US_national_yearly!$D:$AM, 28, FALSE) / VLOOKUP("industry|NOx|Asthma symptoms cough", US_national_yearly!$D:$AM, 10, FALSE), 1)</f>
        <v>1.0787880995080845E-4</v>
      </c>
      <c r="U6" s="7">
        <f>$B6 * IFERROR(VLOOKUP("industry|NOx|Asthma symptoms cough", US_national_yearly!$D:$AM, 29, FALSE) / VLOOKUP("industry|NOx|Asthma symptoms cough", US_national_yearly!$D:$AM, 10, FALSE), 1)</f>
        <v>1.0841604675827492E-4</v>
      </c>
      <c r="V6" s="7">
        <f>$B6 * IFERROR(VLOOKUP("industry|NOx|Asthma symptoms cough", US_national_yearly!$D:$AM, 30, FALSE) / VLOOKUP("industry|NOx|Asthma symptoms cough", US_national_yearly!$D:$AM, 10, FALSE), 1)</f>
        <v>1.0895328356574136E-4</v>
      </c>
      <c r="W6" s="7">
        <f>$B6 * IFERROR(VLOOKUP("industry|NOx|Asthma symptoms cough", US_national_yearly!$D:$AM, 31, FALSE) / VLOOKUP("industry|NOx|Asthma symptoms cough", US_national_yearly!$D:$AM, 10, FALSE), 1)</f>
        <v>1.0949052037320786E-4</v>
      </c>
      <c r="X6" s="7">
        <f>$B6 * IFERROR(VLOOKUP("industry|NOx|Asthma symptoms cough", US_national_yearly!$D:$AM, 32, FALSE) / VLOOKUP("industry|NOx|Asthma symptoms cough", US_national_yearly!$D:$AM, 10, FALSE), 1)</f>
        <v>1.0998858020649703E-4</v>
      </c>
      <c r="Y6" s="7">
        <f>$B6 * IFERROR(VLOOKUP("industry|NOx|Asthma symptoms cough", US_national_yearly!$D:$AM, 33, FALSE) / VLOOKUP("industry|NOx|Asthma symptoms cough", US_national_yearly!$D:$AM, 10, FALSE), 1)</f>
        <v>1.1048664003978618E-4</v>
      </c>
      <c r="Z6" s="7">
        <f>$B6 * IFERROR(VLOOKUP("industry|NOx|Asthma symptoms cough", US_national_yearly!$D:$AM, 34, FALSE) / VLOOKUP("industry|NOx|Asthma symptoms cough", US_national_yearly!$D:$AM, 10, FALSE), 1)</f>
        <v>1.1098469987307535E-4</v>
      </c>
      <c r="AA6" s="7">
        <f>$B6 * IFERROR(VLOOKUP("industry|NOx|Asthma symptoms cough", US_national_yearly!$D:$AM, 35, FALSE) / VLOOKUP("industry|NOx|Asthma symptoms cough", US_national_yearly!$D:$AM, 10, FALSE), 1)</f>
        <v>1.1148275970636451E-4</v>
      </c>
      <c r="AB6" s="7">
        <f>$B6 * IFERROR(VLOOKUP("industry|NOx|Asthma symptoms cough", US_national_yearly!$D:$AM, 36, FALSE) / VLOOKUP("industry|NOx|Asthma symptoms cough", US_national_yearly!$D:$AM, 10, FALSE), 1)</f>
        <v>1.1198081953965368E-4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1.2870050695208799E-4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1.3046117355386329E-4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1.322218401556386E-4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1.3398250675741394E-4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1.3574317335918927E-4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1.3715495482625878E-4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1.3856673629332835E-4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1.3905804875475101E-4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1.3954936121617369E-4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1.4004067367759634E-4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1.4053198613901908E-4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1.4102329860044173E-4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1.4158414518889142E-4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1.4214499177734111E-4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1.4270583836579079E-4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1.4326668495424051E-4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1.4382753154269017E-4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1.4455099882955378E-4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1.4527446611641739E-4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1.4599793340328097E-4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1.4672140069014458E-4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1.4744486797700813E-4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1.4811557778476259E-4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1.4878628759251703E-4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1.4945699740027146E-4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1.501277072080259E-4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1.5079841701578033E-4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1.9663257880192145E-4</v>
      </c>
      <c r="C8" s="7">
        <f>$B8 * IFERROR(VLOOKUP("industry|NOx|Asthma symptoms wheeze", US_national_yearly!$D:$AM, 11, FALSE) / VLOOKUP("industry|NOx|Asthma symptoms wheeze", US_national_yearly!$D:$AM, 10, FALSE), 1)</f>
        <v>1.9932257920272724E-4</v>
      </c>
      <c r="D8" s="7">
        <f>$B8 * IFERROR(VLOOKUP("industry|NOx|Asthma symptoms wheeze", US_national_yearly!$D:$AM, 12, FALSE) / VLOOKUP("industry|NOx|Asthma symptoms wheeze", US_national_yearly!$D:$AM, 10, FALSE), 1)</f>
        <v>2.0201257960353303E-4</v>
      </c>
      <c r="E8" s="7">
        <f>$B8 * IFERROR(VLOOKUP("industry|NOx|Asthma symptoms wheeze", US_national_yearly!$D:$AM, 13, FALSE) / VLOOKUP("industry|NOx|Asthma symptoms wheeze", US_national_yearly!$D:$AM, 10, FALSE), 1)</f>
        <v>2.0470258000433879E-4</v>
      </c>
      <c r="F8" s="7">
        <f>$B8 * IFERROR(VLOOKUP("industry|NOx|Asthma symptoms wheeze", US_national_yearly!$D:$AM, 14, FALSE) / VLOOKUP("industry|NOx|Asthma symptoms wheeze", US_national_yearly!$D:$AM, 10, FALSE), 1)</f>
        <v>2.0739258040514456E-4</v>
      </c>
      <c r="G8" s="7">
        <f>$B8 * IFERROR(VLOOKUP("industry|NOx|Asthma symptoms wheeze", US_national_yearly!$D:$AM, 15, FALSE) / VLOOKUP("industry|NOx|Asthma symptoms wheeze", US_national_yearly!$D:$AM, 10, FALSE), 1)</f>
        <v>2.0954954340733807E-4</v>
      </c>
      <c r="H8" s="7">
        <f>$B8 * IFERROR(VLOOKUP("industry|NOx|Asthma symptoms wheeze", US_national_yearly!$D:$AM, 16, FALSE) / VLOOKUP("industry|NOx|Asthma symptoms wheeze", US_national_yearly!$D:$AM, 10, FALSE), 1)</f>
        <v>2.1170650640953151E-4</v>
      </c>
      <c r="I8" s="7">
        <f>$B8 * IFERROR(VLOOKUP("industry|NOx|Asthma symptoms wheeze", US_national_yearly!$D:$AM, 17, FALSE) / VLOOKUP("industry|NOx|Asthma symptoms wheeze", US_national_yearly!$D:$AM, 10, FALSE), 1)</f>
        <v>2.1245714865654724E-4</v>
      </c>
      <c r="J8" s="7">
        <f>$B8 * IFERROR(VLOOKUP("industry|NOx|Asthma symptoms wheeze", US_national_yearly!$D:$AM, 18, FALSE) / VLOOKUP("industry|NOx|Asthma symptoms wheeze", US_national_yearly!$D:$AM, 10, FALSE), 1)</f>
        <v>2.1320779090356294E-4</v>
      </c>
      <c r="K8" s="7">
        <f>$B8 * IFERROR(VLOOKUP("industry|NOx|Asthma symptoms wheeze", US_national_yearly!$D:$AM, 19, FALSE) / VLOOKUP("industry|NOx|Asthma symptoms wheeze", US_national_yearly!$D:$AM, 10, FALSE), 1)</f>
        <v>2.1395843315057868E-4</v>
      </c>
      <c r="L8" s="7">
        <f>$B8 * IFERROR(VLOOKUP("industry|NOx|Asthma symptoms wheeze", US_national_yearly!$D:$AM, 20, FALSE) / VLOOKUP("industry|NOx|Asthma symptoms wheeze", US_national_yearly!$D:$AM, 10, FALSE), 1)</f>
        <v>2.1470907539759433E-4</v>
      </c>
      <c r="M8" s="7">
        <f>$B8 * IFERROR(VLOOKUP("industry|NOx|Asthma symptoms wheeze", US_national_yearly!$D:$AM, 21, FALSE) / VLOOKUP("industry|NOx|Asthma symptoms wheeze", US_national_yearly!$D:$AM, 10, FALSE), 1)</f>
        <v>2.1545971764461006E-4</v>
      </c>
      <c r="N8" s="7">
        <f>$B8 * IFERROR(VLOOKUP("industry|NOx|Asthma symptoms wheeze", US_national_yearly!$D:$AM, 22, FALSE) / VLOOKUP("industry|NOx|Asthma symptoms wheeze", US_national_yearly!$D:$AM, 10, FALSE), 1)</f>
        <v>2.1631659626093671E-4</v>
      </c>
      <c r="O8" s="7">
        <f>$B8 * IFERROR(VLOOKUP("industry|NOx|Asthma symptoms wheeze", US_national_yearly!$D:$AM, 23, FALSE) / VLOOKUP("industry|NOx|Asthma symptoms wheeze", US_national_yearly!$D:$AM, 10, FALSE), 1)</f>
        <v>2.1717347487726333E-4</v>
      </c>
      <c r="P8" s="7">
        <f>$B8 * IFERROR(VLOOKUP("industry|NOx|Asthma symptoms wheeze", US_national_yearly!$D:$AM, 24, FALSE) / VLOOKUP("industry|NOx|Asthma symptoms wheeze", US_national_yearly!$D:$AM, 10, FALSE), 1)</f>
        <v>2.1803035349358992E-4</v>
      </c>
      <c r="Q8" s="7">
        <f>$B8 * IFERROR(VLOOKUP("industry|NOx|Asthma symptoms wheeze", US_national_yearly!$D:$AM, 25, FALSE) / VLOOKUP("industry|NOx|Asthma symptoms wheeze", US_national_yearly!$D:$AM, 10, FALSE), 1)</f>
        <v>2.1888723210991657E-4</v>
      </c>
      <c r="R8" s="7">
        <f>$B8 * IFERROR(VLOOKUP("industry|NOx|Asthma symptoms wheeze", US_national_yearly!$D:$AM, 26, FALSE) / VLOOKUP("industry|NOx|Asthma symptoms wheeze", US_national_yearly!$D:$AM, 10, FALSE), 1)</f>
        <v>2.1974411072624319E-4</v>
      </c>
      <c r="S8" s="7">
        <f>$B8 * IFERROR(VLOOKUP("industry|NOx|Asthma symptoms wheeze", US_national_yearly!$D:$AM, 27, FALSE) / VLOOKUP("industry|NOx|Asthma symptoms wheeze", US_national_yearly!$D:$AM, 10, FALSE), 1)</f>
        <v>2.2084944622747602E-4</v>
      </c>
      <c r="T8" s="7">
        <f>$B8 * IFERROR(VLOOKUP("industry|NOx|Asthma symptoms wheeze", US_national_yearly!$D:$AM, 28, FALSE) / VLOOKUP("industry|NOx|Asthma symptoms wheeze", US_national_yearly!$D:$AM, 10, FALSE), 1)</f>
        <v>2.2195478172870879E-4</v>
      </c>
      <c r="U8" s="7">
        <f>$B8 * IFERROR(VLOOKUP("industry|NOx|Asthma symptoms wheeze", US_national_yearly!$D:$AM, 29, FALSE) / VLOOKUP("industry|NOx|Asthma symptoms wheeze", US_national_yearly!$D:$AM, 10, FALSE), 1)</f>
        <v>2.2306011722994157E-4</v>
      </c>
      <c r="V8" s="7">
        <f>$B8 * IFERROR(VLOOKUP("industry|NOx|Asthma symptoms wheeze", US_national_yearly!$D:$AM, 30, FALSE) / VLOOKUP("industry|NOx|Asthma symptoms wheeze", US_national_yearly!$D:$AM, 10, FALSE), 1)</f>
        <v>2.2416545273117435E-4</v>
      </c>
      <c r="W8" s="7">
        <f>$B8 * IFERROR(VLOOKUP("industry|NOx|Asthma symptoms wheeze", US_national_yearly!$D:$AM, 31, FALSE) / VLOOKUP("industry|NOx|Asthma symptoms wheeze", US_national_yearly!$D:$AM, 10, FALSE), 1)</f>
        <v>2.2527078823240712E-4</v>
      </c>
      <c r="X8" s="7">
        <f>$B8 * IFERROR(VLOOKUP("industry|NOx|Asthma symptoms wheeze", US_national_yearly!$D:$AM, 32, FALSE) / VLOOKUP("industry|NOx|Asthma symptoms wheeze", US_national_yearly!$D:$AM, 10, FALSE), 1)</f>
        <v>2.2629551924080606E-4</v>
      </c>
      <c r="Y8" s="7">
        <f>$B8 * IFERROR(VLOOKUP("industry|NOx|Asthma symptoms wheeze", US_national_yearly!$D:$AM, 33, FALSE) / VLOOKUP("industry|NOx|Asthma symptoms wheeze", US_national_yearly!$D:$AM, 10, FALSE), 1)</f>
        <v>2.2732025024920494E-4</v>
      </c>
      <c r="Z8" s="7">
        <f>$B8 * IFERROR(VLOOKUP("industry|NOx|Asthma symptoms wheeze", US_national_yearly!$D:$AM, 34, FALSE) / VLOOKUP("industry|NOx|Asthma symptoms wheeze", US_national_yearly!$D:$AM, 10, FALSE), 1)</f>
        <v>2.2834498125760383E-4</v>
      </c>
      <c r="AA8" s="7">
        <f>$B8 * IFERROR(VLOOKUP("industry|NOx|Asthma symptoms wheeze", US_national_yearly!$D:$AM, 35, FALSE) / VLOOKUP("industry|NOx|Asthma symptoms wheeze", US_national_yearly!$D:$AM, 10, FALSE), 1)</f>
        <v>2.2936971226600268E-4</v>
      </c>
      <c r="AB8" s="7">
        <f>$B8 * IFERROR(VLOOKUP("industry|NOx|Asthma symptoms wheeze", US_national_yearly!$D:$AM, 36, FALSE) / VLOOKUP("industry|NOx|Asthma symptoms wheeze", US_national_yearly!$D:$AM, 10, FALSE), 1)</f>
        <v>2.3039444327440175E-4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2.431227399144581E-6</v>
      </c>
      <c r="C12" s="7">
        <f>$B12 * IFERROR(VLOOKUP("industry|NOx|Respiratory hospital admissions", US_national_yearly!$D:$AM, 11, FALSE) / VLOOKUP("industry|NOx|Respiratory hospital admissions", US_national_yearly!$D:$AM, 10, FALSE), 1)</f>
        <v>2.4923078861011369E-6</v>
      </c>
      <c r="D12" s="7">
        <f>$B12 * IFERROR(VLOOKUP("industry|NOx|Respiratory hospital admissions", US_national_yearly!$D:$AM, 12, FALSE) / VLOOKUP("industry|NOx|Respiratory hospital admissions", US_national_yearly!$D:$AM, 10, FALSE), 1)</f>
        <v>2.5533883730576932E-6</v>
      </c>
      <c r="E12" s="7">
        <f>$B12 * IFERROR(VLOOKUP("industry|NOx|Respiratory hospital admissions", US_national_yearly!$D:$AM, 13, FALSE) / VLOOKUP("industry|NOx|Respiratory hospital admissions", US_national_yearly!$D:$AM, 10, FALSE), 1)</f>
        <v>2.6144688600142495E-6</v>
      </c>
      <c r="F12" s="7">
        <f>$B12 * IFERROR(VLOOKUP("industry|NOx|Respiratory hospital admissions", US_national_yearly!$D:$AM, 14, FALSE) / VLOOKUP("industry|NOx|Respiratory hospital admissions", US_national_yearly!$D:$AM, 10, FALSE), 1)</f>
        <v>2.6755493469708049E-6</v>
      </c>
      <c r="G12" s="7">
        <f>$B12 * IFERROR(VLOOKUP("industry|NOx|Respiratory hospital admissions", US_national_yearly!$D:$AM, 15, FALSE) / VLOOKUP("industry|NOx|Respiratory hospital admissions", US_national_yearly!$D:$AM, 10, FALSE), 1)</f>
        <v>2.7339755488257883E-6</v>
      </c>
      <c r="H12" s="7">
        <f>$B12 * IFERROR(VLOOKUP("industry|NOx|Respiratory hospital admissions", US_national_yearly!$D:$AM, 16, FALSE) / VLOOKUP("industry|NOx|Respiratory hospital admissions", US_national_yearly!$D:$AM, 10, FALSE), 1)</f>
        <v>2.7924017506807722E-6</v>
      </c>
      <c r="I12" s="7">
        <f>$B12 * IFERROR(VLOOKUP("industry|NOx|Respiratory hospital admissions", US_national_yearly!$D:$AM, 17, FALSE) / VLOOKUP("industry|NOx|Respiratory hospital admissions", US_national_yearly!$D:$AM, 10, FALSE), 1)</f>
        <v>2.8421595953780691E-6</v>
      </c>
      <c r="J12" s="7">
        <f>$B12 * IFERROR(VLOOKUP("industry|NOx|Respiratory hospital admissions", US_national_yearly!$D:$AM, 18, FALSE) / VLOOKUP("industry|NOx|Respiratory hospital admissions", US_national_yearly!$D:$AM, 10, FALSE), 1)</f>
        <v>2.8919174400753664E-6</v>
      </c>
      <c r="K12" s="7">
        <f>$B12 * IFERROR(VLOOKUP("industry|NOx|Respiratory hospital admissions", US_national_yearly!$D:$AM, 19, FALSE) / VLOOKUP("industry|NOx|Respiratory hospital admissions", US_national_yearly!$D:$AM, 10, FALSE), 1)</f>
        <v>2.9416752847726641E-6</v>
      </c>
      <c r="L12" s="7">
        <f>$B12 * IFERROR(VLOOKUP("industry|NOx|Respiratory hospital admissions", US_national_yearly!$D:$AM, 20, FALSE) / VLOOKUP("industry|NOx|Respiratory hospital admissions", US_national_yearly!$D:$AM, 10, FALSE), 1)</f>
        <v>2.9914331294699619E-6</v>
      </c>
      <c r="M12" s="7">
        <f>$B12 * IFERROR(VLOOKUP("industry|NOx|Respiratory hospital admissions", US_national_yearly!$D:$AM, 21, FALSE) / VLOOKUP("industry|NOx|Respiratory hospital admissions", US_national_yearly!$D:$AM, 10, FALSE), 1)</f>
        <v>3.0411909741672592E-6</v>
      </c>
      <c r="N12" s="7">
        <f>$B12 * IFERROR(VLOOKUP("industry|NOx|Respiratory hospital admissions", US_national_yearly!$D:$AM, 22, FALSE) / VLOOKUP("industry|NOx|Respiratory hospital admissions", US_national_yearly!$D:$AM, 10, FALSE), 1)</f>
        <v>3.0745395270104209E-6</v>
      </c>
      <c r="O12" s="7">
        <f>$B12 * IFERROR(VLOOKUP("industry|NOx|Respiratory hospital admissions", US_national_yearly!$D:$AM, 23, FALSE) / VLOOKUP("industry|NOx|Respiratory hospital admissions", US_national_yearly!$D:$AM, 10, FALSE), 1)</f>
        <v>3.1078880798535826E-6</v>
      </c>
      <c r="P12" s="7">
        <f>$B12 * IFERROR(VLOOKUP("industry|NOx|Respiratory hospital admissions", US_national_yearly!$D:$AM, 24, FALSE) / VLOOKUP("industry|NOx|Respiratory hospital admissions", US_national_yearly!$D:$AM, 10, FALSE), 1)</f>
        <v>3.1412366326967443E-6</v>
      </c>
      <c r="Q12" s="7">
        <f>$B12 * IFERROR(VLOOKUP("industry|NOx|Respiratory hospital admissions", US_national_yearly!$D:$AM, 25, FALSE) / VLOOKUP("industry|NOx|Respiratory hospital admissions", US_national_yearly!$D:$AM, 10, FALSE), 1)</f>
        <v>3.1745851855399056E-6</v>
      </c>
      <c r="R12" s="7">
        <f>$B12 * IFERROR(VLOOKUP("industry|NOx|Respiratory hospital admissions", US_national_yearly!$D:$AM, 26, FALSE) / VLOOKUP("industry|NOx|Respiratory hospital admissions", US_national_yearly!$D:$AM, 10, FALSE), 1)</f>
        <v>3.2079337383830677E-6</v>
      </c>
      <c r="S12" s="7">
        <f>$B12 * IFERROR(VLOOKUP("industry|NOx|Respiratory hospital admissions", US_national_yearly!$D:$AM, 27, FALSE) / VLOOKUP("industry|NOx|Respiratory hospital admissions", US_national_yearly!$D:$AM, 10, FALSE), 1)</f>
        <v>3.2260391050173277E-6</v>
      </c>
      <c r="T12" s="7">
        <f>$B12 * IFERROR(VLOOKUP("industry|NOx|Respiratory hospital admissions", US_national_yearly!$D:$AM, 28, FALSE) / VLOOKUP("industry|NOx|Respiratory hospital admissions", US_national_yearly!$D:$AM, 10, FALSE), 1)</f>
        <v>3.2441444716515882E-6</v>
      </c>
      <c r="U12" s="7">
        <f>$B12 * IFERROR(VLOOKUP("industry|NOx|Respiratory hospital admissions", US_national_yearly!$D:$AM, 29, FALSE) / VLOOKUP("industry|NOx|Respiratory hospital admissions", US_national_yearly!$D:$AM, 10, FALSE), 1)</f>
        <v>3.2622498382858482E-6</v>
      </c>
      <c r="V12" s="7">
        <f>$B12 * IFERROR(VLOOKUP("industry|NOx|Respiratory hospital admissions", US_national_yearly!$D:$AM, 30, FALSE) / VLOOKUP("industry|NOx|Respiratory hospital admissions", US_national_yearly!$D:$AM, 10, FALSE), 1)</f>
        <v>3.2803552049201083E-6</v>
      </c>
      <c r="W12" s="7">
        <f>$B12 * IFERROR(VLOOKUP("industry|NOx|Respiratory hospital admissions", US_national_yearly!$D:$AM, 31, FALSE) / VLOOKUP("industry|NOx|Respiratory hospital admissions", US_national_yearly!$D:$AM, 10, FALSE), 1)</f>
        <v>3.2984605715543687E-6</v>
      </c>
      <c r="X12" s="7">
        <f>$B12 * IFERROR(VLOOKUP("industry|NOx|Respiratory hospital admissions", US_national_yearly!$D:$AM, 32, FALSE) / VLOOKUP("industry|NOx|Respiratory hospital admissions", US_national_yearly!$D:$AM, 10, FALSE), 1)</f>
        <v>3.3110847484837135E-6</v>
      </c>
      <c r="Y12" s="7">
        <f>$B12 * IFERROR(VLOOKUP("industry|NOx|Respiratory hospital admissions", US_national_yearly!$D:$AM, 33, FALSE) / VLOOKUP("industry|NOx|Respiratory hospital admissions", US_national_yearly!$D:$AM, 10, FALSE), 1)</f>
        <v>3.3237089254130587E-6</v>
      </c>
      <c r="Z12" s="7">
        <f>$B12 * IFERROR(VLOOKUP("industry|NOx|Respiratory hospital admissions", US_national_yearly!$D:$AM, 34, FALSE) / VLOOKUP("industry|NOx|Respiratory hospital admissions", US_national_yearly!$D:$AM, 10, FALSE), 1)</f>
        <v>3.3363331023424039E-6</v>
      </c>
      <c r="AA12" s="7">
        <f>$B12 * IFERROR(VLOOKUP("industry|NOx|Respiratory hospital admissions", US_national_yearly!$D:$AM, 35, FALSE) / VLOOKUP("industry|NOx|Respiratory hospital admissions", US_national_yearly!$D:$AM, 10, FALSE), 1)</f>
        <v>3.3489572792717487E-6</v>
      </c>
      <c r="AB12" s="7">
        <f>$B12 * IFERROR(VLOOKUP("industry|NOx|Respiratory hospital admissions", US_national_yearly!$D:$AM, 36, FALSE) / VLOOKUP("industry|NOx|Respiratory hospital admissions", US_national_yearly!$D:$AM, 10, FALSE), 1)</f>
        <v>3.3615814562010935E-6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1.4395093490462715E-5</v>
      </c>
      <c r="C13" s="7">
        <f>$B13 * IFERROR(VLOOKUP("industry|NOx|Non-fatal heart attacks", US_national_yearly!$D:$AM, 11, FALSE) / VLOOKUP("industry|NOx|Non-fatal heart attacks", US_national_yearly!$D:$AM, 10, FALSE), 1)</f>
        <v>1.4806375106016166E-5</v>
      </c>
      <c r="D13" s="7">
        <f>$B13 * IFERROR(VLOOKUP("industry|NOx|Non-fatal heart attacks", US_national_yearly!$D:$AM, 12, FALSE) / VLOOKUP("industry|NOx|Non-fatal heart attacks", US_national_yearly!$D:$AM, 10, FALSE), 1)</f>
        <v>1.5217656721569617E-5</v>
      </c>
      <c r="E13" s="7">
        <f>$B13 * IFERROR(VLOOKUP("industry|NOx|Non-fatal heart attacks", US_national_yearly!$D:$AM, 13, FALSE) / VLOOKUP("industry|NOx|Non-fatal heart attacks", US_national_yearly!$D:$AM, 10, FALSE), 1)</f>
        <v>1.562893833712307E-5</v>
      </c>
      <c r="F13" s="7">
        <f>$B13 * IFERROR(VLOOKUP("industry|NOx|Non-fatal heart attacks", US_national_yearly!$D:$AM, 14, FALSE) / VLOOKUP("industry|NOx|Non-fatal heart attacks", US_national_yearly!$D:$AM, 10, FALSE), 1)</f>
        <v>1.6040219952676521E-5</v>
      </c>
      <c r="G13" s="7">
        <f>$B13 * IFERROR(VLOOKUP("industry|NOx|Non-fatal heart attacks", US_national_yearly!$D:$AM, 15, FALSE) / VLOOKUP("industry|NOx|Non-fatal heart attacks", US_national_yearly!$D:$AM, 10, FALSE), 1)</f>
        <v>1.6424888071702528E-5</v>
      </c>
      <c r="H13" s="7">
        <f>$B13 * IFERROR(VLOOKUP("industry|NOx|Non-fatal heart attacks", US_national_yearly!$D:$AM, 16, FALSE) / VLOOKUP("industry|NOx|Non-fatal heart attacks", US_national_yearly!$D:$AM, 10, FALSE), 1)</f>
        <v>1.6809556190728528E-5</v>
      </c>
      <c r="I13" s="7">
        <f>$B13 * IFERROR(VLOOKUP("industry|NOx|Non-fatal heart attacks", US_national_yearly!$D:$AM, 17, FALSE) / VLOOKUP("industry|NOx|Non-fatal heart attacks", US_national_yearly!$D:$AM, 10, FALSE), 1)</f>
        <v>1.7113788236886214E-5</v>
      </c>
      <c r="J13" s="7">
        <f>$B13 * IFERROR(VLOOKUP("industry|NOx|Non-fatal heart attacks", US_national_yearly!$D:$AM, 18, FALSE) / VLOOKUP("industry|NOx|Non-fatal heart attacks", US_national_yearly!$D:$AM, 10, FALSE), 1)</f>
        <v>1.7418020283043899E-5</v>
      </c>
      <c r="K13" s="7">
        <f>$B13 * IFERROR(VLOOKUP("industry|NOx|Non-fatal heart attacks", US_national_yearly!$D:$AM, 19, FALSE) / VLOOKUP("industry|NOx|Non-fatal heart attacks", US_national_yearly!$D:$AM, 10, FALSE), 1)</f>
        <v>1.7722252329201578E-5</v>
      </c>
      <c r="L13" s="7">
        <f>$B13 * IFERROR(VLOOKUP("industry|NOx|Non-fatal heart attacks", US_national_yearly!$D:$AM, 20, FALSE) / VLOOKUP("industry|NOx|Non-fatal heart attacks", US_national_yearly!$D:$AM, 10, FALSE), 1)</f>
        <v>1.8026484375359266E-5</v>
      </c>
      <c r="M13" s="7">
        <f>$B13 * IFERROR(VLOOKUP("industry|NOx|Non-fatal heart attacks", US_national_yearly!$D:$AM, 21, FALSE) / VLOOKUP("industry|NOx|Non-fatal heart attacks", US_national_yearly!$D:$AM, 10, FALSE), 1)</f>
        <v>1.8330716421516955E-5</v>
      </c>
      <c r="N13" s="7">
        <f>$B13 * IFERROR(VLOOKUP("industry|NOx|Non-fatal heart attacks", US_national_yearly!$D:$AM, 22, FALSE) / VLOOKUP("industry|NOx|Non-fatal heart attacks", US_national_yearly!$D:$AM, 10, FALSE), 1)</f>
        <v>1.8514001627582847E-5</v>
      </c>
      <c r="O13" s="7">
        <f>$B13 * IFERROR(VLOOKUP("industry|NOx|Non-fatal heart attacks", US_national_yearly!$D:$AM, 23, FALSE) / VLOOKUP("industry|NOx|Non-fatal heart attacks", US_national_yearly!$D:$AM, 10, FALSE), 1)</f>
        <v>1.8697286833648739E-5</v>
      </c>
      <c r="P13" s="7">
        <f>$B13 * IFERROR(VLOOKUP("industry|NOx|Non-fatal heart attacks", US_national_yearly!$D:$AM, 24, FALSE) / VLOOKUP("industry|NOx|Non-fatal heart attacks", US_national_yearly!$D:$AM, 10, FALSE), 1)</f>
        <v>1.8880572039714627E-5</v>
      </c>
      <c r="Q13" s="7">
        <f>$B13 * IFERROR(VLOOKUP("industry|NOx|Non-fatal heart attacks", US_national_yearly!$D:$AM, 25, FALSE) / VLOOKUP("industry|NOx|Non-fatal heart attacks", US_national_yearly!$D:$AM, 10, FALSE), 1)</f>
        <v>1.9063857245780516E-5</v>
      </c>
      <c r="R13" s="7">
        <f>$B13 * IFERROR(VLOOKUP("industry|NOx|Non-fatal heart attacks", US_national_yearly!$D:$AM, 26, FALSE) / VLOOKUP("industry|NOx|Non-fatal heart attacks", US_national_yearly!$D:$AM, 10, FALSE), 1)</f>
        <v>1.9247142451846404E-5</v>
      </c>
      <c r="S13" s="7">
        <f>$B13 * IFERROR(VLOOKUP("industry|NOx|Non-fatal heart attacks", US_national_yearly!$D:$AM, 27, FALSE) / VLOOKUP("industry|NOx|Non-fatal heart attacks", US_national_yearly!$D:$AM, 10, FALSE), 1)</f>
        <v>1.9331237360272572E-5</v>
      </c>
      <c r="T13" s="7">
        <f>$B13 * IFERROR(VLOOKUP("industry|NOx|Non-fatal heart attacks", US_national_yearly!$D:$AM, 28, FALSE) / VLOOKUP("industry|NOx|Non-fatal heart attacks", US_national_yearly!$D:$AM, 10, FALSE), 1)</f>
        <v>1.9415332268698737E-5</v>
      </c>
      <c r="U13" s="7">
        <f>$B13 * IFERROR(VLOOKUP("industry|NOx|Non-fatal heart attacks", US_national_yearly!$D:$AM, 29, FALSE) / VLOOKUP("industry|NOx|Non-fatal heart attacks", US_national_yearly!$D:$AM, 10, FALSE), 1)</f>
        <v>1.9499427177124902E-5</v>
      </c>
      <c r="V13" s="7">
        <f>$B13 * IFERROR(VLOOKUP("industry|NOx|Non-fatal heart attacks", US_national_yearly!$D:$AM, 30, FALSE) / VLOOKUP("industry|NOx|Non-fatal heart attacks", US_national_yearly!$D:$AM, 10, FALSE), 1)</f>
        <v>1.9583522085551066E-5</v>
      </c>
      <c r="W13" s="7">
        <f>$B13 * IFERROR(VLOOKUP("industry|NOx|Non-fatal heart attacks", US_national_yearly!$D:$AM, 31, FALSE) / VLOOKUP("industry|NOx|Non-fatal heart attacks", US_national_yearly!$D:$AM, 10, FALSE), 1)</f>
        <v>1.9667616993977231E-5</v>
      </c>
      <c r="X13" s="7">
        <f>$B13 * IFERROR(VLOOKUP("industry|NOx|Non-fatal heart attacks", US_national_yearly!$D:$AM, 32, FALSE) / VLOOKUP("industry|NOx|Non-fatal heart attacks", US_national_yearly!$D:$AM, 10, FALSE), 1)</f>
        <v>1.9724371844180019E-5</v>
      </c>
      <c r="Y13" s="7">
        <f>$B13 * IFERROR(VLOOKUP("industry|NOx|Non-fatal heart attacks", US_national_yearly!$D:$AM, 33, FALSE) / VLOOKUP("industry|NOx|Non-fatal heart attacks", US_national_yearly!$D:$AM, 10, FALSE), 1)</f>
        <v>1.9781126694382808E-5</v>
      </c>
      <c r="Z13" s="7">
        <f>$B13 * IFERROR(VLOOKUP("industry|NOx|Non-fatal heart attacks", US_national_yearly!$D:$AM, 34, FALSE) / VLOOKUP("industry|NOx|Non-fatal heart attacks", US_national_yearly!$D:$AM, 10, FALSE), 1)</f>
        <v>1.9837881544585593E-5</v>
      </c>
      <c r="AA13" s="7">
        <f>$B13 * IFERROR(VLOOKUP("industry|NOx|Non-fatal heart attacks", US_national_yearly!$D:$AM, 35, FALSE) / VLOOKUP("industry|NOx|Non-fatal heart attacks", US_national_yearly!$D:$AM, 10, FALSE), 1)</f>
        <v>1.9894636394788382E-5</v>
      </c>
      <c r="AB13" s="7">
        <f>$B13 * IFERROR(VLOOKUP("industry|NOx|Non-fatal heart attacks", US_national_yearly!$D:$AM, 36, FALSE) / VLOOKUP("industry|NOx|Non-fatal heart attacks", US_national_yearly!$D:$AM, 10, FALSE), 1)</f>
        <v>1.995139124499117E-5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1.1946862440554127E-2</v>
      </c>
      <c r="C14" s="7">
        <f>$B14 * IFERROR(VLOOKUP("industry|NOx|Minor restricted activity days", US_national_yearly!$D:$AM, 11, FALSE) / VLOOKUP("industry|NOx|Minor restricted activity days", US_national_yearly!$D:$AM, 10, FALSE), 1)</f>
        <v>1.1964562639133669E-2</v>
      </c>
      <c r="D14" s="7">
        <f>$B14 * IFERROR(VLOOKUP("industry|NOx|Minor restricted activity days", US_national_yearly!$D:$AM, 12, FALSE) / VLOOKUP("industry|NOx|Minor restricted activity days", US_national_yearly!$D:$AM, 10, FALSE), 1)</f>
        <v>1.1982262837713208E-2</v>
      </c>
      <c r="E14" s="7">
        <f>$B14 * IFERROR(VLOOKUP("industry|NOx|Minor restricted activity days", US_national_yearly!$D:$AM, 13, FALSE) / VLOOKUP("industry|NOx|Minor restricted activity days", US_national_yearly!$D:$AM, 10, FALSE), 1)</f>
        <v>1.1999963036292749E-2</v>
      </c>
      <c r="F14" s="7">
        <f>$B14 * IFERROR(VLOOKUP("industry|NOx|Minor restricted activity days", US_national_yearly!$D:$AM, 14, FALSE) / VLOOKUP("industry|NOx|Minor restricted activity days", US_national_yearly!$D:$AM, 10, FALSE), 1)</f>
        <v>1.201766323487229E-2</v>
      </c>
      <c r="G14" s="7">
        <f>$B14 * IFERROR(VLOOKUP("industry|NOx|Minor restricted activity days", US_national_yearly!$D:$AM, 15, FALSE) / VLOOKUP("industry|NOx|Minor restricted activity days", US_national_yearly!$D:$AM, 10, FALSE), 1)</f>
        <v>1.204988479109474E-2</v>
      </c>
      <c r="H14" s="7">
        <f>$B14 * IFERROR(VLOOKUP("industry|NOx|Minor restricted activity days", US_national_yearly!$D:$AM, 16, FALSE) / VLOOKUP("industry|NOx|Minor restricted activity days", US_national_yearly!$D:$AM, 10, FALSE), 1)</f>
        <v>1.2082106347317191E-2</v>
      </c>
      <c r="I14" s="7">
        <f>$B14 * IFERROR(VLOOKUP("industry|NOx|Minor restricted activity days", US_national_yearly!$D:$AM, 17, FALSE) / VLOOKUP("industry|NOx|Minor restricted activity days", US_national_yearly!$D:$AM, 10, FALSE), 1)</f>
        <v>1.2145539067400299E-2</v>
      </c>
      <c r="J14" s="7">
        <f>$B14 * IFERROR(VLOOKUP("industry|NOx|Minor restricted activity days", US_national_yearly!$D:$AM, 18, FALSE) / VLOOKUP("industry|NOx|Minor restricted activity days", US_national_yearly!$D:$AM, 10, FALSE), 1)</f>
        <v>1.2208971787483406E-2</v>
      </c>
      <c r="K14" s="7">
        <f>$B14 * IFERROR(VLOOKUP("industry|NOx|Minor restricted activity days", US_national_yearly!$D:$AM, 19, FALSE) / VLOOKUP("industry|NOx|Minor restricted activity days", US_national_yearly!$D:$AM, 10, FALSE), 1)</f>
        <v>1.2272404507566509E-2</v>
      </c>
      <c r="L14" s="7">
        <f>$B14 * IFERROR(VLOOKUP("industry|NOx|Minor restricted activity days", US_national_yearly!$D:$AM, 20, FALSE) / VLOOKUP("industry|NOx|Minor restricted activity days", US_national_yearly!$D:$AM, 10, FALSE), 1)</f>
        <v>1.2335837227649618E-2</v>
      </c>
      <c r="M14" s="7">
        <f>$B14 * IFERROR(VLOOKUP("industry|NOx|Minor restricted activity days", US_national_yearly!$D:$AM, 21, FALSE) / VLOOKUP("industry|NOx|Minor restricted activity days", US_national_yearly!$D:$AM, 10, FALSE), 1)</f>
        <v>1.2399269947732723E-2</v>
      </c>
      <c r="N14" s="7">
        <f>$B14 * IFERROR(VLOOKUP("industry|NOx|Minor restricted activity days", US_national_yearly!$D:$AM, 22, FALSE) / VLOOKUP("industry|NOx|Minor restricted activity days", US_national_yearly!$D:$AM, 10, FALSE), 1)</f>
        <v>1.2490617305260779E-2</v>
      </c>
      <c r="O14" s="7">
        <f>$B14 * IFERROR(VLOOKUP("industry|NOx|Minor restricted activity days", US_national_yearly!$D:$AM, 23, FALSE) / VLOOKUP("industry|NOx|Minor restricted activity days", US_national_yearly!$D:$AM, 10, FALSE), 1)</f>
        <v>1.2581964662788837E-2</v>
      </c>
      <c r="P14" s="7">
        <f>$B14 * IFERROR(VLOOKUP("industry|NOx|Minor restricted activity days", US_national_yearly!$D:$AM, 24, FALSE) / VLOOKUP("industry|NOx|Minor restricted activity days", US_national_yearly!$D:$AM, 10, FALSE), 1)</f>
        <v>1.2673312020316895E-2</v>
      </c>
      <c r="Q14" s="7">
        <f>$B14 * IFERROR(VLOOKUP("industry|NOx|Minor restricted activity days", US_national_yearly!$D:$AM, 25, FALSE) / VLOOKUP("industry|NOx|Minor restricted activity days", US_national_yearly!$D:$AM, 10, FALSE), 1)</f>
        <v>1.2764659377844951E-2</v>
      </c>
      <c r="R14" s="7">
        <f>$B14 * IFERROR(VLOOKUP("industry|NOx|Minor restricted activity days", US_national_yearly!$D:$AM, 26, FALSE) / VLOOKUP("industry|NOx|Minor restricted activity days", US_national_yearly!$D:$AM, 10, FALSE), 1)</f>
        <v>1.2856006735373009E-2</v>
      </c>
      <c r="S14" s="7">
        <f>$B14 * IFERROR(VLOOKUP("industry|NOx|Minor restricted activity days", US_national_yearly!$D:$AM, 27, FALSE) / VLOOKUP("industry|NOx|Minor restricted activity days", US_national_yearly!$D:$AM, 10, FALSE), 1)</f>
        <v>1.2947451892471807E-2</v>
      </c>
      <c r="T14" s="7">
        <f>$B14 * IFERROR(VLOOKUP("industry|NOx|Minor restricted activity days", US_national_yearly!$D:$AM, 28, FALSE) / VLOOKUP("industry|NOx|Minor restricted activity days", US_national_yearly!$D:$AM, 10, FALSE), 1)</f>
        <v>1.3038897049570607E-2</v>
      </c>
      <c r="U14" s="7">
        <f>$B14 * IFERROR(VLOOKUP("industry|NOx|Minor restricted activity days", US_national_yearly!$D:$AM, 29, FALSE) / VLOOKUP("industry|NOx|Minor restricted activity days", US_national_yearly!$D:$AM, 10, FALSE), 1)</f>
        <v>1.3130342206669407E-2</v>
      </c>
      <c r="V14" s="7">
        <f>$B14 * IFERROR(VLOOKUP("industry|NOx|Minor restricted activity days", US_national_yearly!$D:$AM, 30, FALSE) / VLOOKUP("industry|NOx|Minor restricted activity days", US_national_yearly!$D:$AM, 10, FALSE), 1)</f>
        <v>1.3221787363768207E-2</v>
      </c>
      <c r="W14" s="7">
        <f>$B14 * IFERROR(VLOOKUP("industry|NOx|Minor restricted activity days", US_national_yearly!$D:$AM, 31, FALSE) / VLOOKUP("industry|NOx|Minor restricted activity days", US_national_yearly!$D:$AM, 10, FALSE), 1)</f>
        <v>1.3313232520867007E-2</v>
      </c>
      <c r="X14" s="7">
        <f>$B14 * IFERROR(VLOOKUP("industry|NOx|Minor restricted activity days", US_national_yearly!$D:$AM, 32, FALSE) / VLOOKUP("industry|NOx|Minor restricted activity days", US_national_yearly!$D:$AM, 10, FALSE), 1)</f>
        <v>1.3390438332408827E-2</v>
      </c>
      <c r="Y14" s="7">
        <f>$B14 * IFERROR(VLOOKUP("industry|NOx|Minor restricted activity days", US_national_yearly!$D:$AM, 33, FALSE) / VLOOKUP("industry|NOx|Minor restricted activity days", US_national_yearly!$D:$AM, 10, FALSE), 1)</f>
        <v>1.3467644143950646E-2</v>
      </c>
      <c r="Z14" s="7">
        <f>$B14 * IFERROR(VLOOKUP("industry|NOx|Minor restricted activity days", US_national_yearly!$D:$AM, 34, FALSE) / VLOOKUP("industry|NOx|Minor restricted activity days", US_national_yearly!$D:$AM, 10, FALSE), 1)</f>
        <v>1.3544849955492464E-2</v>
      </c>
      <c r="AA14" s="7">
        <f>$B14 * IFERROR(VLOOKUP("industry|NOx|Minor restricted activity days", US_national_yearly!$D:$AM, 35, FALSE) / VLOOKUP("industry|NOx|Minor restricted activity days", US_national_yearly!$D:$AM, 10, FALSE), 1)</f>
        <v>1.3622055767034284E-2</v>
      </c>
      <c r="AB14" s="7">
        <f>$B14 * IFERROR(VLOOKUP("industry|NOx|Minor restricted activity days", US_national_yearly!$D:$AM, 36, FALSE) / VLOOKUP("industry|NOx|Minor restricted activity days", US_national_yearly!$D:$AM, 10, FALSE), 1)</f>
        <v>1.3699261578576104E-2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2.0394777334585361E-3</v>
      </c>
      <c r="C15" s="7">
        <f>$B15 * IFERROR(VLOOKUP("industry|NOx|Work loss days", US_national_yearly!$D:$AM, 11, FALSE) / VLOOKUP("industry|NOx|Work loss days", US_national_yearly!$D:$AM, 10, FALSE), 1)</f>
        <v>2.0438966227117154E-3</v>
      </c>
      <c r="D15" s="7">
        <f>$B15 * IFERROR(VLOOKUP("industry|NOx|Work loss days", US_national_yearly!$D:$AM, 12, FALSE) / VLOOKUP("industry|NOx|Work loss days", US_national_yearly!$D:$AM, 10, FALSE), 1)</f>
        <v>2.0483155119648939E-3</v>
      </c>
      <c r="E15" s="7">
        <f>$B15 * IFERROR(VLOOKUP("industry|NOx|Work loss days", US_national_yearly!$D:$AM, 13, FALSE) / VLOOKUP("industry|NOx|Work loss days", US_national_yearly!$D:$AM, 10, FALSE), 1)</f>
        <v>2.0527344012180736E-3</v>
      </c>
      <c r="F15" s="7">
        <f>$B15 * IFERROR(VLOOKUP("industry|NOx|Work loss days", US_national_yearly!$D:$AM, 14, FALSE) / VLOOKUP("industry|NOx|Work loss days", US_national_yearly!$D:$AM, 10, FALSE), 1)</f>
        <v>2.0571532904712525E-3</v>
      </c>
      <c r="G15" s="7">
        <f>$B15 * IFERROR(VLOOKUP("industry|NOx|Work loss days", US_national_yearly!$D:$AM, 15, FALSE) / VLOOKUP("industry|NOx|Work loss days", US_national_yearly!$D:$AM, 10, FALSE), 1)</f>
        <v>2.0636170171589923E-3</v>
      </c>
      <c r="H15" s="7">
        <f>$B15 * IFERROR(VLOOKUP("industry|NOx|Work loss days", US_national_yearly!$D:$AM, 16, FALSE) / VLOOKUP("industry|NOx|Work loss days", US_national_yearly!$D:$AM, 10, FALSE), 1)</f>
        <v>2.0700807438467322E-3</v>
      </c>
      <c r="I15" s="7">
        <f>$B15 * IFERROR(VLOOKUP("industry|NOx|Work loss days", US_national_yearly!$D:$AM, 17, FALSE) / VLOOKUP("industry|NOx|Work loss days", US_national_yearly!$D:$AM, 10, FALSE), 1)</f>
        <v>2.0805826608066525E-3</v>
      </c>
      <c r="J15" s="7">
        <f>$B15 * IFERROR(VLOOKUP("industry|NOx|Work loss days", US_national_yearly!$D:$AM, 18, FALSE) / VLOOKUP("industry|NOx|Work loss days", US_national_yearly!$D:$AM, 10, FALSE), 1)</f>
        <v>2.0910845777665729E-3</v>
      </c>
      <c r="K15" s="7">
        <f>$B15 * IFERROR(VLOOKUP("industry|NOx|Work loss days", US_national_yearly!$D:$AM, 19, FALSE) / VLOOKUP("industry|NOx|Work loss days", US_national_yearly!$D:$AM, 10, FALSE), 1)</f>
        <v>2.1015864947264932E-3</v>
      </c>
      <c r="L15" s="7">
        <f>$B15 * IFERROR(VLOOKUP("industry|NOx|Work loss days", US_national_yearly!$D:$AM, 20, FALSE) / VLOOKUP("industry|NOx|Work loss days", US_national_yearly!$D:$AM, 10, FALSE), 1)</f>
        <v>2.1120884116864131E-3</v>
      </c>
      <c r="M15" s="7">
        <f>$B15 * IFERROR(VLOOKUP("industry|NOx|Work loss days", US_national_yearly!$D:$AM, 21, FALSE) / VLOOKUP("industry|NOx|Work loss days", US_national_yearly!$D:$AM, 10, FALSE), 1)</f>
        <v>2.1225903286463334E-3</v>
      </c>
      <c r="N15" s="7">
        <f>$B15 * IFERROR(VLOOKUP("industry|NOx|Work loss days", US_national_yearly!$D:$AM, 22, FALSE) / VLOOKUP("industry|NOx|Work loss days", US_national_yearly!$D:$AM, 10, FALSE), 1)</f>
        <v>2.1363244544392378E-3</v>
      </c>
      <c r="O15" s="7">
        <f>$B15 * IFERROR(VLOOKUP("industry|NOx|Work loss days", US_national_yearly!$D:$AM, 23, FALSE) / VLOOKUP("industry|NOx|Work loss days", US_national_yearly!$D:$AM, 10, FALSE), 1)</f>
        <v>2.1500585802321425E-3</v>
      </c>
      <c r="P15" s="7">
        <f>$B15 * IFERROR(VLOOKUP("industry|NOx|Work loss days", US_national_yearly!$D:$AM, 24, FALSE) / VLOOKUP("industry|NOx|Work loss days", US_national_yearly!$D:$AM, 10, FALSE), 1)</f>
        <v>2.1637927060250473E-3</v>
      </c>
      <c r="Q15" s="7">
        <f>$B15 * IFERROR(VLOOKUP("industry|NOx|Work loss days", US_national_yearly!$D:$AM, 25, FALSE) / VLOOKUP("industry|NOx|Work loss days", US_national_yearly!$D:$AM, 10, FALSE), 1)</f>
        <v>2.1775268318179517E-3</v>
      </c>
      <c r="R15" s="7">
        <f>$B15 * IFERROR(VLOOKUP("industry|NOx|Work loss days", US_national_yearly!$D:$AM, 26, FALSE) / VLOOKUP("industry|NOx|Work loss days", US_national_yearly!$D:$AM, 10, FALSE), 1)</f>
        <v>2.1912609576108565E-3</v>
      </c>
      <c r="S15" s="7">
        <f>$B15 * IFERROR(VLOOKUP("industry|NOx|Work loss days", US_national_yearly!$D:$AM, 27, FALSE) / VLOOKUP("industry|NOx|Work loss days", US_national_yearly!$D:$AM, 10, FALSE), 1)</f>
        <v>2.2066148783451219E-3</v>
      </c>
      <c r="T15" s="7">
        <f>$B15 * IFERROR(VLOOKUP("industry|NOx|Work loss days", US_national_yearly!$D:$AM, 28, FALSE) / VLOOKUP("industry|NOx|Work loss days", US_national_yearly!$D:$AM, 10, FALSE), 1)</f>
        <v>2.2219687990793877E-3</v>
      </c>
      <c r="U15" s="7">
        <f>$B15 * IFERROR(VLOOKUP("industry|NOx|Work loss days", US_national_yearly!$D:$AM, 29, FALSE) / VLOOKUP("industry|NOx|Work loss days", US_national_yearly!$D:$AM, 10, FALSE), 1)</f>
        <v>2.2373227198136539E-3</v>
      </c>
      <c r="V15" s="7">
        <f>$B15 * IFERROR(VLOOKUP("industry|NOx|Work loss days", US_national_yearly!$D:$AM, 30, FALSE) / VLOOKUP("industry|NOx|Work loss days", US_national_yearly!$D:$AM, 10, FALSE), 1)</f>
        <v>2.2526766405479193E-3</v>
      </c>
      <c r="W15" s="7">
        <f>$B15 * IFERROR(VLOOKUP("industry|NOx|Work loss days", US_national_yearly!$D:$AM, 31, FALSE) / VLOOKUP("industry|NOx|Work loss days", US_national_yearly!$D:$AM, 10, FALSE), 1)</f>
        <v>2.2680305612821851E-3</v>
      </c>
      <c r="X15" s="7">
        <f>$B15 * IFERROR(VLOOKUP("industry|NOx|Work loss days", US_national_yearly!$D:$AM, 32, FALSE) / VLOOKUP("industry|NOx|Work loss days", US_national_yearly!$D:$AM, 10, FALSE), 1)</f>
        <v>2.2813506229870917E-3</v>
      </c>
      <c r="Y15" s="7">
        <f>$B15 * IFERROR(VLOOKUP("industry|NOx|Work loss days", US_national_yearly!$D:$AM, 33, FALSE) / VLOOKUP("industry|NOx|Work loss days", US_national_yearly!$D:$AM, 10, FALSE), 1)</f>
        <v>2.2946706846919984E-3</v>
      </c>
      <c r="Z15" s="7">
        <f>$B15 * IFERROR(VLOOKUP("industry|NOx|Work loss days", US_national_yearly!$D:$AM, 34, FALSE) / VLOOKUP("industry|NOx|Work loss days", US_national_yearly!$D:$AM, 10, FALSE), 1)</f>
        <v>2.307990746396905E-3</v>
      </c>
      <c r="AA15" s="7">
        <f>$B15 * IFERROR(VLOOKUP("industry|NOx|Work loss days", US_national_yearly!$D:$AM, 35, FALSE) / VLOOKUP("industry|NOx|Work loss days", US_national_yearly!$D:$AM, 10, FALSE), 1)</f>
        <v>2.3213108081018116E-3</v>
      </c>
      <c r="AB15" s="7">
        <f>$B15 * IFERROR(VLOOKUP("industry|NOx|Work loss days", US_national_yearly!$D:$AM, 36, FALSE) / VLOOKUP("industry|NOx|Work loss days", US_national_yearly!$D:$AM, 10, FALSE), 1)</f>
        <v>2.3346308698067178E-3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2.9239973363944238E-6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3.0098537086368417E-6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3.0957100808792596E-6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3.181566453121677E-6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3.2674228253640958E-6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3.3490227949088561E-6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3.4306227644536173E-6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3.4994174431171093E-6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3.5682121217806008E-6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3.6370068004440919E-6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3.7058014791075835E-6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3.7745961577710746E-6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3.8176644575641545E-6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3.8607327573572339E-6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3.9038010571503133E-6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3.9468693569433928E-6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3.9899376567364714E-6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4.0098059104801937E-6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4.0296741642239161E-6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4.0495424179676385E-6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4.0694106717113618E-6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4.0892789254550842E-6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4.1005043499661914E-6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4.1117297744772986E-6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4.1229551989884058E-6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4.1341806234995121E-6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4.1454060480106193E-6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1.4903145223349356E-2</v>
      </c>
      <c r="C2" s="7">
        <f>$B2 * IFERROR(VLOOKUP("industry|SO2|Premature mortality", US_national_yearly!$D:$AM, 11, FALSE) / VLOOKUP("industry|SO2|Premature mortality", US_national_yearly!$D:$AM, 10, FALSE), 1)</f>
        <v>1.5092070945210373E-2</v>
      </c>
      <c r="D2" s="7">
        <f>$B2 * IFERROR(VLOOKUP("industry|SO2|Premature mortality", US_national_yearly!$D:$AM, 12, FALSE) / VLOOKUP("industry|SO2|Premature mortality", US_national_yearly!$D:$AM, 10, FALSE), 1)</f>
        <v>1.5280996667071386E-2</v>
      </c>
      <c r="E2" s="7">
        <f>$B2 * IFERROR(VLOOKUP("industry|SO2|Premature mortality", US_national_yearly!$D:$AM, 13, FALSE) / VLOOKUP("industry|SO2|Premature mortality", US_national_yearly!$D:$AM, 10, FALSE), 1)</f>
        <v>1.5469922388932399E-2</v>
      </c>
      <c r="F2" s="7">
        <f>$B2 * IFERROR(VLOOKUP("industry|SO2|Premature mortality", US_national_yearly!$D:$AM, 14, FALSE) / VLOOKUP("industry|SO2|Premature mortality", US_national_yearly!$D:$AM, 10, FALSE), 1)</f>
        <v>1.5658848110793416E-2</v>
      </c>
      <c r="G2" s="7">
        <f>$B2 * IFERROR(VLOOKUP("industry|SO2|Premature mortality", US_national_yearly!$D:$AM, 15, FALSE) / VLOOKUP("industry|SO2|Premature mortality", US_national_yearly!$D:$AM, 10, FALSE), 1)</f>
        <v>1.6022995565724066E-2</v>
      </c>
      <c r="H2" s="7">
        <f>$B2 * IFERROR(VLOOKUP("industry|SO2|Premature mortality", US_national_yearly!$D:$AM, 16, FALSE) / VLOOKUP("industry|SO2|Premature mortality", US_national_yearly!$D:$AM, 10, FALSE), 1)</f>
        <v>1.6387143020654721E-2</v>
      </c>
      <c r="I2" s="7">
        <f>$B2 * IFERROR(VLOOKUP("industry|SO2|Premature mortality", US_national_yearly!$D:$AM, 17, FALSE) / VLOOKUP("industry|SO2|Premature mortality", US_national_yearly!$D:$AM, 10, FALSE), 1)</f>
        <v>1.6628270807094628E-2</v>
      </c>
      <c r="J2" s="7">
        <f>$B2 * IFERROR(VLOOKUP("industry|SO2|Premature mortality", US_national_yearly!$D:$AM, 18, FALSE) / VLOOKUP("industry|SO2|Premature mortality", US_national_yearly!$D:$AM, 10, FALSE), 1)</f>
        <v>1.6869398593534535E-2</v>
      </c>
      <c r="K2" s="7">
        <f>$B2 * IFERROR(VLOOKUP("industry|SO2|Premature mortality", US_national_yearly!$D:$AM, 19, FALSE) / VLOOKUP("industry|SO2|Premature mortality", US_national_yearly!$D:$AM, 10, FALSE), 1)</f>
        <v>1.7110526379974442E-2</v>
      </c>
      <c r="L2" s="7">
        <f>$B2 * IFERROR(VLOOKUP("industry|SO2|Premature mortality", US_national_yearly!$D:$AM, 20, FALSE) / VLOOKUP("industry|SO2|Premature mortality", US_national_yearly!$D:$AM, 10, FALSE), 1)</f>
        <v>1.7351654166414349E-2</v>
      </c>
      <c r="M2" s="7">
        <f>$B2 * IFERROR(VLOOKUP("industry|SO2|Premature mortality", US_national_yearly!$D:$AM, 21, FALSE) / VLOOKUP("industry|SO2|Premature mortality", US_national_yearly!$D:$AM, 10, FALSE), 1)</f>
        <v>1.7592781952854256E-2</v>
      </c>
      <c r="N2" s="7">
        <f>$B2 * IFERROR(VLOOKUP("industry|SO2|Premature mortality", US_national_yearly!$D:$AM, 22, FALSE) / VLOOKUP("industry|SO2|Premature mortality", US_national_yearly!$D:$AM, 10, FALSE), 1)</f>
        <v>1.7781401212721034E-2</v>
      </c>
      <c r="O2" s="7">
        <f>$B2 * IFERROR(VLOOKUP("industry|SO2|Premature mortality", US_national_yearly!$D:$AM, 23, FALSE) / VLOOKUP("industry|SO2|Premature mortality", US_national_yearly!$D:$AM, 10, FALSE), 1)</f>
        <v>1.7970020472587812E-2</v>
      </c>
      <c r="P2" s="7">
        <f>$B2 * IFERROR(VLOOKUP("industry|SO2|Premature mortality", US_national_yearly!$D:$AM, 24, FALSE) / VLOOKUP("industry|SO2|Premature mortality", US_national_yearly!$D:$AM, 10, FALSE), 1)</f>
        <v>1.8158639732454587E-2</v>
      </c>
      <c r="Q2" s="7">
        <f>$B2 * IFERROR(VLOOKUP("industry|SO2|Premature mortality", US_national_yearly!$D:$AM, 25, FALSE) / VLOOKUP("industry|SO2|Premature mortality", US_national_yearly!$D:$AM, 10, FALSE), 1)</f>
        <v>1.8347258992321366E-2</v>
      </c>
      <c r="R2" s="7">
        <f>$B2 * IFERROR(VLOOKUP("industry|SO2|Premature mortality", US_national_yearly!$D:$AM, 26, FALSE) / VLOOKUP("industry|SO2|Premature mortality", US_national_yearly!$D:$AM, 10, FALSE), 1)</f>
        <v>1.8535878252188144E-2</v>
      </c>
      <c r="S2" s="7">
        <f>$B2 * IFERROR(VLOOKUP("industry|SO2|Premature mortality", US_national_yearly!$D:$AM, 27, FALSE) / VLOOKUP("industry|SO2|Premature mortality", US_national_yearly!$D:$AM, 10, FALSE), 1)</f>
        <v>1.8637722261352217E-2</v>
      </c>
      <c r="T2" s="7">
        <f>$B2 * IFERROR(VLOOKUP("industry|SO2|Premature mortality", US_national_yearly!$D:$AM, 28, FALSE) / VLOOKUP("industry|SO2|Premature mortality", US_national_yearly!$D:$AM, 10, FALSE), 1)</f>
        <v>1.8739566270516289E-2</v>
      </c>
      <c r="U2" s="7">
        <f>$B2 * IFERROR(VLOOKUP("industry|SO2|Premature mortality", US_national_yearly!$D:$AM, 29, FALSE) / VLOOKUP("industry|SO2|Premature mortality", US_national_yearly!$D:$AM, 10, FALSE), 1)</f>
        <v>1.8841410279680369E-2</v>
      </c>
      <c r="V2" s="7">
        <f>$B2 * IFERROR(VLOOKUP("industry|SO2|Premature mortality", US_national_yearly!$D:$AM, 30, FALSE) / VLOOKUP("industry|SO2|Premature mortality", US_national_yearly!$D:$AM, 10, FALSE), 1)</f>
        <v>1.8943254288844445E-2</v>
      </c>
      <c r="W2" s="7">
        <f>$B2 * IFERROR(VLOOKUP("industry|SO2|Premature mortality", US_national_yearly!$D:$AM, 31, FALSE) / VLOOKUP("industry|SO2|Premature mortality", US_national_yearly!$D:$AM, 10, FALSE), 1)</f>
        <v>1.9045098298008517E-2</v>
      </c>
      <c r="X2" s="7">
        <f>$B2 * IFERROR(VLOOKUP("industry|SO2|Premature mortality", US_national_yearly!$D:$AM, 32, FALSE) / VLOOKUP("industry|SO2|Premature mortality", US_national_yearly!$D:$AM, 10, FALSE), 1)</f>
        <v>1.9067018236439255E-2</v>
      </c>
      <c r="Y2" s="7">
        <f>$B2 * IFERROR(VLOOKUP("industry|SO2|Premature mortality", US_national_yearly!$D:$AM, 33, FALSE) / VLOOKUP("industry|SO2|Premature mortality", US_national_yearly!$D:$AM, 10, FALSE), 1)</f>
        <v>1.9088938174869993E-2</v>
      </c>
      <c r="Z2" s="7">
        <f>$B2 * IFERROR(VLOOKUP("industry|SO2|Premature mortality", US_national_yearly!$D:$AM, 34, FALSE) / VLOOKUP("industry|SO2|Premature mortality", US_national_yearly!$D:$AM, 10, FALSE), 1)</f>
        <v>1.9110858113300735E-2</v>
      </c>
      <c r="AA2" s="7">
        <f>$B2 * IFERROR(VLOOKUP("industry|SO2|Premature mortality", US_national_yearly!$D:$AM, 35, FALSE) / VLOOKUP("industry|SO2|Premature mortality", US_national_yearly!$D:$AM, 10, FALSE), 1)</f>
        <v>1.9132778051731473E-2</v>
      </c>
      <c r="AB2" s="7">
        <f>$B2 * IFERROR(VLOOKUP("industry|SO2|Premature mortality", US_national_yearly!$D:$AM, 36, FALSE) / VLOOKUP("industry|SO2|Premature mortality", US_national_yearly!$D:$AM, 10, FALSE), 1)</f>
        <v>1.9154697990162211E-2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4.3240926746855342E-5</v>
      </c>
      <c r="C3" s="7">
        <f>$B3 * IFERROR(VLOOKUP("industry|SO2|Infant mortality", US_national_yearly!$D:$AM, 11, FALSE) / VLOOKUP("industry|SO2|Infant mortality", US_national_yearly!$D:$AM, 10, FALSE), 1)</f>
        <v>4.2868921719451987E-5</v>
      </c>
      <c r="D3" s="7">
        <f>$B3 * IFERROR(VLOOKUP("industry|SO2|Infant mortality", US_national_yearly!$D:$AM, 12, FALSE) / VLOOKUP("industry|SO2|Infant mortality", US_national_yearly!$D:$AM, 10, FALSE), 1)</f>
        <v>4.2496916692048639E-5</v>
      </c>
      <c r="E3" s="7">
        <f>$B3 * IFERROR(VLOOKUP("industry|SO2|Infant mortality", US_national_yearly!$D:$AM, 13, FALSE) / VLOOKUP("industry|SO2|Infant mortality", US_national_yearly!$D:$AM, 10, FALSE), 1)</f>
        <v>4.212491166464529E-5</v>
      </c>
      <c r="F3" s="7">
        <f>$B3 * IFERROR(VLOOKUP("industry|SO2|Infant mortality", US_national_yearly!$D:$AM, 14, FALSE) / VLOOKUP("industry|SO2|Infant mortality", US_national_yearly!$D:$AM, 10, FALSE), 1)</f>
        <v>4.1752906637241942E-5</v>
      </c>
      <c r="G3" s="7">
        <f>$B3 * IFERROR(VLOOKUP("industry|SO2|Infant mortality", US_national_yearly!$D:$AM, 15, FALSE) / VLOOKUP("industry|SO2|Infant mortality", US_national_yearly!$D:$AM, 10, FALSE), 1)</f>
        <v>2.7794840900263757E-5</v>
      </c>
      <c r="H3" s="7">
        <f>$B3 * IFERROR(VLOOKUP("industry|SO2|Infant mortality", US_national_yearly!$D:$AM, 16, FALSE) / VLOOKUP("industry|SO2|Infant mortality", US_national_yearly!$D:$AM, 10, FALSE), 1)</f>
        <v>1.3836775163285576E-5</v>
      </c>
      <c r="I3" s="7">
        <f>$B3 * IFERROR(VLOOKUP("industry|SO2|Infant mortality", US_national_yearly!$D:$AM, 17, FALSE) / VLOOKUP("industry|SO2|Infant mortality", US_national_yearly!$D:$AM, 10, FALSE), 1)</f>
        <v>1.3748912821147399E-5</v>
      </c>
      <c r="J3" s="7">
        <f>$B3 * IFERROR(VLOOKUP("industry|SO2|Infant mortality", US_national_yearly!$D:$AM, 18, FALSE) / VLOOKUP("industry|SO2|Infant mortality", US_national_yearly!$D:$AM, 10, FALSE), 1)</f>
        <v>1.3661050479009221E-5</v>
      </c>
      <c r="K3" s="7">
        <f>$B3 * IFERROR(VLOOKUP("industry|SO2|Infant mortality", US_national_yearly!$D:$AM, 19, FALSE) / VLOOKUP("industry|SO2|Infant mortality", US_national_yearly!$D:$AM, 10, FALSE), 1)</f>
        <v>1.3573188136871044E-5</v>
      </c>
      <c r="L3" s="7">
        <f>$B3 * IFERROR(VLOOKUP("industry|SO2|Infant mortality", US_national_yearly!$D:$AM, 20, FALSE) / VLOOKUP("industry|SO2|Infant mortality", US_national_yearly!$D:$AM, 10, FALSE), 1)</f>
        <v>1.3485325794732867E-5</v>
      </c>
      <c r="M3" s="7">
        <f>$B3 * IFERROR(VLOOKUP("industry|SO2|Infant mortality", US_national_yearly!$D:$AM, 21, FALSE) / VLOOKUP("industry|SO2|Infant mortality", US_national_yearly!$D:$AM, 10, FALSE), 1)</f>
        <v>1.339746345259469E-5</v>
      </c>
      <c r="N3" s="7">
        <f>$B3 * IFERROR(VLOOKUP("industry|SO2|Infant mortality", US_national_yearly!$D:$AM, 22, FALSE) / VLOOKUP("industry|SO2|Infant mortality", US_national_yearly!$D:$AM, 10, FALSE), 1)</f>
        <v>1.3341775887374828E-5</v>
      </c>
      <c r="O3" s="7">
        <f>$B3 * IFERROR(VLOOKUP("industry|SO2|Infant mortality", US_national_yearly!$D:$AM, 23, FALSE) / VLOOKUP("industry|SO2|Infant mortality", US_national_yearly!$D:$AM, 10, FALSE), 1)</f>
        <v>1.3286088322154965E-5</v>
      </c>
      <c r="P3" s="7">
        <f>$B3 * IFERROR(VLOOKUP("industry|SO2|Infant mortality", US_national_yearly!$D:$AM, 24, FALSE) / VLOOKUP("industry|SO2|Infant mortality", US_national_yearly!$D:$AM, 10, FALSE), 1)</f>
        <v>1.3230400756935101E-5</v>
      </c>
      <c r="Q3" s="7">
        <f>$B3 * IFERROR(VLOOKUP("industry|SO2|Infant mortality", US_national_yearly!$D:$AM, 25, FALSE) / VLOOKUP("industry|SO2|Infant mortality", US_national_yearly!$D:$AM, 10, FALSE), 1)</f>
        <v>1.3174713191715238E-5</v>
      </c>
      <c r="R3" s="7">
        <f>$B3 * IFERROR(VLOOKUP("industry|SO2|Infant mortality", US_national_yearly!$D:$AM, 26, FALSE) / VLOOKUP("industry|SO2|Infant mortality", US_national_yearly!$D:$AM, 10, FALSE), 1)</f>
        <v>1.3119025626495376E-5</v>
      </c>
      <c r="S3" s="7">
        <f>$B3 * IFERROR(VLOOKUP("industry|SO2|Infant mortality", US_national_yearly!$D:$AM, 27, FALSE) / VLOOKUP("industry|SO2|Infant mortality", US_national_yearly!$D:$AM, 10, FALSE), 1)</f>
        <v>1.3049723086845412E-5</v>
      </c>
      <c r="T3" s="7">
        <f>$B3 * IFERROR(VLOOKUP("industry|SO2|Infant mortality", US_national_yearly!$D:$AM, 28, FALSE) / VLOOKUP("industry|SO2|Infant mortality", US_national_yearly!$D:$AM, 10, FALSE), 1)</f>
        <v>1.2980420547195447E-5</v>
      </c>
      <c r="U3" s="7">
        <f>$B3 * IFERROR(VLOOKUP("industry|SO2|Infant mortality", US_national_yearly!$D:$AM, 29, FALSE) / VLOOKUP("industry|SO2|Infant mortality", US_national_yearly!$D:$AM, 10, FALSE), 1)</f>
        <v>1.2911118007545483E-5</v>
      </c>
      <c r="V3" s="7">
        <f>$B3 * IFERROR(VLOOKUP("industry|SO2|Infant mortality", US_national_yearly!$D:$AM, 30, FALSE) / VLOOKUP("industry|SO2|Infant mortality", US_national_yearly!$D:$AM, 10, FALSE), 1)</f>
        <v>1.2841815467895519E-5</v>
      </c>
      <c r="W3" s="7">
        <f>$B3 * IFERROR(VLOOKUP("industry|SO2|Infant mortality", US_national_yearly!$D:$AM, 31, FALSE) / VLOOKUP("industry|SO2|Infant mortality", US_national_yearly!$D:$AM, 10, FALSE), 1)</f>
        <v>1.2772512928245554E-5</v>
      </c>
      <c r="X3" s="7">
        <f>$B3 * IFERROR(VLOOKUP("industry|SO2|Infant mortality", US_national_yearly!$D:$AM, 32, FALSE) / VLOOKUP("industry|SO2|Infant mortality", US_national_yearly!$D:$AM, 10, FALSE), 1)</f>
        <v>1.2697201748985613E-5</v>
      </c>
      <c r="Y3" s="7">
        <f>$B3 * IFERROR(VLOOKUP("industry|SO2|Infant mortality", US_national_yearly!$D:$AM, 33, FALSE) / VLOOKUP("industry|SO2|Infant mortality", US_national_yearly!$D:$AM, 10, FALSE), 1)</f>
        <v>1.2621890569725671E-5</v>
      </c>
      <c r="Z3" s="7">
        <f>$B3 * IFERROR(VLOOKUP("industry|SO2|Infant mortality", US_national_yearly!$D:$AM, 34, FALSE) / VLOOKUP("industry|SO2|Infant mortality", US_national_yearly!$D:$AM, 10, FALSE), 1)</f>
        <v>1.2546579390465728E-5</v>
      </c>
      <c r="AA3" s="7">
        <f>$B3 * IFERROR(VLOOKUP("industry|SO2|Infant mortality", US_national_yearly!$D:$AM, 35, FALSE) / VLOOKUP("industry|SO2|Infant mortality", US_national_yearly!$D:$AM, 10, FALSE), 1)</f>
        <v>1.2471268211205786E-5</v>
      </c>
      <c r="AB3" s="7">
        <f>$B3 * IFERROR(VLOOKUP("industry|SO2|Infant mortality", US_national_yearly!$D:$AM, 36, FALSE) / VLOOKUP("industry|SO2|Infant mortality", US_national_yearly!$D:$AM, 10, FALSE), 1)</f>
        <v>1.2395957031945844E-5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5.1855337230039975E-2</v>
      </c>
      <c r="C6" s="7">
        <f>$B6 * IFERROR(VLOOKUP("industry|SO2|Asthma symptoms cough", US_national_yearly!$D:$AM, 11, FALSE) / VLOOKUP("industry|SO2|Asthma symptoms cough", US_national_yearly!$D:$AM, 10, FALSE), 1)</f>
        <v>5.1855337230039975E-2</v>
      </c>
      <c r="D6" s="7">
        <f>$B6 * IFERROR(VLOOKUP("industry|SO2|Asthma symptoms cough", US_national_yearly!$D:$AM, 12, FALSE) / VLOOKUP("industry|SO2|Asthma symptoms cough", US_national_yearly!$D:$AM, 10, FALSE), 1)</f>
        <v>5.1855337230039975E-2</v>
      </c>
      <c r="E6" s="7">
        <f>$B6 * IFERROR(VLOOKUP("industry|SO2|Asthma symptoms cough", US_national_yearly!$D:$AM, 13, FALSE) / VLOOKUP("industry|SO2|Asthma symptoms cough", US_national_yearly!$D:$AM, 10, FALSE), 1)</f>
        <v>5.1855337230039975E-2</v>
      </c>
      <c r="F6" s="7">
        <f>$B6 * IFERROR(VLOOKUP("industry|SO2|Asthma symptoms cough", US_national_yearly!$D:$AM, 14, FALSE) / VLOOKUP("industry|SO2|Asthma symptoms cough", US_national_yearly!$D:$AM, 10, FALSE), 1)</f>
        <v>5.1855337230039975E-2</v>
      </c>
      <c r="G6" s="7">
        <f>$B6 * IFERROR(VLOOKUP("industry|SO2|Asthma symptoms cough", US_national_yearly!$D:$AM, 15, FALSE) / VLOOKUP("industry|SO2|Asthma symptoms cough", US_national_yearly!$D:$AM, 10, FALSE), 1)</f>
        <v>5.1855337230039975E-2</v>
      </c>
      <c r="H6" s="7">
        <f>$B6 * IFERROR(VLOOKUP("industry|SO2|Asthma symptoms cough", US_national_yearly!$D:$AM, 16, FALSE) / VLOOKUP("industry|SO2|Asthma symptoms cough", US_national_yearly!$D:$AM, 10, FALSE), 1)</f>
        <v>5.1855337230039975E-2</v>
      </c>
      <c r="I6" s="7">
        <f>$B6 * IFERROR(VLOOKUP("industry|SO2|Asthma symptoms cough", US_national_yearly!$D:$AM, 17, FALSE) / VLOOKUP("industry|SO2|Asthma symptoms cough", US_national_yearly!$D:$AM, 10, FALSE), 1)</f>
        <v>5.1855337230039975E-2</v>
      </c>
      <c r="J6" s="7">
        <f>$B6 * IFERROR(VLOOKUP("industry|SO2|Asthma symptoms cough", US_national_yearly!$D:$AM, 18, FALSE) / VLOOKUP("industry|SO2|Asthma symptoms cough", US_national_yearly!$D:$AM, 10, FALSE), 1)</f>
        <v>5.1855337230039975E-2</v>
      </c>
      <c r="K6" s="7">
        <f>$B6 * IFERROR(VLOOKUP("industry|SO2|Asthma symptoms cough", US_national_yearly!$D:$AM, 19, FALSE) / VLOOKUP("industry|SO2|Asthma symptoms cough", US_national_yearly!$D:$AM, 10, FALSE), 1)</f>
        <v>5.1855337230039975E-2</v>
      </c>
      <c r="L6" s="7">
        <f>$B6 * IFERROR(VLOOKUP("industry|SO2|Asthma symptoms cough", US_national_yearly!$D:$AM, 20, FALSE) / VLOOKUP("industry|SO2|Asthma symptoms cough", US_national_yearly!$D:$AM, 10, FALSE), 1)</f>
        <v>5.1855337230039975E-2</v>
      </c>
      <c r="M6" s="7">
        <f>$B6 * IFERROR(VLOOKUP("industry|SO2|Asthma symptoms cough", US_national_yearly!$D:$AM, 21, FALSE) / VLOOKUP("industry|SO2|Asthma symptoms cough", US_national_yearly!$D:$AM, 10, FALSE), 1)</f>
        <v>5.1855337230039975E-2</v>
      </c>
      <c r="N6" s="7">
        <f>$B6 * IFERROR(VLOOKUP("industry|SO2|Asthma symptoms cough", US_national_yearly!$D:$AM, 22, FALSE) / VLOOKUP("industry|SO2|Asthma symptoms cough", US_national_yearly!$D:$AM, 10, FALSE), 1)</f>
        <v>5.1855337230039975E-2</v>
      </c>
      <c r="O6" s="7">
        <f>$B6 * IFERROR(VLOOKUP("industry|SO2|Asthma symptoms cough", US_national_yearly!$D:$AM, 23, FALSE) / VLOOKUP("industry|SO2|Asthma symptoms cough", US_national_yearly!$D:$AM, 10, FALSE), 1)</f>
        <v>5.1855337230039975E-2</v>
      </c>
      <c r="P6" s="7">
        <f>$B6 * IFERROR(VLOOKUP("industry|SO2|Asthma symptoms cough", US_national_yearly!$D:$AM, 24, FALSE) / VLOOKUP("industry|SO2|Asthma symptoms cough", US_national_yearly!$D:$AM, 10, FALSE), 1)</f>
        <v>5.1855337230039975E-2</v>
      </c>
      <c r="Q6" s="7">
        <f>$B6 * IFERROR(VLOOKUP("industry|SO2|Asthma symptoms cough", US_national_yearly!$D:$AM, 25, FALSE) / VLOOKUP("industry|SO2|Asthma symptoms cough", US_national_yearly!$D:$AM, 10, FALSE), 1)</f>
        <v>5.1855337230039975E-2</v>
      </c>
      <c r="R6" s="7">
        <f>$B6 * IFERROR(VLOOKUP("industry|SO2|Asthma symptoms cough", US_national_yearly!$D:$AM, 26, FALSE) / VLOOKUP("industry|SO2|Asthma symptoms cough", US_national_yearly!$D:$AM, 10, FALSE), 1)</f>
        <v>5.1855337230039975E-2</v>
      </c>
      <c r="S6" s="7">
        <f>$B6 * IFERROR(VLOOKUP("industry|SO2|Asthma symptoms cough", US_national_yearly!$D:$AM, 27, FALSE) / VLOOKUP("industry|SO2|Asthma symptoms cough", US_national_yearly!$D:$AM, 10, FALSE), 1)</f>
        <v>5.1855337230039975E-2</v>
      </c>
      <c r="T6" s="7">
        <f>$B6 * IFERROR(VLOOKUP("industry|SO2|Asthma symptoms cough", US_national_yearly!$D:$AM, 28, FALSE) / VLOOKUP("industry|SO2|Asthma symptoms cough", US_national_yearly!$D:$AM, 10, FALSE), 1)</f>
        <v>5.1855337230039975E-2</v>
      </c>
      <c r="U6" s="7">
        <f>$B6 * IFERROR(VLOOKUP("industry|SO2|Asthma symptoms cough", US_national_yearly!$D:$AM, 29, FALSE) / VLOOKUP("industry|SO2|Asthma symptoms cough", US_national_yearly!$D:$AM, 10, FALSE), 1)</f>
        <v>5.1855337230039975E-2</v>
      </c>
      <c r="V6" s="7">
        <f>$B6 * IFERROR(VLOOKUP("industry|SO2|Asthma symptoms cough", US_national_yearly!$D:$AM, 30, FALSE) / VLOOKUP("industry|SO2|Asthma symptoms cough", US_national_yearly!$D:$AM, 10, FALSE), 1)</f>
        <v>5.1855337230039975E-2</v>
      </c>
      <c r="W6" s="7">
        <f>$B6 * IFERROR(VLOOKUP("industry|SO2|Asthma symptoms cough", US_national_yearly!$D:$AM, 31, FALSE) / VLOOKUP("industry|SO2|Asthma symptoms cough", US_national_yearly!$D:$AM, 10, FALSE), 1)</f>
        <v>5.1855337230039975E-2</v>
      </c>
      <c r="X6" s="7">
        <f>$B6 * IFERROR(VLOOKUP("industry|SO2|Asthma symptoms cough", US_national_yearly!$D:$AM, 32, FALSE) / VLOOKUP("industry|SO2|Asthma symptoms cough", US_national_yearly!$D:$AM, 10, FALSE), 1)</f>
        <v>5.1855337230039975E-2</v>
      </c>
      <c r="Y6" s="7">
        <f>$B6 * IFERROR(VLOOKUP("industry|SO2|Asthma symptoms cough", US_national_yearly!$D:$AM, 33, FALSE) / VLOOKUP("industry|SO2|Asthma symptoms cough", US_national_yearly!$D:$AM, 10, FALSE), 1)</f>
        <v>5.1855337230039975E-2</v>
      </c>
      <c r="Z6" s="7">
        <f>$B6 * IFERROR(VLOOKUP("industry|SO2|Asthma symptoms cough", US_national_yearly!$D:$AM, 34, FALSE) / VLOOKUP("industry|SO2|Asthma symptoms cough", US_national_yearly!$D:$AM, 10, FALSE), 1)</f>
        <v>5.1855337230039975E-2</v>
      </c>
      <c r="AA6" s="7">
        <f>$B6 * IFERROR(VLOOKUP("industry|SO2|Asthma symptoms cough", US_national_yearly!$D:$AM, 35, FALSE) / VLOOKUP("industry|SO2|Asthma symptoms cough", US_national_yearly!$D:$AM, 10, FALSE), 1)</f>
        <v>5.1855337230039975E-2</v>
      </c>
      <c r="AB6" s="7">
        <f>$B6 * IFERROR(VLOOKUP("industry|SO2|Asthma symptoms cough", US_national_yearly!$D:$AM, 36, FALSE) / VLOOKUP("industry|SO2|Asthma symptoms cough", US_national_yearly!$D:$AM, 10, FALSE), 1)</f>
        <v>5.1855337230039975E-2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6.9829143402179175E-2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6.9829143402179175E-2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6.9829143402179175E-2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6.9829143402179175E-2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6.9829143402179175E-2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6.9829143402179175E-2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6.9829143402179175E-2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6.9829143402179175E-2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6.9829143402179175E-2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6.9829143402179175E-2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6.9829143402179175E-2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6.9829143402179175E-2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6.9829143402179175E-2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6.9829143402179175E-2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6.9829143402179175E-2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6.9829143402179175E-2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6.9829143402179175E-2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6.9829143402179175E-2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6.9829143402179175E-2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6.9829143402179175E-2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6.9829143402179175E-2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6.9829143402179175E-2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6.9829143402179175E-2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6.9829143402179175E-2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6.9829143402179175E-2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6.9829143402179175E-2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6.9829143402179175E-2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0.10669277497702141</v>
      </c>
      <c r="C8" s="7">
        <f>$B8 * IFERROR(VLOOKUP("industry|SO2|Asthma symptoms wheeze", US_national_yearly!$D:$AM, 11, FALSE) / VLOOKUP("industry|SO2|Asthma symptoms wheeze", US_national_yearly!$D:$AM, 10, FALSE), 1)</f>
        <v>0.10669277497702141</v>
      </c>
      <c r="D8" s="7">
        <f>$B8 * IFERROR(VLOOKUP("industry|SO2|Asthma symptoms wheeze", US_national_yearly!$D:$AM, 12, FALSE) / VLOOKUP("industry|SO2|Asthma symptoms wheeze", US_national_yearly!$D:$AM, 10, FALSE), 1)</f>
        <v>0.10669277497702141</v>
      </c>
      <c r="E8" s="7">
        <f>$B8 * IFERROR(VLOOKUP("industry|SO2|Asthma symptoms wheeze", US_national_yearly!$D:$AM, 13, FALSE) / VLOOKUP("industry|SO2|Asthma symptoms wheeze", US_national_yearly!$D:$AM, 10, FALSE), 1)</f>
        <v>0.10669277497702141</v>
      </c>
      <c r="F8" s="7">
        <f>$B8 * IFERROR(VLOOKUP("industry|SO2|Asthma symptoms wheeze", US_national_yearly!$D:$AM, 14, FALSE) / VLOOKUP("industry|SO2|Asthma symptoms wheeze", US_national_yearly!$D:$AM, 10, FALSE), 1)</f>
        <v>0.10669277497702141</v>
      </c>
      <c r="G8" s="7">
        <f>$B8 * IFERROR(VLOOKUP("industry|SO2|Asthma symptoms wheeze", US_national_yearly!$D:$AM, 15, FALSE) / VLOOKUP("industry|SO2|Asthma symptoms wheeze", US_national_yearly!$D:$AM, 10, FALSE), 1)</f>
        <v>0.10669277497702141</v>
      </c>
      <c r="H8" s="7">
        <f>$B8 * IFERROR(VLOOKUP("industry|SO2|Asthma symptoms wheeze", US_national_yearly!$D:$AM, 16, FALSE) / VLOOKUP("industry|SO2|Asthma symptoms wheeze", US_national_yearly!$D:$AM, 10, FALSE), 1)</f>
        <v>0.10669277497702141</v>
      </c>
      <c r="I8" s="7">
        <f>$B8 * IFERROR(VLOOKUP("industry|SO2|Asthma symptoms wheeze", US_national_yearly!$D:$AM, 17, FALSE) / VLOOKUP("industry|SO2|Asthma symptoms wheeze", US_national_yearly!$D:$AM, 10, FALSE), 1)</f>
        <v>0.10669277497702141</v>
      </c>
      <c r="J8" s="7">
        <f>$B8 * IFERROR(VLOOKUP("industry|SO2|Asthma symptoms wheeze", US_national_yearly!$D:$AM, 18, FALSE) / VLOOKUP("industry|SO2|Asthma symptoms wheeze", US_national_yearly!$D:$AM, 10, FALSE), 1)</f>
        <v>0.10669277497702141</v>
      </c>
      <c r="K8" s="7">
        <f>$B8 * IFERROR(VLOOKUP("industry|SO2|Asthma symptoms wheeze", US_national_yearly!$D:$AM, 19, FALSE) / VLOOKUP("industry|SO2|Asthma symptoms wheeze", US_national_yearly!$D:$AM, 10, FALSE), 1)</f>
        <v>0.10669277497702141</v>
      </c>
      <c r="L8" s="7">
        <f>$B8 * IFERROR(VLOOKUP("industry|SO2|Asthma symptoms wheeze", US_national_yearly!$D:$AM, 20, FALSE) / VLOOKUP("industry|SO2|Asthma symptoms wheeze", US_national_yearly!$D:$AM, 10, FALSE), 1)</f>
        <v>0.10669277497702141</v>
      </c>
      <c r="M8" s="7">
        <f>$B8 * IFERROR(VLOOKUP("industry|SO2|Asthma symptoms wheeze", US_national_yearly!$D:$AM, 21, FALSE) / VLOOKUP("industry|SO2|Asthma symptoms wheeze", US_national_yearly!$D:$AM, 10, FALSE), 1)</f>
        <v>0.10669277497702141</v>
      </c>
      <c r="N8" s="7">
        <f>$B8 * IFERROR(VLOOKUP("industry|SO2|Asthma symptoms wheeze", US_national_yearly!$D:$AM, 22, FALSE) / VLOOKUP("industry|SO2|Asthma symptoms wheeze", US_national_yearly!$D:$AM, 10, FALSE), 1)</f>
        <v>0.10669277497702141</v>
      </c>
      <c r="O8" s="7">
        <f>$B8 * IFERROR(VLOOKUP("industry|SO2|Asthma symptoms wheeze", US_national_yearly!$D:$AM, 23, FALSE) / VLOOKUP("industry|SO2|Asthma symptoms wheeze", US_national_yearly!$D:$AM, 10, FALSE), 1)</f>
        <v>0.10669277497702141</v>
      </c>
      <c r="P8" s="7">
        <f>$B8 * IFERROR(VLOOKUP("industry|SO2|Asthma symptoms wheeze", US_national_yearly!$D:$AM, 24, FALSE) / VLOOKUP("industry|SO2|Asthma symptoms wheeze", US_national_yearly!$D:$AM, 10, FALSE), 1)</f>
        <v>0.10669277497702141</v>
      </c>
      <c r="Q8" s="7">
        <f>$B8 * IFERROR(VLOOKUP("industry|SO2|Asthma symptoms wheeze", US_national_yearly!$D:$AM, 25, FALSE) / VLOOKUP("industry|SO2|Asthma symptoms wheeze", US_national_yearly!$D:$AM, 10, FALSE), 1)</f>
        <v>0.10669277497702141</v>
      </c>
      <c r="R8" s="7">
        <f>$B8 * IFERROR(VLOOKUP("industry|SO2|Asthma symptoms wheeze", US_national_yearly!$D:$AM, 26, FALSE) / VLOOKUP("industry|SO2|Asthma symptoms wheeze", US_national_yearly!$D:$AM, 10, FALSE), 1)</f>
        <v>0.10669277497702141</v>
      </c>
      <c r="S8" s="7">
        <f>$B8 * IFERROR(VLOOKUP("industry|SO2|Asthma symptoms wheeze", US_national_yearly!$D:$AM, 27, FALSE) / VLOOKUP("industry|SO2|Asthma symptoms wheeze", US_national_yearly!$D:$AM, 10, FALSE), 1)</f>
        <v>0.10669277497702141</v>
      </c>
      <c r="T8" s="7">
        <f>$B8 * IFERROR(VLOOKUP("industry|SO2|Asthma symptoms wheeze", US_national_yearly!$D:$AM, 28, FALSE) / VLOOKUP("industry|SO2|Asthma symptoms wheeze", US_national_yearly!$D:$AM, 10, FALSE), 1)</f>
        <v>0.10669277497702141</v>
      </c>
      <c r="U8" s="7">
        <f>$B8 * IFERROR(VLOOKUP("industry|SO2|Asthma symptoms wheeze", US_national_yearly!$D:$AM, 29, FALSE) / VLOOKUP("industry|SO2|Asthma symptoms wheeze", US_national_yearly!$D:$AM, 10, FALSE), 1)</f>
        <v>0.10669277497702141</v>
      </c>
      <c r="V8" s="7">
        <f>$B8 * IFERROR(VLOOKUP("industry|SO2|Asthma symptoms wheeze", US_national_yearly!$D:$AM, 30, FALSE) / VLOOKUP("industry|SO2|Asthma symptoms wheeze", US_national_yearly!$D:$AM, 10, FALSE), 1)</f>
        <v>0.10669277497702141</v>
      </c>
      <c r="W8" s="7">
        <f>$B8 * IFERROR(VLOOKUP("industry|SO2|Asthma symptoms wheeze", US_national_yearly!$D:$AM, 31, FALSE) / VLOOKUP("industry|SO2|Asthma symptoms wheeze", US_national_yearly!$D:$AM, 10, FALSE), 1)</f>
        <v>0.10669277497702141</v>
      </c>
      <c r="X8" s="7">
        <f>$B8 * IFERROR(VLOOKUP("industry|SO2|Asthma symptoms wheeze", US_national_yearly!$D:$AM, 32, FALSE) / VLOOKUP("industry|SO2|Asthma symptoms wheeze", US_national_yearly!$D:$AM, 10, FALSE), 1)</f>
        <v>0.10669277497702141</v>
      </c>
      <c r="Y8" s="7">
        <f>$B8 * IFERROR(VLOOKUP("industry|SO2|Asthma symptoms wheeze", US_national_yearly!$D:$AM, 33, FALSE) / VLOOKUP("industry|SO2|Asthma symptoms wheeze", US_national_yearly!$D:$AM, 10, FALSE), 1)</f>
        <v>0.10669277497702141</v>
      </c>
      <c r="Z8" s="7">
        <f>$B8 * IFERROR(VLOOKUP("industry|SO2|Asthma symptoms wheeze", US_national_yearly!$D:$AM, 34, FALSE) / VLOOKUP("industry|SO2|Asthma symptoms wheeze", US_national_yearly!$D:$AM, 10, FALSE), 1)</f>
        <v>0.10669277497702141</v>
      </c>
      <c r="AA8" s="7">
        <f>$B8 * IFERROR(VLOOKUP("industry|SO2|Asthma symptoms wheeze", US_national_yearly!$D:$AM, 35, FALSE) / VLOOKUP("industry|SO2|Asthma symptoms wheeze", US_national_yearly!$D:$AM, 10, FALSE), 1)</f>
        <v>0.10669277497702141</v>
      </c>
      <c r="AB8" s="7">
        <f>$B8 * IFERROR(VLOOKUP("industry|SO2|Asthma symptoms wheeze", US_national_yearly!$D:$AM, 36, FALSE) / VLOOKUP("industry|SO2|Asthma symptoms wheeze", US_national_yearly!$D:$AM, 10, FALSE), 1)</f>
        <v>0.10669277497702141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1.1089550769509847E-3</v>
      </c>
      <c r="C12" s="7">
        <f>$B12 * IFERROR(VLOOKUP("industry|SO2|Respiratory hospital admissions", US_national_yearly!$D:$AM, 11, FALSE) / VLOOKUP("industry|SO2|Respiratory hospital admissions", US_national_yearly!$D:$AM, 10, FALSE), 1)</f>
        <v>1.1154514366494724E-3</v>
      </c>
      <c r="D12" s="7">
        <f>$B12 * IFERROR(VLOOKUP("industry|SO2|Respiratory hospital admissions", US_national_yearly!$D:$AM, 12, FALSE) / VLOOKUP("industry|SO2|Respiratory hospital admissions", US_national_yearly!$D:$AM, 10, FALSE), 1)</f>
        <v>1.1219477963479603E-3</v>
      </c>
      <c r="E12" s="7">
        <f>$B12 * IFERROR(VLOOKUP("industry|SO2|Respiratory hospital admissions", US_national_yearly!$D:$AM, 13, FALSE) / VLOOKUP("industry|SO2|Respiratory hospital admissions", US_national_yearly!$D:$AM, 10, FALSE), 1)</f>
        <v>1.128444156046448E-3</v>
      </c>
      <c r="F12" s="7">
        <f>$B12 * IFERROR(VLOOKUP("industry|SO2|Respiratory hospital admissions", US_national_yearly!$D:$AM, 14, FALSE) / VLOOKUP("industry|SO2|Respiratory hospital admissions", US_national_yearly!$D:$AM, 10, FALSE), 1)</f>
        <v>1.1349405157449362E-3</v>
      </c>
      <c r="G12" s="7">
        <f>$B12 * IFERROR(VLOOKUP("industry|SO2|Respiratory hospital admissions", US_national_yearly!$D:$AM, 15, FALSE) / VLOOKUP("industry|SO2|Respiratory hospital admissions", US_national_yearly!$D:$AM, 10, FALSE), 1)</f>
        <v>1.1420228044862766E-3</v>
      </c>
      <c r="H12" s="7">
        <f>$B12 * IFERROR(VLOOKUP("industry|SO2|Respiratory hospital admissions", US_national_yearly!$D:$AM, 16, FALSE) / VLOOKUP("industry|SO2|Respiratory hospital admissions", US_national_yearly!$D:$AM, 10, FALSE), 1)</f>
        <v>1.1491050932276169E-3</v>
      </c>
      <c r="I12" s="7">
        <f>$B12 * IFERROR(VLOOKUP("industry|SO2|Respiratory hospital admissions", US_national_yearly!$D:$AM, 17, FALSE) / VLOOKUP("industry|SO2|Respiratory hospital admissions", US_national_yearly!$D:$AM, 10, FALSE), 1)</f>
        <v>1.1560610620624415E-3</v>
      </c>
      <c r="J12" s="7">
        <f>$B12 * IFERROR(VLOOKUP("industry|SO2|Respiratory hospital admissions", US_national_yearly!$D:$AM, 18, FALSE) / VLOOKUP("industry|SO2|Respiratory hospital admissions", US_national_yearly!$D:$AM, 10, FALSE), 1)</f>
        <v>1.163017030897266E-3</v>
      </c>
      <c r="K12" s="7">
        <f>$B12 * IFERROR(VLOOKUP("industry|SO2|Respiratory hospital admissions", US_national_yearly!$D:$AM, 19, FALSE) / VLOOKUP("industry|SO2|Respiratory hospital admissions", US_national_yearly!$D:$AM, 10, FALSE), 1)</f>
        <v>1.1699729997320901E-3</v>
      </c>
      <c r="L12" s="7">
        <f>$B12 * IFERROR(VLOOKUP("industry|SO2|Respiratory hospital admissions", US_national_yearly!$D:$AM, 20, FALSE) / VLOOKUP("industry|SO2|Respiratory hospital admissions", US_national_yearly!$D:$AM, 10, FALSE), 1)</f>
        <v>1.1769289685669147E-3</v>
      </c>
      <c r="M12" s="7">
        <f>$B12 * IFERROR(VLOOKUP("industry|SO2|Respiratory hospital admissions", US_national_yearly!$D:$AM, 21, FALSE) / VLOOKUP("industry|SO2|Respiratory hospital admissions", US_national_yearly!$D:$AM, 10, FALSE), 1)</f>
        <v>1.1838849374017392E-3</v>
      </c>
      <c r="N12" s="7">
        <f>$B12 * IFERROR(VLOOKUP("industry|SO2|Respiratory hospital admissions", US_national_yearly!$D:$AM, 22, FALSE) / VLOOKUP("industry|SO2|Respiratory hospital admissions", US_national_yearly!$D:$AM, 10, FALSE), 1)</f>
        <v>1.1889183743567869E-3</v>
      </c>
      <c r="O12" s="7">
        <f>$B12 * IFERROR(VLOOKUP("industry|SO2|Respiratory hospital admissions", US_national_yearly!$D:$AM, 23, FALSE) / VLOOKUP("industry|SO2|Respiratory hospital admissions", US_national_yearly!$D:$AM, 10, FALSE), 1)</f>
        <v>1.1939518113118345E-3</v>
      </c>
      <c r="P12" s="7">
        <f>$B12 * IFERROR(VLOOKUP("industry|SO2|Respiratory hospital admissions", US_national_yearly!$D:$AM, 24, FALSE) / VLOOKUP("industry|SO2|Respiratory hospital admissions", US_national_yearly!$D:$AM, 10, FALSE), 1)</f>
        <v>1.1989852482668822E-3</v>
      </c>
      <c r="Q12" s="7">
        <f>$B12 * IFERROR(VLOOKUP("industry|SO2|Respiratory hospital admissions", US_national_yearly!$D:$AM, 25, FALSE) / VLOOKUP("industry|SO2|Respiratory hospital admissions", US_national_yearly!$D:$AM, 10, FALSE), 1)</f>
        <v>1.2040186852219298E-3</v>
      </c>
      <c r="R12" s="7">
        <f>$B12 * IFERROR(VLOOKUP("industry|SO2|Respiratory hospital admissions", US_national_yearly!$D:$AM, 26, FALSE) / VLOOKUP("industry|SO2|Respiratory hospital admissions", US_national_yearly!$D:$AM, 10, FALSE), 1)</f>
        <v>1.2090521221769773E-3</v>
      </c>
      <c r="S12" s="7">
        <f>$B12 * IFERROR(VLOOKUP("industry|SO2|Respiratory hospital admissions", US_national_yearly!$D:$AM, 27, FALSE) / VLOOKUP("industry|SO2|Respiratory hospital admissions", US_national_yearly!$D:$AM, 10, FALSE), 1)</f>
        <v>1.213835634604035E-3</v>
      </c>
      <c r="T12" s="7">
        <f>$B12 * IFERROR(VLOOKUP("industry|SO2|Respiratory hospital admissions", US_national_yearly!$D:$AM, 28, FALSE) / VLOOKUP("industry|SO2|Respiratory hospital admissions", US_national_yearly!$D:$AM, 10, FALSE), 1)</f>
        <v>1.2186191470310926E-3</v>
      </c>
      <c r="U12" s="7">
        <f>$B12 * IFERROR(VLOOKUP("industry|SO2|Respiratory hospital admissions", US_national_yearly!$D:$AM, 29, FALSE) / VLOOKUP("industry|SO2|Respiratory hospital admissions", US_national_yearly!$D:$AM, 10, FALSE), 1)</f>
        <v>1.2234026594581504E-3</v>
      </c>
      <c r="V12" s="7">
        <f>$B12 * IFERROR(VLOOKUP("industry|SO2|Respiratory hospital admissions", US_national_yearly!$D:$AM, 30, FALSE) / VLOOKUP("industry|SO2|Respiratory hospital admissions", US_national_yearly!$D:$AM, 10, FALSE), 1)</f>
        <v>1.2281861718852081E-3</v>
      </c>
      <c r="W12" s="7">
        <f>$B12 * IFERROR(VLOOKUP("industry|SO2|Respiratory hospital admissions", US_national_yearly!$D:$AM, 31, FALSE) / VLOOKUP("industry|SO2|Respiratory hospital admissions", US_national_yearly!$D:$AM, 10, FALSE), 1)</f>
        <v>1.2329696843122657E-3</v>
      </c>
      <c r="X12" s="7">
        <f>$B12 * IFERROR(VLOOKUP("industry|SO2|Respiratory hospital admissions", US_national_yearly!$D:$AM, 32, FALSE) / VLOOKUP("industry|SO2|Respiratory hospital admissions", US_national_yearly!$D:$AM, 10, FALSE), 1)</f>
        <v>1.2375121795703845E-3</v>
      </c>
      <c r="Y12" s="7">
        <f>$B12 * IFERROR(VLOOKUP("industry|SO2|Respiratory hospital admissions", US_national_yearly!$D:$AM, 33, FALSE) / VLOOKUP("industry|SO2|Respiratory hospital admissions", US_national_yearly!$D:$AM, 10, FALSE), 1)</f>
        <v>1.2420546748285034E-3</v>
      </c>
      <c r="Z12" s="7">
        <f>$B12 * IFERROR(VLOOKUP("industry|SO2|Respiratory hospital admissions", US_national_yearly!$D:$AM, 34, FALSE) / VLOOKUP("industry|SO2|Respiratory hospital admissions", US_national_yearly!$D:$AM, 10, FALSE), 1)</f>
        <v>1.2465971700866224E-3</v>
      </c>
      <c r="AA12" s="7">
        <f>$B12 * IFERROR(VLOOKUP("industry|SO2|Respiratory hospital admissions", US_national_yearly!$D:$AM, 35, FALSE) / VLOOKUP("industry|SO2|Respiratory hospital admissions", US_national_yearly!$D:$AM, 10, FALSE), 1)</f>
        <v>1.2511396653447412E-3</v>
      </c>
      <c r="AB12" s="7">
        <f>$B12 * IFERROR(VLOOKUP("industry|SO2|Respiratory hospital admissions", US_national_yearly!$D:$AM, 36, FALSE) / VLOOKUP("industry|SO2|Respiratory hospital admissions", US_national_yearly!$D:$AM, 10, FALSE), 1)</f>
        <v>1.2556821606028602E-3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6.9466690574266996E-3</v>
      </c>
      <c r="C13" s="7">
        <f>$B13 * IFERROR(VLOOKUP("industry|SO2|Non-fatal heart attacks", US_national_yearly!$D:$AM, 11, FALSE) / VLOOKUP("industry|SO2|Non-fatal heart attacks", US_national_yearly!$D:$AM, 10, FALSE), 1)</f>
        <v>7.1505972113915439E-3</v>
      </c>
      <c r="D13" s="7">
        <f>$B13 * IFERROR(VLOOKUP("industry|SO2|Non-fatal heart attacks", US_national_yearly!$D:$AM, 12, FALSE) / VLOOKUP("industry|SO2|Non-fatal heart attacks", US_national_yearly!$D:$AM, 10, FALSE), 1)</f>
        <v>7.354525365356389E-3</v>
      </c>
      <c r="E13" s="7">
        <f>$B13 * IFERROR(VLOOKUP("industry|SO2|Non-fatal heart attacks", US_national_yearly!$D:$AM, 13, FALSE) / VLOOKUP("industry|SO2|Non-fatal heart attacks", US_national_yearly!$D:$AM, 10, FALSE), 1)</f>
        <v>7.5584535193212316E-3</v>
      </c>
      <c r="F13" s="7">
        <f>$B13 * IFERROR(VLOOKUP("industry|SO2|Non-fatal heart attacks", US_national_yearly!$D:$AM, 14, FALSE) / VLOOKUP("industry|SO2|Non-fatal heart attacks", US_national_yearly!$D:$AM, 10, FALSE), 1)</f>
        <v>7.7623816732860776E-3</v>
      </c>
      <c r="G13" s="7">
        <f>$B13 * IFERROR(VLOOKUP("industry|SO2|Non-fatal heart attacks", US_national_yearly!$D:$AM, 15, FALSE) / VLOOKUP("industry|SO2|Non-fatal heart attacks", US_national_yearly!$D:$AM, 10, FALSE), 1)</f>
        <v>7.9548327225828584E-3</v>
      </c>
      <c r="H13" s="7">
        <f>$B13 * IFERROR(VLOOKUP("industry|SO2|Non-fatal heart attacks", US_national_yearly!$D:$AM, 16, FALSE) / VLOOKUP("industry|SO2|Non-fatal heart attacks", US_national_yearly!$D:$AM, 10, FALSE), 1)</f>
        <v>8.1472837718796418E-3</v>
      </c>
      <c r="I13" s="7">
        <f>$B13 * IFERROR(VLOOKUP("industry|SO2|Non-fatal heart attacks", US_national_yearly!$D:$AM, 17, FALSE) / VLOOKUP("industry|SO2|Non-fatal heart attacks", US_national_yearly!$D:$AM, 10, FALSE), 1)</f>
        <v>8.3024326297438354E-3</v>
      </c>
      <c r="J13" s="7">
        <f>$B13 * IFERROR(VLOOKUP("industry|SO2|Non-fatal heart attacks", US_national_yearly!$D:$AM, 18, FALSE) / VLOOKUP("industry|SO2|Non-fatal heart attacks", US_national_yearly!$D:$AM, 10, FALSE), 1)</f>
        <v>8.4575814876080343E-3</v>
      </c>
      <c r="K13" s="7">
        <f>$B13 * IFERROR(VLOOKUP("industry|SO2|Non-fatal heart attacks", US_national_yearly!$D:$AM, 19, FALSE) / VLOOKUP("industry|SO2|Non-fatal heart attacks", US_national_yearly!$D:$AM, 10, FALSE), 1)</f>
        <v>8.6127303454722297E-3</v>
      </c>
      <c r="L13" s="7">
        <f>$B13 * IFERROR(VLOOKUP("industry|SO2|Non-fatal heart attacks", US_national_yearly!$D:$AM, 20, FALSE) / VLOOKUP("industry|SO2|Non-fatal heart attacks", US_national_yearly!$D:$AM, 10, FALSE), 1)</f>
        <v>8.7678792033364268E-3</v>
      </c>
      <c r="M13" s="7">
        <f>$B13 * IFERROR(VLOOKUP("industry|SO2|Non-fatal heart attacks", US_national_yearly!$D:$AM, 21, FALSE) / VLOOKUP("industry|SO2|Non-fatal heart attacks", US_national_yearly!$D:$AM, 10, FALSE), 1)</f>
        <v>8.9230280612006239E-3</v>
      </c>
      <c r="N13" s="7">
        <f>$B13 * IFERROR(VLOOKUP("industry|SO2|Non-fatal heart attacks", US_national_yearly!$D:$AM, 22, FALSE) / VLOOKUP("industry|SO2|Non-fatal heart attacks", US_national_yearly!$D:$AM, 10, FALSE), 1)</f>
        <v>9.0238210249672691E-3</v>
      </c>
      <c r="O13" s="7">
        <f>$B13 * IFERROR(VLOOKUP("industry|SO2|Non-fatal heart attacks", US_national_yearly!$D:$AM, 23, FALSE) / VLOOKUP("industry|SO2|Non-fatal heart attacks", US_national_yearly!$D:$AM, 10, FALSE), 1)</f>
        <v>9.1246139887339196E-3</v>
      </c>
      <c r="P13" s="7">
        <f>$B13 * IFERROR(VLOOKUP("industry|SO2|Non-fatal heart attacks", US_national_yearly!$D:$AM, 24, FALSE) / VLOOKUP("industry|SO2|Non-fatal heart attacks", US_national_yearly!$D:$AM, 10, FALSE), 1)</f>
        <v>9.2254069525005648E-3</v>
      </c>
      <c r="Q13" s="7">
        <f>$B13 * IFERROR(VLOOKUP("industry|SO2|Non-fatal heart attacks", US_national_yearly!$D:$AM, 25, FALSE) / VLOOKUP("industry|SO2|Non-fatal heart attacks", US_national_yearly!$D:$AM, 10, FALSE), 1)</f>
        <v>9.3261999162672117E-3</v>
      </c>
      <c r="R13" s="7">
        <f>$B13 * IFERROR(VLOOKUP("industry|SO2|Non-fatal heart attacks", US_national_yearly!$D:$AM, 26, FALSE) / VLOOKUP("industry|SO2|Non-fatal heart attacks", US_national_yearly!$D:$AM, 10, FALSE), 1)</f>
        <v>9.4269928800338604E-3</v>
      </c>
      <c r="S13" s="7">
        <f>$B13 * IFERROR(VLOOKUP("industry|SO2|Non-fatal heart attacks", US_national_yearly!$D:$AM, 27, FALSE) / VLOOKUP("industry|SO2|Non-fatal heart attacks", US_national_yearly!$D:$AM, 10, FALSE), 1)</f>
        <v>9.4799308265597678E-3</v>
      </c>
      <c r="T13" s="7">
        <f>$B13 * IFERROR(VLOOKUP("industry|SO2|Non-fatal heart attacks", US_national_yearly!$D:$AM, 28, FALSE) / VLOOKUP("industry|SO2|Non-fatal heart attacks", US_national_yearly!$D:$AM, 10, FALSE), 1)</f>
        <v>9.532868773085677E-3</v>
      </c>
      <c r="U13" s="7">
        <f>$B13 * IFERROR(VLOOKUP("industry|SO2|Non-fatal heart attacks", US_national_yearly!$D:$AM, 29, FALSE) / VLOOKUP("industry|SO2|Non-fatal heart attacks", US_national_yearly!$D:$AM, 10, FALSE), 1)</f>
        <v>9.5858067196115844E-3</v>
      </c>
      <c r="V13" s="7">
        <f>$B13 * IFERROR(VLOOKUP("industry|SO2|Non-fatal heart attacks", US_national_yearly!$D:$AM, 30, FALSE) / VLOOKUP("industry|SO2|Non-fatal heart attacks", US_national_yearly!$D:$AM, 10, FALSE), 1)</f>
        <v>9.6387446661374936E-3</v>
      </c>
      <c r="W13" s="7">
        <f>$B13 * IFERROR(VLOOKUP("industry|SO2|Non-fatal heart attacks", US_national_yearly!$D:$AM, 31, FALSE) / VLOOKUP("industry|SO2|Non-fatal heart attacks", US_national_yearly!$D:$AM, 10, FALSE), 1)</f>
        <v>9.691682612663401E-3</v>
      </c>
      <c r="X13" s="7">
        <f>$B13 * IFERROR(VLOOKUP("industry|SO2|Non-fatal heart attacks", US_national_yearly!$D:$AM, 32, FALSE) / VLOOKUP("industry|SO2|Non-fatal heart attacks", US_national_yearly!$D:$AM, 10, FALSE), 1)</f>
        <v>9.7318874554143155E-3</v>
      </c>
      <c r="Y13" s="7">
        <f>$B13 * IFERROR(VLOOKUP("industry|SO2|Non-fatal heart attacks", US_national_yearly!$D:$AM, 33, FALSE) / VLOOKUP("industry|SO2|Non-fatal heart attacks", US_national_yearly!$D:$AM, 10, FALSE), 1)</f>
        <v>9.7720922981652317E-3</v>
      </c>
      <c r="Z13" s="7">
        <f>$B13 * IFERROR(VLOOKUP("industry|SO2|Non-fatal heart attacks", US_national_yearly!$D:$AM, 34, FALSE) / VLOOKUP("industry|SO2|Non-fatal heart attacks", US_national_yearly!$D:$AM, 10, FALSE), 1)</f>
        <v>9.8122971409161461E-3</v>
      </c>
      <c r="AA13" s="7">
        <f>$B13 * IFERROR(VLOOKUP("industry|SO2|Non-fatal heart attacks", US_national_yearly!$D:$AM, 35, FALSE) / VLOOKUP("industry|SO2|Non-fatal heart attacks", US_national_yearly!$D:$AM, 10, FALSE), 1)</f>
        <v>9.8525019836670624E-3</v>
      </c>
      <c r="AB13" s="7">
        <f>$B13 * IFERROR(VLOOKUP("industry|SO2|Non-fatal heart attacks", US_national_yearly!$D:$AM, 36, FALSE) / VLOOKUP("industry|SO2|Non-fatal heart attacks", US_national_yearly!$D:$AM, 10, FALSE), 1)</f>
        <v>9.8927068264179768E-3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6.3090526969146268</v>
      </c>
      <c r="C14" s="7">
        <f>$B14 * IFERROR(VLOOKUP("industry|SO2|Minor restricted activity days", US_national_yearly!$D:$AM, 11, FALSE) / VLOOKUP("industry|SO2|Minor restricted activity days", US_national_yearly!$D:$AM, 10, FALSE), 1)</f>
        <v>6.3248340922198967</v>
      </c>
      <c r="D14" s="7">
        <f>$B14 * IFERROR(VLOOKUP("industry|SO2|Minor restricted activity days", US_national_yearly!$D:$AM, 12, FALSE) / VLOOKUP("industry|SO2|Minor restricted activity days", US_national_yearly!$D:$AM, 10, FALSE), 1)</f>
        <v>6.3406154875251648</v>
      </c>
      <c r="E14" s="7">
        <f>$B14 * IFERROR(VLOOKUP("industry|SO2|Minor restricted activity days", US_national_yearly!$D:$AM, 13, FALSE) / VLOOKUP("industry|SO2|Minor restricted activity days", US_national_yearly!$D:$AM, 10, FALSE), 1)</f>
        <v>6.3563968828304347</v>
      </c>
      <c r="F14" s="7">
        <f>$B14 * IFERROR(VLOOKUP("industry|SO2|Minor restricted activity days", US_national_yearly!$D:$AM, 14, FALSE) / VLOOKUP("industry|SO2|Minor restricted activity days", US_national_yearly!$D:$AM, 10, FALSE), 1)</f>
        <v>6.3721782781357046</v>
      </c>
      <c r="G14" s="7">
        <f>$B14 * IFERROR(VLOOKUP("industry|SO2|Minor restricted activity days", US_national_yearly!$D:$AM, 15, FALSE) / VLOOKUP("industry|SO2|Minor restricted activity days", US_national_yearly!$D:$AM, 10, FALSE), 1)</f>
        <v>6.3953942143960933</v>
      </c>
      <c r="H14" s="7">
        <f>$B14 * IFERROR(VLOOKUP("industry|SO2|Minor restricted activity days", US_national_yearly!$D:$AM, 16, FALSE) / VLOOKUP("industry|SO2|Minor restricted activity days", US_national_yearly!$D:$AM, 10, FALSE), 1)</f>
        <v>6.4186101506564812</v>
      </c>
      <c r="I14" s="7">
        <f>$B14 * IFERROR(VLOOKUP("industry|SO2|Minor restricted activity days", US_national_yearly!$D:$AM, 17, FALSE) / VLOOKUP("industry|SO2|Minor restricted activity days", US_national_yearly!$D:$AM, 10, FALSE), 1)</f>
        <v>6.458200344271698</v>
      </c>
      <c r="J14" s="7">
        <f>$B14 * IFERROR(VLOOKUP("industry|SO2|Minor restricted activity days", US_national_yearly!$D:$AM, 18, FALSE) / VLOOKUP("industry|SO2|Minor restricted activity days", US_national_yearly!$D:$AM, 10, FALSE), 1)</f>
        <v>6.4977905378869147</v>
      </c>
      <c r="K14" s="7">
        <f>$B14 * IFERROR(VLOOKUP("industry|SO2|Minor restricted activity days", US_national_yearly!$D:$AM, 19, FALSE) / VLOOKUP("industry|SO2|Minor restricted activity days", US_national_yearly!$D:$AM, 10, FALSE), 1)</f>
        <v>6.5373807315021315</v>
      </c>
      <c r="L14" s="7">
        <f>$B14 * IFERROR(VLOOKUP("industry|SO2|Minor restricted activity days", US_national_yearly!$D:$AM, 20, FALSE) / VLOOKUP("industry|SO2|Minor restricted activity days", US_national_yearly!$D:$AM, 10, FALSE), 1)</f>
        <v>6.5769709251173474</v>
      </c>
      <c r="M14" s="7">
        <f>$B14 * IFERROR(VLOOKUP("industry|SO2|Minor restricted activity days", US_national_yearly!$D:$AM, 21, FALSE) / VLOOKUP("industry|SO2|Minor restricted activity days", US_national_yearly!$D:$AM, 10, FALSE), 1)</f>
        <v>6.6165611187325641</v>
      </c>
      <c r="N14" s="7">
        <f>$B14 * IFERROR(VLOOKUP("industry|SO2|Minor restricted activity days", US_national_yearly!$D:$AM, 22, FALSE) / VLOOKUP("industry|SO2|Minor restricted activity days", US_national_yearly!$D:$AM, 10, FALSE), 1)</f>
        <v>6.6708440355814851</v>
      </c>
      <c r="O14" s="7">
        <f>$B14 * IFERROR(VLOOKUP("industry|SO2|Minor restricted activity days", US_national_yearly!$D:$AM, 23, FALSE) / VLOOKUP("industry|SO2|Minor restricted activity days", US_national_yearly!$D:$AM, 10, FALSE), 1)</f>
        <v>6.725126952430406</v>
      </c>
      <c r="P14" s="7">
        <f>$B14 * IFERROR(VLOOKUP("industry|SO2|Minor restricted activity days", US_national_yearly!$D:$AM, 24, FALSE) / VLOOKUP("industry|SO2|Minor restricted activity days", US_national_yearly!$D:$AM, 10, FALSE), 1)</f>
        <v>6.779409869279327</v>
      </c>
      <c r="Q14" s="7">
        <f>$B14 * IFERROR(VLOOKUP("industry|SO2|Minor restricted activity days", US_national_yearly!$D:$AM, 25, FALSE) / VLOOKUP("industry|SO2|Minor restricted activity days", US_national_yearly!$D:$AM, 10, FALSE), 1)</f>
        <v>6.8336927861282488</v>
      </c>
      <c r="R14" s="7">
        <f>$B14 * IFERROR(VLOOKUP("industry|SO2|Minor restricted activity days", US_national_yearly!$D:$AM, 26, FALSE) / VLOOKUP("industry|SO2|Minor restricted activity days", US_national_yearly!$D:$AM, 10, FALSE), 1)</f>
        <v>6.8879757029771698</v>
      </c>
      <c r="S14" s="7">
        <f>$B14 * IFERROR(VLOOKUP("industry|SO2|Minor restricted activity days", US_national_yearly!$D:$AM, 27, FALSE) / VLOOKUP("industry|SO2|Minor restricted activity days", US_national_yearly!$D:$AM, 10, FALSE), 1)</f>
        <v>6.9433758036175579</v>
      </c>
      <c r="T14" s="7">
        <f>$B14 * IFERROR(VLOOKUP("industry|SO2|Minor restricted activity days", US_national_yearly!$D:$AM, 28, FALSE) / VLOOKUP("industry|SO2|Minor restricted activity days", US_national_yearly!$D:$AM, 10, FALSE), 1)</f>
        <v>6.9987759042579487</v>
      </c>
      <c r="U14" s="7">
        <f>$B14 * IFERROR(VLOOKUP("industry|SO2|Minor restricted activity days", US_national_yearly!$D:$AM, 29, FALSE) / VLOOKUP("industry|SO2|Minor restricted activity days", US_national_yearly!$D:$AM, 10, FALSE), 1)</f>
        <v>7.0541760048983377</v>
      </c>
      <c r="V14" s="7">
        <f>$B14 * IFERROR(VLOOKUP("industry|SO2|Minor restricted activity days", US_national_yearly!$D:$AM, 30, FALSE) / VLOOKUP("industry|SO2|Minor restricted activity days", US_national_yearly!$D:$AM, 10, FALSE), 1)</f>
        <v>7.1095761055387277</v>
      </c>
      <c r="W14" s="7">
        <f>$B14 * IFERROR(VLOOKUP("industry|SO2|Minor restricted activity days", US_national_yearly!$D:$AM, 31, FALSE) / VLOOKUP("industry|SO2|Minor restricted activity days", US_national_yearly!$D:$AM, 10, FALSE), 1)</f>
        <v>7.1649762061791167</v>
      </c>
      <c r="X14" s="7">
        <f>$B14 * IFERROR(VLOOKUP("industry|SO2|Minor restricted activity days", US_national_yearly!$D:$AM, 32, FALSE) / VLOOKUP("industry|SO2|Minor restricted activity days", US_national_yearly!$D:$AM, 10, FALSE), 1)</f>
        <v>7.2136890774228757</v>
      </c>
      <c r="Y14" s="7">
        <f>$B14 * IFERROR(VLOOKUP("industry|SO2|Minor restricted activity days", US_national_yearly!$D:$AM, 33, FALSE) / VLOOKUP("industry|SO2|Minor restricted activity days", US_national_yearly!$D:$AM, 10, FALSE), 1)</f>
        <v>7.2624019486666329</v>
      </c>
      <c r="Z14" s="7">
        <f>$B14 * IFERROR(VLOOKUP("industry|SO2|Minor restricted activity days", US_national_yearly!$D:$AM, 34, FALSE) / VLOOKUP("industry|SO2|Minor restricted activity days", US_national_yearly!$D:$AM, 10, FALSE), 1)</f>
        <v>7.311114819910391</v>
      </c>
      <c r="AA14" s="7">
        <f>$B14 * IFERROR(VLOOKUP("industry|SO2|Minor restricted activity days", US_national_yearly!$D:$AM, 35, FALSE) / VLOOKUP("industry|SO2|Minor restricted activity days", US_national_yearly!$D:$AM, 10, FALSE), 1)</f>
        <v>7.3598276911541483</v>
      </c>
      <c r="AB14" s="7">
        <f>$B14 * IFERROR(VLOOKUP("industry|SO2|Minor restricted activity days", US_national_yearly!$D:$AM, 36, FALSE) / VLOOKUP("industry|SO2|Minor restricted activity days", US_national_yearly!$D:$AM, 10, FALSE), 1)</f>
        <v>7.4085405623979073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1.0745282871898432</v>
      </c>
      <c r="C15" s="7">
        <f>$B15 * IFERROR(VLOOKUP("industry|SO2|Work loss days", US_national_yearly!$D:$AM, 11, FALSE) / VLOOKUP("industry|SO2|Work loss days", US_national_yearly!$D:$AM, 10, FALSE), 1)</f>
        <v>1.0779838487646023</v>
      </c>
      <c r="D15" s="7">
        <f>$B15 * IFERROR(VLOOKUP("industry|SO2|Work loss days", US_national_yearly!$D:$AM, 12, FALSE) / VLOOKUP("industry|SO2|Work loss days", US_national_yearly!$D:$AM, 10, FALSE), 1)</f>
        <v>1.0814394103393621</v>
      </c>
      <c r="E15" s="7">
        <f>$B15 * IFERROR(VLOOKUP("industry|SO2|Work loss days", US_national_yearly!$D:$AM, 13, FALSE) / VLOOKUP("industry|SO2|Work loss days", US_national_yearly!$D:$AM, 10, FALSE), 1)</f>
        <v>1.0848949719141214</v>
      </c>
      <c r="F15" s="7">
        <f>$B15 * IFERROR(VLOOKUP("industry|SO2|Work loss days", US_national_yearly!$D:$AM, 14, FALSE) / VLOOKUP("industry|SO2|Work loss days", US_national_yearly!$D:$AM, 10, FALSE), 1)</f>
        <v>1.088350533488881</v>
      </c>
      <c r="G15" s="7">
        <f>$B15 * IFERROR(VLOOKUP("industry|SO2|Work loss days", US_national_yearly!$D:$AM, 15, FALSE) / VLOOKUP("industry|SO2|Work loss days", US_national_yearly!$D:$AM, 10, FALSE), 1)</f>
        <v>1.0928609751687126</v>
      </c>
      <c r="H15" s="7">
        <f>$B15 * IFERROR(VLOOKUP("industry|SO2|Work loss days", US_national_yearly!$D:$AM, 16, FALSE) / VLOOKUP("industry|SO2|Work loss days", US_national_yearly!$D:$AM, 10, FALSE), 1)</f>
        <v>1.0973714168485444</v>
      </c>
      <c r="I15" s="7">
        <f>$B15 * IFERROR(VLOOKUP("industry|SO2|Work loss days", US_national_yearly!$D:$AM, 17, FALSE) / VLOOKUP("industry|SO2|Work loss days", US_national_yearly!$D:$AM, 10, FALSE), 1)</f>
        <v>1.1039644116057294</v>
      </c>
      <c r="J15" s="7">
        <f>$B15 * IFERROR(VLOOKUP("industry|SO2|Work loss days", US_national_yearly!$D:$AM, 18, FALSE) / VLOOKUP("industry|SO2|Work loss days", US_national_yearly!$D:$AM, 10, FALSE), 1)</f>
        <v>1.1105574063629142</v>
      </c>
      <c r="K15" s="7">
        <f>$B15 * IFERROR(VLOOKUP("industry|SO2|Work loss days", US_national_yearly!$D:$AM, 19, FALSE) / VLOOKUP("industry|SO2|Work loss days", US_national_yearly!$D:$AM, 10, FALSE), 1)</f>
        <v>1.117150401120099</v>
      </c>
      <c r="L15" s="7">
        <f>$B15 * IFERROR(VLOOKUP("industry|SO2|Work loss days", US_national_yearly!$D:$AM, 20, FALSE) / VLOOKUP("industry|SO2|Work loss days", US_national_yearly!$D:$AM, 10, FALSE), 1)</f>
        <v>1.123743395877284</v>
      </c>
      <c r="M15" s="7">
        <f>$B15 * IFERROR(VLOOKUP("industry|SO2|Work loss days", US_national_yearly!$D:$AM, 21, FALSE) / VLOOKUP("industry|SO2|Work loss days", US_national_yearly!$D:$AM, 10, FALSE), 1)</f>
        <v>1.1303363906344688</v>
      </c>
      <c r="N15" s="7">
        <f>$B15 * IFERROR(VLOOKUP("industry|SO2|Work loss days", US_national_yearly!$D:$AM, 22, FALSE) / VLOOKUP("industry|SO2|Work loss days", US_national_yearly!$D:$AM, 10, FALSE), 1)</f>
        <v>1.138622814427962</v>
      </c>
      <c r="O15" s="7">
        <f>$B15 * IFERROR(VLOOKUP("industry|SO2|Work loss days", US_national_yearly!$D:$AM, 23, FALSE) / VLOOKUP("industry|SO2|Work loss days", US_national_yearly!$D:$AM, 10, FALSE), 1)</f>
        <v>1.146909238221455</v>
      </c>
      <c r="P15" s="7">
        <f>$B15 * IFERROR(VLOOKUP("industry|SO2|Work loss days", US_national_yearly!$D:$AM, 24, FALSE) / VLOOKUP("industry|SO2|Work loss days", US_national_yearly!$D:$AM, 10, FALSE), 1)</f>
        <v>1.1551956620149482</v>
      </c>
      <c r="Q15" s="7">
        <f>$B15 * IFERROR(VLOOKUP("industry|SO2|Work loss days", US_national_yearly!$D:$AM, 25, FALSE) / VLOOKUP("industry|SO2|Work loss days", US_national_yearly!$D:$AM, 10, FALSE), 1)</f>
        <v>1.1634820858084414</v>
      </c>
      <c r="R15" s="7">
        <f>$B15 * IFERROR(VLOOKUP("industry|SO2|Work loss days", US_national_yearly!$D:$AM, 26, FALSE) / VLOOKUP("industry|SO2|Work loss days", US_national_yearly!$D:$AM, 10, FALSE), 1)</f>
        <v>1.1717685096019346</v>
      </c>
      <c r="S15" s="7">
        <f>$B15 * IFERROR(VLOOKUP("industry|SO2|Work loss days", US_national_yearly!$D:$AM, 27, FALSE) / VLOOKUP("industry|SO2|Work loss days", US_national_yearly!$D:$AM, 10, FALSE), 1)</f>
        <v>1.1810406763216224</v>
      </c>
      <c r="T15" s="7">
        <f>$B15 * IFERROR(VLOOKUP("industry|SO2|Work loss days", US_national_yearly!$D:$AM, 28, FALSE) / VLOOKUP("industry|SO2|Work loss days", US_national_yearly!$D:$AM, 10, FALSE), 1)</f>
        <v>1.1903128430413101</v>
      </c>
      <c r="U15" s="7">
        <f>$B15 * IFERROR(VLOOKUP("industry|SO2|Work loss days", US_national_yearly!$D:$AM, 29, FALSE) / VLOOKUP("industry|SO2|Work loss days", US_national_yearly!$D:$AM, 10, FALSE), 1)</f>
        <v>1.1995850097609984</v>
      </c>
      <c r="V15" s="7">
        <f>$B15 * IFERROR(VLOOKUP("industry|SO2|Work loss days", US_national_yearly!$D:$AM, 30, FALSE) / VLOOKUP("industry|SO2|Work loss days", US_national_yearly!$D:$AM, 10, FALSE), 1)</f>
        <v>1.2088571764806861</v>
      </c>
      <c r="W15" s="7">
        <f>$B15 * IFERROR(VLOOKUP("industry|SO2|Work loss days", US_national_yearly!$D:$AM, 31, FALSE) / VLOOKUP("industry|SO2|Work loss days", US_national_yearly!$D:$AM, 10, FALSE), 1)</f>
        <v>1.2181293432003741</v>
      </c>
      <c r="X15" s="7">
        <f>$B15 * IFERROR(VLOOKUP("industry|SO2|Work loss days", US_national_yearly!$D:$AM, 32, FALSE) / VLOOKUP("industry|SO2|Work loss days", US_national_yearly!$D:$AM, 10, FALSE), 1)</f>
        <v>1.226457352013447</v>
      </c>
      <c r="Y15" s="7">
        <f>$B15 * IFERROR(VLOOKUP("industry|SO2|Work loss days", US_national_yearly!$D:$AM, 33, FALSE) / VLOOKUP("industry|SO2|Work loss days", US_national_yearly!$D:$AM, 10, FALSE), 1)</f>
        <v>1.2347853608265202</v>
      </c>
      <c r="Z15" s="7">
        <f>$B15 * IFERROR(VLOOKUP("industry|SO2|Work loss days", US_national_yearly!$D:$AM, 34, FALSE) / VLOOKUP("industry|SO2|Work loss days", US_national_yearly!$D:$AM, 10, FALSE), 1)</f>
        <v>1.2431133696395928</v>
      </c>
      <c r="AA15" s="7">
        <f>$B15 * IFERROR(VLOOKUP("industry|SO2|Work loss days", US_national_yearly!$D:$AM, 35, FALSE) / VLOOKUP("industry|SO2|Work loss days", US_national_yearly!$D:$AM, 10, FALSE), 1)</f>
        <v>1.2514413784526659</v>
      </c>
      <c r="AB15" s="7">
        <f>$B15 * IFERROR(VLOOKUP("industry|SO2|Work loss days", US_national_yearly!$D:$AM, 36, FALSE) / VLOOKUP("industry|SO2|Work loss days", US_national_yearly!$D:$AM, 10, FALSE), 1)</f>
        <v>1.2597693872657389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1.343987464399613E-3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1.3846258774750902E-3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1.4252642905505676E-3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1.4659027036260451E-3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1.5065411167015225E-3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1.5454873743334483E-3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1.584433631965374E-3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1.6178508847763163E-3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1.6512681375872589E-3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1.6846853903982014E-3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1.7181026432091439E-3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1.751519896020086E-3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1.7739714179004474E-3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1.7964229397808087E-3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1.8188744616611696E-3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1.8413259835415308E-3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1.8637775054218921E-3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1.875648999782448E-3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1.8875204941430045E-3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1.8993919885035605E-3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1.911263482864117E-3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1.9231349772246729E-3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1.931163254988565E-3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1.939191532752457E-3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1.9472198105163496E-3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1.9552480882802418E-3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1.9632763660441337E-3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2.8128268090814884E-5</v>
      </c>
      <c r="C2" s="7">
        <f>$B2 * IFERROR(VLOOKUP("LULUCF|PM25|Premature mortality", US_national_yearly!$D:$AM, 11, FALSE) / VLOOKUP("LULUCF|PM25|Premature mortality", US_national_yearly!$D:$AM, 10, FALSE), 1)</f>
        <v>2.8476996972431497E-5</v>
      </c>
      <c r="D2" s="7">
        <f>$B2 * IFERROR(VLOOKUP("LULUCF|PM25|Premature mortality", US_national_yearly!$D:$AM, 12, FALSE) / VLOOKUP("LULUCF|PM25|Premature mortality", US_national_yearly!$D:$AM, 10, FALSE), 1)</f>
        <v>2.88257258540481E-5</v>
      </c>
      <c r="E2" s="7">
        <f>$B2 * IFERROR(VLOOKUP("LULUCF|PM25|Premature mortality", US_national_yearly!$D:$AM, 13, FALSE) / VLOOKUP("LULUCF|PM25|Premature mortality", US_national_yearly!$D:$AM, 10, FALSE), 1)</f>
        <v>2.9174454735664707E-5</v>
      </c>
      <c r="F2" s="7">
        <f>$B2 * IFERROR(VLOOKUP("LULUCF|PM25|Premature mortality", US_national_yearly!$D:$AM, 14, FALSE) / VLOOKUP("LULUCF|PM25|Premature mortality", US_national_yearly!$D:$AM, 10, FALSE), 1)</f>
        <v>2.9523183617281314E-5</v>
      </c>
      <c r="G2" s="7">
        <f>$B2 * IFERROR(VLOOKUP("LULUCF|PM25|Premature mortality", US_national_yearly!$D:$AM, 15, FALSE) / VLOOKUP("LULUCF|PM25|Premature mortality", US_national_yearly!$D:$AM, 10, FALSE), 1)</f>
        <v>3.0202330484178689E-5</v>
      </c>
      <c r="H2" s="7">
        <f>$B2 * IFERROR(VLOOKUP("LULUCF|PM25|Premature mortality", US_national_yearly!$D:$AM, 16, FALSE) / VLOOKUP("LULUCF|PM25|Premature mortality", US_national_yearly!$D:$AM, 10, FALSE), 1)</f>
        <v>3.0881477351076064E-5</v>
      </c>
      <c r="I2" s="7">
        <f>$B2 * IFERROR(VLOOKUP("LULUCF|PM25|Premature mortality", US_national_yearly!$D:$AM, 17, FALSE) / VLOOKUP("LULUCF|PM25|Premature mortality", US_national_yearly!$D:$AM, 10, FALSE), 1)</f>
        <v>3.1327569602033604E-5</v>
      </c>
      <c r="J2" s="7">
        <f>$B2 * IFERROR(VLOOKUP("LULUCF|PM25|Premature mortality", US_national_yearly!$D:$AM, 18, FALSE) / VLOOKUP("LULUCF|PM25|Premature mortality", US_national_yearly!$D:$AM, 10, FALSE), 1)</f>
        <v>3.177366185299115E-5</v>
      </c>
      <c r="K2" s="7">
        <f>$B2 * IFERROR(VLOOKUP("LULUCF|PM25|Premature mortality", US_national_yearly!$D:$AM, 19, FALSE) / VLOOKUP("LULUCF|PM25|Premature mortality", US_national_yearly!$D:$AM, 10, FALSE), 1)</f>
        <v>3.2219754103948697E-5</v>
      </c>
      <c r="L2" s="7">
        <f>$B2 * IFERROR(VLOOKUP("LULUCF|PM25|Premature mortality", US_national_yearly!$D:$AM, 20, FALSE) / VLOOKUP("LULUCF|PM25|Premature mortality", US_national_yearly!$D:$AM, 10, FALSE), 1)</f>
        <v>3.2665846354906243E-5</v>
      </c>
      <c r="M2" s="7">
        <f>$B2 * IFERROR(VLOOKUP("LULUCF|PM25|Premature mortality", US_national_yearly!$D:$AM, 21, FALSE) / VLOOKUP("LULUCF|PM25|Premature mortality", US_national_yearly!$D:$AM, 10, FALSE), 1)</f>
        <v>3.311193860586379E-5</v>
      </c>
      <c r="N2" s="7">
        <f>$B2 * IFERROR(VLOOKUP("LULUCF|PM25|Premature mortality", US_national_yearly!$D:$AM, 22, FALSE) / VLOOKUP("LULUCF|PM25|Premature mortality", US_national_yearly!$D:$AM, 10, FALSE), 1)</f>
        <v>3.3458300847619519E-5</v>
      </c>
      <c r="O2" s="7">
        <f>$B2 * IFERROR(VLOOKUP("LULUCF|PM25|Premature mortality", US_national_yearly!$D:$AM, 23, FALSE) / VLOOKUP("LULUCF|PM25|Premature mortality", US_national_yearly!$D:$AM, 10, FALSE), 1)</f>
        <v>3.3804663089375248E-5</v>
      </c>
      <c r="P2" s="7">
        <f>$B2 * IFERROR(VLOOKUP("LULUCF|PM25|Premature mortality", US_national_yearly!$D:$AM, 24, FALSE) / VLOOKUP("LULUCF|PM25|Premature mortality", US_national_yearly!$D:$AM, 10, FALSE), 1)</f>
        <v>3.4151025331130984E-5</v>
      </c>
      <c r="Q2" s="7">
        <f>$B2 * IFERROR(VLOOKUP("LULUCF|PM25|Premature mortality", US_national_yearly!$D:$AM, 25, FALSE) / VLOOKUP("LULUCF|PM25|Premature mortality", US_national_yearly!$D:$AM, 10, FALSE), 1)</f>
        <v>3.4497387572886713E-5</v>
      </c>
      <c r="R2" s="7">
        <f>$B2 * IFERROR(VLOOKUP("LULUCF|PM25|Premature mortality", US_national_yearly!$D:$AM, 26, FALSE) / VLOOKUP("LULUCF|PM25|Premature mortality", US_national_yearly!$D:$AM, 10, FALSE), 1)</f>
        <v>3.4843749814642455E-5</v>
      </c>
      <c r="S2" s="7">
        <f>$B2 * IFERROR(VLOOKUP("LULUCF|PM25|Premature mortality", US_national_yearly!$D:$AM, 27, FALSE) / VLOOKUP("LULUCF|PM25|Premature mortality", US_national_yearly!$D:$AM, 10, FALSE), 1)</f>
        <v>3.5027242239559441E-5</v>
      </c>
      <c r="T2" s="7">
        <f>$B2 * IFERROR(VLOOKUP("LULUCF|PM25|Premature mortality", US_national_yearly!$D:$AM, 28, FALSE) / VLOOKUP("LULUCF|PM25|Premature mortality", US_national_yearly!$D:$AM, 10, FALSE), 1)</f>
        <v>3.521073466447642E-5</v>
      </c>
      <c r="U2" s="7">
        <f>$B2 * IFERROR(VLOOKUP("LULUCF|PM25|Premature mortality", US_national_yearly!$D:$AM, 29, FALSE) / VLOOKUP("LULUCF|PM25|Premature mortality", US_national_yearly!$D:$AM, 10, FALSE), 1)</f>
        <v>3.5394227089393405E-5</v>
      </c>
      <c r="V2" s="7">
        <f>$B2 * IFERROR(VLOOKUP("LULUCF|PM25|Premature mortality", US_national_yearly!$D:$AM, 30, FALSE) / VLOOKUP("LULUCF|PM25|Premature mortality", US_national_yearly!$D:$AM, 10, FALSE), 1)</f>
        <v>3.5577719514310384E-5</v>
      </c>
      <c r="W2" s="7">
        <f>$B2 * IFERROR(VLOOKUP("LULUCF|PM25|Premature mortality", US_national_yearly!$D:$AM, 31, FALSE) / VLOOKUP("LULUCF|PM25|Premature mortality", US_national_yearly!$D:$AM, 10, FALSE), 1)</f>
        <v>3.5761211939227363E-5</v>
      </c>
      <c r="X2" s="7">
        <f>$B2 * IFERROR(VLOOKUP("LULUCF|PM25|Premature mortality", US_national_yearly!$D:$AM, 32, FALSE) / VLOOKUP("LULUCF|PM25|Premature mortality", US_national_yearly!$D:$AM, 10, FALSE), 1)</f>
        <v>3.5793297009136335E-5</v>
      </c>
      <c r="Y2" s="7">
        <f>$B2 * IFERROR(VLOOKUP("LULUCF|PM25|Premature mortality", US_national_yearly!$D:$AM, 33, FALSE) / VLOOKUP("LULUCF|PM25|Premature mortality", US_national_yearly!$D:$AM, 10, FALSE), 1)</f>
        <v>3.5825382079045313E-5</v>
      </c>
      <c r="Z2" s="7">
        <f>$B2 * IFERROR(VLOOKUP("LULUCF|PM25|Premature mortality", US_national_yearly!$D:$AM, 34, FALSE) / VLOOKUP("LULUCF|PM25|Premature mortality", US_national_yearly!$D:$AM, 10, FALSE), 1)</f>
        <v>3.5857467148954284E-5</v>
      </c>
      <c r="AA2" s="7">
        <f>$B2 * IFERROR(VLOOKUP("LULUCF|PM25|Premature mortality", US_national_yearly!$D:$AM, 35, FALSE) / VLOOKUP("LULUCF|PM25|Premature mortality", US_national_yearly!$D:$AM, 10, FALSE), 1)</f>
        <v>3.5889552218863256E-5</v>
      </c>
      <c r="AB2" s="7">
        <f>$B2 * IFERROR(VLOOKUP("LULUCF|PM25|Premature mortality", US_national_yearly!$D:$AM, 36, FALSE) / VLOOKUP("LULUCF|PM25|Premature mortality", US_national_yearly!$D:$AM, 10, FALSE), 1)</f>
        <v>3.5921637288772227E-5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7.969208362036114E-8</v>
      </c>
      <c r="C3" s="7">
        <f>$B3 * IFERROR(VLOOKUP("LULUCF|PM25|Infant mortality", US_national_yearly!$D:$AM, 11, FALSE) / VLOOKUP("LULUCF|PM25|Infant mortality", US_national_yearly!$D:$AM, 10, FALSE), 1)</f>
        <v>7.8997241370736226E-8</v>
      </c>
      <c r="D3" s="7">
        <f>$B3 * IFERROR(VLOOKUP("LULUCF|PM25|Infant mortality", US_national_yearly!$D:$AM, 12, FALSE) / VLOOKUP("LULUCF|PM25|Infant mortality", US_national_yearly!$D:$AM, 10, FALSE), 1)</f>
        <v>7.8302399121111299E-8</v>
      </c>
      <c r="E3" s="7">
        <f>$B3 * IFERROR(VLOOKUP("LULUCF|PM25|Infant mortality", US_national_yearly!$D:$AM, 13, FALSE) / VLOOKUP("LULUCF|PM25|Infant mortality", US_national_yearly!$D:$AM, 10, FALSE), 1)</f>
        <v>7.7607556871486385E-8</v>
      </c>
      <c r="F3" s="7">
        <f>$B3 * IFERROR(VLOOKUP("LULUCF|PM25|Infant mortality", US_national_yearly!$D:$AM, 14, FALSE) / VLOOKUP("LULUCF|PM25|Infant mortality", US_national_yearly!$D:$AM, 10, FALSE), 1)</f>
        <v>7.6912714621861457E-8</v>
      </c>
      <c r="G3" s="7">
        <f>$B3 * IFERROR(VLOOKUP("LULUCF|PM25|Infant mortality", US_national_yearly!$D:$AM, 15, FALSE) / VLOOKUP("LULUCF|PM25|Infant mortality", US_national_yearly!$D:$AM, 10, FALSE), 1)</f>
        <v>5.115106943509072E-8</v>
      </c>
      <c r="H3" s="7">
        <f>$B3 * IFERROR(VLOOKUP("LULUCF|PM25|Infant mortality", US_national_yearly!$D:$AM, 16, FALSE) / VLOOKUP("LULUCF|PM25|Infant mortality", US_national_yearly!$D:$AM, 10, FALSE), 1)</f>
        <v>2.5389424248319967E-8</v>
      </c>
      <c r="I3" s="7">
        <f>$B3 * IFERROR(VLOOKUP("LULUCF|PM25|Infant mortality", US_national_yearly!$D:$AM, 17, FALSE) / VLOOKUP("LULUCF|PM25|Infant mortality", US_national_yearly!$D:$AM, 10, FALSE), 1)</f>
        <v>2.5223462421268513E-8</v>
      </c>
      <c r="J3" s="7">
        <f>$B3 * IFERROR(VLOOKUP("LULUCF|PM25|Infant mortality", US_national_yearly!$D:$AM, 18, FALSE) / VLOOKUP("LULUCF|PM25|Infant mortality", US_national_yearly!$D:$AM, 10, FALSE), 1)</f>
        <v>2.5057500594217053E-8</v>
      </c>
      <c r="K3" s="7">
        <f>$B3 * IFERROR(VLOOKUP("LULUCF|PM25|Infant mortality", US_national_yearly!$D:$AM, 19, FALSE) / VLOOKUP("LULUCF|PM25|Infant mortality", US_national_yearly!$D:$AM, 10, FALSE), 1)</f>
        <v>2.4891538767165596E-8</v>
      </c>
      <c r="L3" s="7">
        <f>$B3 * IFERROR(VLOOKUP("LULUCF|PM25|Infant mortality", US_national_yearly!$D:$AM, 20, FALSE) / VLOOKUP("LULUCF|PM25|Infant mortality", US_national_yearly!$D:$AM, 10, FALSE), 1)</f>
        <v>2.4725576940114142E-8</v>
      </c>
      <c r="M3" s="7">
        <f>$B3 * IFERROR(VLOOKUP("LULUCF|PM25|Infant mortality", US_national_yearly!$D:$AM, 21, FALSE) / VLOOKUP("LULUCF|PM25|Infant mortality", US_national_yearly!$D:$AM, 10, FALSE), 1)</f>
        <v>2.4559615113062688E-8</v>
      </c>
      <c r="N3" s="7">
        <f>$B3 * IFERROR(VLOOKUP("LULUCF|PM25|Infant mortality", US_national_yearly!$D:$AM, 22, FALSE) / VLOOKUP("LULUCF|PM25|Infant mortality", US_national_yearly!$D:$AM, 10, FALSE), 1)</f>
        <v>2.4455372711905655E-8</v>
      </c>
      <c r="O3" s="7">
        <f>$B3 * IFERROR(VLOOKUP("LULUCF|PM25|Infant mortality", US_national_yearly!$D:$AM, 23, FALSE) / VLOOKUP("LULUCF|PM25|Infant mortality", US_national_yearly!$D:$AM, 10, FALSE), 1)</f>
        <v>2.4351130310748627E-8</v>
      </c>
      <c r="P3" s="7">
        <f>$B3 * IFERROR(VLOOKUP("LULUCF|PM25|Infant mortality", US_national_yearly!$D:$AM, 24, FALSE) / VLOOKUP("LULUCF|PM25|Infant mortality", US_national_yearly!$D:$AM, 10, FALSE), 1)</f>
        <v>2.4246887909591587E-8</v>
      </c>
      <c r="Q3" s="7">
        <f>$B3 * IFERROR(VLOOKUP("LULUCF|PM25|Infant mortality", US_national_yearly!$D:$AM, 25, FALSE) / VLOOKUP("LULUCF|PM25|Infant mortality", US_national_yearly!$D:$AM, 10, FALSE), 1)</f>
        <v>2.414264550843456E-8</v>
      </c>
      <c r="R3" s="7">
        <f>$B3 * IFERROR(VLOOKUP("LULUCF|PM25|Infant mortality", US_national_yearly!$D:$AM, 26, FALSE) / VLOOKUP("LULUCF|PM25|Infant mortality", US_national_yearly!$D:$AM, 10, FALSE), 1)</f>
        <v>2.4038403107277526E-8</v>
      </c>
      <c r="S3" s="7">
        <f>$B3 * IFERROR(VLOOKUP("LULUCF|PM25|Infant mortality", US_national_yearly!$D:$AM, 27, FALSE) / VLOOKUP("LULUCF|PM25|Infant mortality", US_national_yearly!$D:$AM, 10, FALSE), 1)</f>
        <v>2.3908462822832746E-8</v>
      </c>
      <c r="T3" s="7">
        <f>$B3 * IFERROR(VLOOKUP("LULUCF|PM25|Infant mortality", US_national_yearly!$D:$AM, 28, FALSE) / VLOOKUP("LULUCF|PM25|Infant mortality", US_national_yearly!$D:$AM, 10, FALSE), 1)</f>
        <v>2.3778522538387962E-8</v>
      </c>
      <c r="U3" s="7">
        <f>$B3 * IFERROR(VLOOKUP("LULUCF|PM25|Infant mortality", US_national_yearly!$D:$AM, 29, FALSE) / VLOOKUP("LULUCF|PM25|Infant mortality", US_national_yearly!$D:$AM, 10, FALSE), 1)</f>
        <v>2.3648582253943185E-8</v>
      </c>
      <c r="V3" s="7">
        <f>$B3 * IFERROR(VLOOKUP("LULUCF|PM25|Infant mortality", US_national_yearly!$D:$AM, 30, FALSE) / VLOOKUP("LULUCF|PM25|Infant mortality", US_national_yearly!$D:$AM, 10, FALSE), 1)</f>
        <v>2.3518641969498408E-8</v>
      </c>
      <c r="W3" s="7">
        <f>$B3 * IFERROR(VLOOKUP("LULUCF|PM25|Infant mortality", US_national_yearly!$D:$AM, 31, FALSE) / VLOOKUP("LULUCF|PM25|Infant mortality", US_national_yearly!$D:$AM, 10, FALSE), 1)</f>
        <v>2.3388701685053625E-8</v>
      </c>
      <c r="X3" s="7">
        <f>$B3 * IFERROR(VLOOKUP("LULUCF|PM25|Infant mortality", US_national_yearly!$D:$AM, 32, FALSE) / VLOOKUP("LULUCF|PM25|Infant mortality", US_national_yearly!$D:$AM, 10, FALSE), 1)</f>
        <v>2.3248609726641798E-8</v>
      </c>
      <c r="Y3" s="7">
        <f>$B3 * IFERROR(VLOOKUP("LULUCF|PM25|Infant mortality", US_national_yearly!$D:$AM, 33, FALSE) / VLOOKUP("LULUCF|PM25|Infant mortality", US_national_yearly!$D:$AM, 10, FALSE), 1)</f>
        <v>2.3108517768229965E-8</v>
      </c>
      <c r="Z3" s="7">
        <f>$B3 * IFERROR(VLOOKUP("LULUCF|PM25|Infant mortality", US_national_yearly!$D:$AM, 34, FALSE) / VLOOKUP("LULUCF|PM25|Infant mortality", US_national_yearly!$D:$AM, 10, FALSE), 1)</f>
        <v>2.2968425809818139E-8</v>
      </c>
      <c r="AA3" s="7">
        <f>$B3 * IFERROR(VLOOKUP("LULUCF|PM25|Infant mortality", US_national_yearly!$D:$AM, 35, FALSE) / VLOOKUP("LULUCF|PM25|Infant mortality", US_national_yearly!$D:$AM, 10, FALSE), 1)</f>
        <v>2.2828333851406312E-8</v>
      </c>
      <c r="AB3" s="7">
        <f>$B3 * IFERROR(VLOOKUP("LULUCF|PM25|Infant mortality", US_national_yearly!$D:$AM, 36, FALSE) / VLOOKUP("LULUCF|PM25|Infant mortality", US_national_yearly!$D:$AM, 10, FALSE), 1)</f>
        <v>2.2688241892994485E-8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9.5571216966374009E-5</v>
      </c>
      <c r="C6" s="7">
        <f>$B6 * IFERROR(VLOOKUP("LULUCF|PM25|Asthma symptoms cough", US_national_yearly!$D:$AM, 11, FALSE) / VLOOKUP("LULUCF|PM25|Asthma symptoms cough", US_national_yearly!$D:$AM, 10, FALSE), 1)</f>
        <v>9.5571216966374009E-5</v>
      </c>
      <c r="D6" s="7">
        <f>$B6 * IFERROR(VLOOKUP("LULUCF|PM25|Asthma symptoms cough", US_national_yearly!$D:$AM, 12, FALSE) / VLOOKUP("LULUCF|PM25|Asthma symptoms cough", US_national_yearly!$D:$AM, 10, FALSE), 1)</f>
        <v>9.5571216966374009E-5</v>
      </c>
      <c r="E6" s="7">
        <f>$B6 * IFERROR(VLOOKUP("LULUCF|PM25|Asthma symptoms cough", US_national_yearly!$D:$AM, 13, FALSE) / VLOOKUP("LULUCF|PM25|Asthma symptoms cough", US_national_yearly!$D:$AM, 10, FALSE), 1)</f>
        <v>9.5571216966374009E-5</v>
      </c>
      <c r="F6" s="7">
        <f>$B6 * IFERROR(VLOOKUP("LULUCF|PM25|Asthma symptoms cough", US_national_yearly!$D:$AM, 14, FALSE) / VLOOKUP("LULUCF|PM25|Asthma symptoms cough", US_national_yearly!$D:$AM, 10, FALSE), 1)</f>
        <v>9.5571216966374009E-5</v>
      </c>
      <c r="G6" s="7">
        <f>$B6 * IFERROR(VLOOKUP("LULUCF|PM25|Asthma symptoms cough", US_national_yearly!$D:$AM, 15, FALSE) / VLOOKUP("LULUCF|PM25|Asthma symptoms cough", US_national_yearly!$D:$AM, 10, FALSE), 1)</f>
        <v>9.5571216966374009E-5</v>
      </c>
      <c r="H6" s="7">
        <f>$B6 * IFERROR(VLOOKUP("LULUCF|PM25|Asthma symptoms cough", US_national_yearly!$D:$AM, 16, FALSE) / VLOOKUP("LULUCF|PM25|Asthma symptoms cough", US_national_yearly!$D:$AM, 10, FALSE), 1)</f>
        <v>9.5571216966374009E-5</v>
      </c>
      <c r="I6" s="7">
        <f>$B6 * IFERROR(VLOOKUP("LULUCF|PM25|Asthma symptoms cough", US_national_yearly!$D:$AM, 17, FALSE) / VLOOKUP("LULUCF|PM25|Asthma symptoms cough", US_national_yearly!$D:$AM, 10, FALSE), 1)</f>
        <v>9.5571216966374009E-5</v>
      </c>
      <c r="J6" s="7">
        <f>$B6 * IFERROR(VLOOKUP("LULUCF|PM25|Asthma symptoms cough", US_national_yearly!$D:$AM, 18, FALSE) / VLOOKUP("LULUCF|PM25|Asthma symptoms cough", US_national_yearly!$D:$AM, 10, FALSE), 1)</f>
        <v>9.5571216966374009E-5</v>
      </c>
      <c r="K6" s="7">
        <f>$B6 * IFERROR(VLOOKUP("LULUCF|PM25|Asthma symptoms cough", US_national_yearly!$D:$AM, 19, FALSE) / VLOOKUP("LULUCF|PM25|Asthma symptoms cough", US_national_yearly!$D:$AM, 10, FALSE), 1)</f>
        <v>9.5571216966374009E-5</v>
      </c>
      <c r="L6" s="7">
        <f>$B6 * IFERROR(VLOOKUP("LULUCF|PM25|Asthma symptoms cough", US_national_yearly!$D:$AM, 20, FALSE) / VLOOKUP("LULUCF|PM25|Asthma symptoms cough", US_national_yearly!$D:$AM, 10, FALSE), 1)</f>
        <v>9.5571216966374009E-5</v>
      </c>
      <c r="M6" s="7">
        <f>$B6 * IFERROR(VLOOKUP("LULUCF|PM25|Asthma symptoms cough", US_national_yearly!$D:$AM, 21, FALSE) / VLOOKUP("LULUCF|PM25|Asthma symptoms cough", US_national_yearly!$D:$AM, 10, FALSE), 1)</f>
        <v>9.5571216966374009E-5</v>
      </c>
      <c r="N6" s="7">
        <f>$B6 * IFERROR(VLOOKUP("LULUCF|PM25|Asthma symptoms cough", US_national_yearly!$D:$AM, 22, FALSE) / VLOOKUP("LULUCF|PM25|Asthma symptoms cough", US_national_yearly!$D:$AM, 10, FALSE), 1)</f>
        <v>9.5571216966374009E-5</v>
      </c>
      <c r="O6" s="7">
        <f>$B6 * IFERROR(VLOOKUP("LULUCF|PM25|Asthma symptoms cough", US_national_yearly!$D:$AM, 23, FALSE) / VLOOKUP("LULUCF|PM25|Asthma symptoms cough", US_national_yearly!$D:$AM, 10, FALSE), 1)</f>
        <v>9.5571216966374009E-5</v>
      </c>
      <c r="P6" s="7">
        <f>$B6 * IFERROR(VLOOKUP("LULUCF|PM25|Asthma symptoms cough", US_national_yearly!$D:$AM, 24, FALSE) / VLOOKUP("LULUCF|PM25|Asthma symptoms cough", US_national_yearly!$D:$AM, 10, FALSE), 1)</f>
        <v>9.5571216966374009E-5</v>
      </c>
      <c r="Q6" s="7">
        <f>$B6 * IFERROR(VLOOKUP("LULUCF|PM25|Asthma symptoms cough", US_national_yearly!$D:$AM, 25, FALSE) / VLOOKUP("LULUCF|PM25|Asthma symptoms cough", US_national_yearly!$D:$AM, 10, FALSE), 1)</f>
        <v>9.5571216966374009E-5</v>
      </c>
      <c r="R6" s="7">
        <f>$B6 * IFERROR(VLOOKUP("LULUCF|PM25|Asthma symptoms cough", US_national_yearly!$D:$AM, 26, FALSE) / VLOOKUP("LULUCF|PM25|Asthma symptoms cough", US_national_yearly!$D:$AM, 10, FALSE), 1)</f>
        <v>9.5571216966374009E-5</v>
      </c>
      <c r="S6" s="7">
        <f>$B6 * IFERROR(VLOOKUP("LULUCF|PM25|Asthma symptoms cough", US_national_yearly!$D:$AM, 27, FALSE) / VLOOKUP("LULUCF|PM25|Asthma symptoms cough", US_national_yearly!$D:$AM, 10, FALSE), 1)</f>
        <v>9.5571216966374009E-5</v>
      </c>
      <c r="T6" s="7">
        <f>$B6 * IFERROR(VLOOKUP("LULUCF|PM25|Asthma symptoms cough", US_national_yearly!$D:$AM, 28, FALSE) / VLOOKUP("LULUCF|PM25|Asthma symptoms cough", US_national_yearly!$D:$AM, 10, FALSE), 1)</f>
        <v>9.5571216966374009E-5</v>
      </c>
      <c r="U6" s="7">
        <f>$B6 * IFERROR(VLOOKUP("LULUCF|PM25|Asthma symptoms cough", US_national_yearly!$D:$AM, 29, FALSE) / VLOOKUP("LULUCF|PM25|Asthma symptoms cough", US_national_yearly!$D:$AM, 10, FALSE), 1)</f>
        <v>9.5571216966374009E-5</v>
      </c>
      <c r="V6" s="7">
        <f>$B6 * IFERROR(VLOOKUP("LULUCF|PM25|Asthma symptoms cough", US_national_yearly!$D:$AM, 30, FALSE) / VLOOKUP("LULUCF|PM25|Asthma symptoms cough", US_national_yearly!$D:$AM, 10, FALSE), 1)</f>
        <v>9.5571216966374009E-5</v>
      </c>
      <c r="W6" s="7">
        <f>$B6 * IFERROR(VLOOKUP("LULUCF|PM25|Asthma symptoms cough", US_national_yearly!$D:$AM, 31, FALSE) / VLOOKUP("LULUCF|PM25|Asthma symptoms cough", US_national_yearly!$D:$AM, 10, FALSE), 1)</f>
        <v>9.5571216966374009E-5</v>
      </c>
      <c r="X6" s="7">
        <f>$B6 * IFERROR(VLOOKUP("LULUCF|PM25|Asthma symptoms cough", US_national_yearly!$D:$AM, 32, FALSE) / VLOOKUP("LULUCF|PM25|Asthma symptoms cough", US_national_yearly!$D:$AM, 10, FALSE), 1)</f>
        <v>9.5571216966374009E-5</v>
      </c>
      <c r="Y6" s="7">
        <f>$B6 * IFERROR(VLOOKUP("LULUCF|PM25|Asthma symptoms cough", US_national_yearly!$D:$AM, 33, FALSE) / VLOOKUP("LULUCF|PM25|Asthma symptoms cough", US_national_yearly!$D:$AM, 10, FALSE), 1)</f>
        <v>9.5571216966374009E-5</v>
      </c>
      <c r="Z6" s="7">
        <f>$B6 * IFERROR(VLOOKUP("LULUCF|PM25|Asthma symptoms cough", US_national_yearly!$D:$AM, 34, FALSE) / VLOOKUP("LULUCF|PM25|Asthma symptoms cough", US_national_yearly!$D:$AM, 10, FALSE), 1)</f>
        <v>9.5571216966374009E-5</v>
      </c>
      <c r="AA6" s="7">
        <f>$B6 * IFERROR(VLOOKUP("LULUCF|PM25|Asthma symptoms cough", US_national_yearly!$D:$AM, 35, FALSE) / VLOOKUP("LULUCF|PM25|Asthma symptoms cough", US_national_yearly!$D:$AM, 10, FALSE), 1)</f>
        <v>9.5571216966374009E-5</v>
      </c>
      <c r="AB6" s="7">
        <f>$B6 * IFERROR(VLOOKUP("LULUCF|PM25|Asthma symptoms cough", US_national_yearly!$D:$AM, 36, FALSE) / VLOOKUP("LULUCF|PM25|Asthma symptoms cough", US_national_yearly!$D:$AM, 10, FALSE), 1)</f>
        <v>9.5571216966374009E-5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1.2870050695208799E-4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1.2870050695208799E-4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1.2870050695208799E-4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1.2870050695208799E-4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1.2870050695208799E-4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1.2870050695208799E-4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1.2870050695208799E-4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1.2870050695208799E-4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1.2870050695208799E-4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1.2870050695208799E-4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1.2870050695208799E-4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1.2870050695208799E-4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1.2870050695208799E-4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1.2870050695208799E-4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1.2870050695208799E-4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1.2870050695208799E-4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1.2870050695208799E-4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1.2870050695208799E-4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1.2870050695208799E-4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1.2870050695208799E-4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1.2870050695208799E-4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1.2870050695208799E-4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1.2870050695208799E-4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1.2870050695208799E-4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1.2870050695208799E-4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1.2870050695208799E-4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1.2870050695208799E-4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1.9663257880192145E-4</v>
      </c>
      <c r="C8" s="7">
        <f>$B8 * IFERROR(VLOOKUP("LULUCF|PM25|Asthma symptoms wheeze", US_national_yearly!$D:$AM, 11, FALSE) / VLOOKUP("LULUCF|PM25|Asthma symptoms wheeze", US_national_yearly!$D:$AM, 10, FALSE), 1)</f>
        <v>1.9663257880192145E-4</v>
      </c>
      <c r="D8" s="7">
        <f>$B8 * IFERROR(VLOOKUP("LULUCF|PM25|Asthma symptoms wheeze", US_national_yearly!$D:$AM, 12, FALSE) / VLOOKUP("LULUCF|PM25|Asthma symptoms wheeze", US_national_yearly!$D:$AM, 10, FALSE), 1)</f>
        <v>1.9663257880192145E-4</v>
      </c>
      <c r="E8" s="7">
        <f>$B8 * IFERROR(VLOOKUP("LULUCF|PM25|Asthma symptoms wheeze", US_national_yearly!$D:$AM, 13, FALSE) / VLOOKUP("LULUCF|PM25|Asthma symptoms wheeze", US_national_yearly!$D:$AM, 10, FALSE), 1)</f>
        <v>1.9663257880192145E-4</v>
      </c>
      <c r="F8" s="7">
        <f>$B8 * IFERROR(VLOOKUP("LULUCF|PM25|Asthma symptoms wheeze", US_national_yearly!$D:$AM, 14, FALSE) / VLOOKUP("LULUCF|PM25|Asthma symptoms wheeze", US_national_yearly!$D:$AM, 10, FALSE), 1)</f>
        <v>1.9663257880192145E-4</v>
      </c>
      <c r="G8" s="7">
        <f>$B8 * IFERROR(VLOOKUP("LULUCF|PM25|Asthma symptoms wheeze", US_national_yearly!$D:$AM, 15, FALSE) / VLOOKUP("LULUCF|PM25|Asthma symptoms wheeze", US_national_yearly!$D:$AM, 10, FALSE), 1)</f>
        <v>1.9663257880192145E-4</v>
      </c>
      <c r="H8" s="7">
        <f>$B8 * IFERROR(VLOOKUP("LULUCF|PM25|Asthma symptoms wheeze", US_national_yearly!$D:$AM, 16, FALSE) / VLOOKUP("LULUCF|PM25|Asthma symptoms wheeze", US_national_yearly!$D:$AM, 10, FALSE), 1)</f>
        <v>1.9663257880192145E-4</v>
      </c>
      <c r="I8" s="7">
        <f>$B8 * IFERROR(VLOOKUP("LULUCF|PM25|Asthma symptoms wheeze", US_national_yearly!$D:$AM, 17, FALSE) / VLOOKUP("LULUCF|PM25|Asthma symptoms wheeze", US_national_yearly!$D:$AM, 10, FALSE), 1)</f>
        <v>1.9663257880192145E-4</v>
      </c>
      <c r="J8" s="7">
        <f>$B8 * IFERROR(VLOOKUP("LULUCF|PM25|Asthma symptoms wheeze", US_national_yearly!$D:$AM, 18, FALSE) / VLOOKUP("LULUCF|PM25|Asthma symptoms wheeze", US_national_yearly!$D:$AM, 10, FALSE), 1)</f>
        <v>1.9663257880192145E-4</v>
      </c>
      <c r="K8" s="7">
        <f>$B8 * IFERROR(VLOOKUP("LULUCF|PM25|Asthma symptoms wheeze", US_national_yearly!$D:$AM, 19, FALSE) / VLOOKUP("LULUCF|PM25|Asthma symptoms wheeze", US_national_yearly!$D:$AM, 10, FALSE), 1)</f>
        <v>1.9663257880192145E-4</v>
      </c>
      <c r="L8" s="7">
        <f>$B8 * IFERROR(VLOOKUP("LULUCF|PM25|Asthma symptoms wheeze", US_national_yearly!$D:$AM, 20, FALSE) / VLOOKUP("LULUCF|PM25|Asthma symptoms wheeze", US_national_yearly!$D:$AM, 10, FALSE), 1)</f>
        <v>1.9663257880192145E-4</v>
      </c>
      <c r="M8" s="7">
        <f>$B8 * IFERROR(VLOOKUP("LULUCF|PM25|Asthma symptoms wheeze", US_national_yearly!$D:$AM, 21, FALSE) / VLOOKUP("LULUCF|PM25|Asthma symptoms wheeze", US_national_yearly!$D:$AM, 10, FALSE), 1)</f>
        <v>1.9663257880192145E-4</v>
      </c>
      <c r="N8" s="7">
        <f>$B8 * IFERROR(VLOOKUP("LULUCF|PM25|Asthma symptoms wheeze", US_national_yearly!$D:$AM, 22, FALSE) / VLOOKUP("LULUCF|PM25|Asthma symptoms wheeze", US_national_yearly!$D:$AM, 10, FALSE), 1)</f>
        <v>1.9663257880192145E-4</v>
      </c>
      <c r="O8" s="7">
        <f>$B8 * IFERROR(VLOOKUP("LULUCF|PM25|Asthma symptoms wheeze", US_national_yearly!$D:$AM, 23, FALSE) / VLOOKUP("LULUCF|PM25|Asthma symptoms wheeze", US_national_yearly!$D:$AM, 10, FALSE), 1)</f>
        <v>1.9663257880192145E-4</v>
      </c>
      <c r="P8" s="7">
        <f>$B8 * IFERROR(VLOOKUP("LULUCF|PM25|Asthma symptoms wheeze", US_national_yearly!$D:$AM, 24, FALSE) / VLOOKUP("LULUCF|PM25|Asthma symptoms wheeze", US_national_yearly!$D:$AM, 10, FALSE), 1)</f>
        <v>1.9663257880192145E-4</v>
      </c>
      <c r="Q8" s="7">
        <f>$B8 * IFERROR(VLOOKUP("LULUCF|PM25|Asthma symptoms wheeze", US_national_yearly!$D:$AM, 25, FALSE) / VLOOKUP("LULUCF|PM25|Asthma symptoms wheeze", US_national_yearly!$D:$AM, 10, FALSE), 1)</f>
        <v>1.9663257880192145E-4</v>
      </c>
      <c r="R8" s="7">
        <f>$B8 * IFERROR(VLOOKUP("LULUCF|PM25|Asthma symptoms wheeze", US_national_yearly!$D:$AM, 26, FALSE) / VLOOKUP("LULUCF|PM25|Asthma symptoms wheeze", US_national_yearly!$D:$AM, 10, FALSE), 1)</f>
        <v>1.9663257880192145E-4</v>
      </c>
      <c r="S8" s="7">
        <f>$B8 * IFERROR(VLOOKUP("LULUCF|PM25|Asthma symptoms wheeze", US_national_yearly!$D:$AM, 27, FALSE) / VLOOKUP("LULUCF|PM25|Asthma symptoms wheeze", US_national_yearly!$D:$AM, 10, FALSE), 1)</f>
        <v>1.9663257880192145E-4</v>
      </c>
      <c r="T8" s="7">
        <f>$B8 * IFERROR(VLOOKUP("LULUCF|PM25|Asthma symptoms wheeze", US_national_yearly!$D:$AM, 28, FALSE) / VLOOKUP("LULUCF|PM25|Asthma symptoms wheeze", US_national_yearly!$D:$AM, 10, FALSE), 1)</f>
        <v>1.9663257880192145E-4</v>
      </c>
      <c r="U8" s="7">
        <f>$B8 * IFERROR(VLOOKUP("LULUCF|PM25|Asthma symptoms wheeze", US_national_yearly!$D:$AM, 29, FALSE) / VLOOKUP("LULUCF|PM25|Asthma symptoms wheeze", US_national_yearly!$D:$AM, 10, FALSE), 1)</f>
        <v>1.9663257880192145E-4</v>
      </c>
      <c r="V8" s="7">
        <f>$B8 * IFERROR(VLOOKUP("LULUCF|PM25|Asthma symptoms wheeze", US_national_yearly!$D:$AM, 30, FALSE) / VLOOKUP("LULUCF|PM25|Asthma symptoms wheeze", US_national_yearly!$D:$AM, 10, FALSE), 1)</f>
        <v>1.9663257880192145E-4</v>
      </c>
      <c r="W8" s="7">
        <f>$B8 * IFERROR(VLOOKUP("LULUCF|PM25|Asthma symptoms wheeze", US_national_yearly!$D:$AM, 31, FALSE) / VLOOKUP("LULUCF|PM25|Asthma symptoms wheeze", US_national_yearly!$D:$AM, 10, FALSE), 1)</f>
        <v>1.9663257880192145E-4</v>
      </c>
      <c r="X8" s="7">
        <f>$B8 * IFERROR(VLOOKUP("LULUCF|PM25|Asthma symptoms wheeze", US_national_yearly!$D:$AM, 32, FALSE) / VLOOKUP("LULUCF|PM25|Asthma symptoms wheeze", US_national_yearly!$D:$AM, 10, FALSE), 1)</f>
        <v>1.9663257880192145E-4</v>
      </c>
      <c r="Y8" s="7">
        <f>$B8 * IFERROR(VLOOKUP("LULUCF|PM25|Asthma symptoms wheeze", US_national_yearly!$D:$AM, 33, FALSE) / VLOOKUP("LULUCF|PM25|Asthma symptoms wheeze", US_national_yearly!$D:$AM, 10, FALSE), 1)</f>
        <v>1.9663257880192145E-4</v>
      </c>
      <c r="Z8" s="7">
        <f>$B8 * IFERROR(VLOOKUP("LULUCF|PM25|Asthma symptoms wheeze", US_national_yearly!$D:$AM, 34, FALSE) / VLOOKUP("LULUCF|PM25|Asthma symptoms wheeze", US_national_yearly!$D:$AM, 10, FALSE), 1)</f>
        <v>1.9663257880192145E-4</v>
      </c>
      <c r="AA8" s="7">
        <f>$B8 * IFERROR(VLOOKUP("LULUCF|PM25|Asthma symptoms wheeze", US_national_yearly!$D:$AM, 35, FALSE) / VLOOKUP("LULUCF|PM25|Asthma symptoms wheeze", US_national_yearly!$D:$AM, 10, FALSE), 1)</f>
        <v>1.9663257880192145E-4</v>
      </c>
      <c r="AB8" s="7">
        <f>$B8 * IFERROR(VLOOKUP("LULUCF|PM25|Asthma symptoms wheeze", US_national_yearly!$D:$AM, 36, FALSE) / VLOOKUP("LULUCF|PM25|Asthma symptoms wheeze", US_national_yearly!$D:$AM, 10, FALSE), 1)</f>
        <v>1.9663257880192145E-4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2.431227399144581E-6</v>
      </c>
      <c r="C12" s="7">
        <f>$B12 * IFERROR(VLOOKUP("LULUCF|PM25|Respiratory hospital admissions", US_national_yearly!$D:$AM, 11, FALSE) / VLOOKUP("LULUCF|PM25|Respiratory hospital admissions", US_national_yearly!$D:$AM, 10, FALSE), 1)</f>
        <v>2.4451622146733715E-6</v>
      </c>
      <c r="D12" s="7">
        <f>$B12 * IFERROR(VLOOKUP("LULUCF|PM25|Respiratory hospital admissions", US_national_yearly!$D:$AM, 12, FALSE) / VLOOKUP("LULUCF|PM25|Respiratory hospital admissions", US_national_yearly!$D:$AM, 10, FALSE), 1)</f>
        <v>2.4590970302021617E-6</v>
      </c>
      <c r="E12" s="7">
        <f>$B12 * IFERROR(VLOOKUP("LULUCF|PM25|Respiratory hospital admissions", US_national_yearly!$D:$AM, 13, FALSE) / VLOOKUP("LULUCF|PM25|Respiratory hospital admissions", US_national_yearly!$D:$AM, 10, FALSE), 1)</f>
        <v>2.4730318457309522E-6</v>
      </c>
      <c r="F12" s="7">
        <f>$B12 * IFERROR(VLOOKUP("LULUCF|PM25|Respiratory hospital admissions", US_national_yearly!$D:$AM, 14, FALSE) / VLOOKUP("LULUCF|PM25|Respiratory hospital admissions", US_national_yearly!$D:$AM, 10, FALSE), 1)</f>
        <v>2.4869666612597424E-6</v>
      </c>
      <c r="G12" s="7">
        <f>$B12 * IFERROR(VLOOKUP("LULUCF|PM25|Respiratory hospital admissions", US_national_yearly!$D:$AM, 15, FALSE) / VLOOKUP("LULUCF|PM25|Respiratory hospital admissions", US_national_yearly!$D:$AM, 10, FALSE), 1)</f>
        <v>2.502016856424234E-6</v>
      </c>
      <c r="H12" s="7">
        <f>$B12 * IFERROR(VLOOKUP("LULUCF|PM25|Respiratory hospital admissions", US_national_yearly!$D:$AM, 16, FALSE) / VLOOKUP("LULUCF|PM25|Respiratory hospital admissions", US_national_yearly!$D:$AM, 10, FALSE), 1)</f>
        <v>2.5170670515887256E-6</v>
      </c>
      <c r="I12" s="7">
        <f>$B12 * IFERROR(VLOOKUP("LULUCF|PM25|Respiratory hospital admissions", US_national_yearly!$D:$AM, 17, FALSE) / VLOOKUP("LULUCF|PM25|Respiratory hospital admissions", US_national_yearly!$D:$AM, 10, FALSE), 1)</f>
        <v>2.5314469412586266E-6</v>
      </c>
      <c r="J12" s="7">
        <f>$B12 * IFERROR(VLOOKUP("LULUCF|PM25|Respiratory hospital admissions", US_national_yearly!$D:$AM, 18, FALSE) / VLOOKUP("LULUCF|PM25|Respiratory hospital admissions", US_national_yearly!$D:$AM, 10, FALSE), 1)</f>
        <v>2.5458268309285293E-6</v>
      </c>
      <c r="K12" s="7">
        <f>$B12 * IFERROR(VLOOKUP("LULUCF|PM25|Respiratory hospital admissions", US_national_yearly!$D:$AM, 19, FALSE) / VLOOKUP("LULUCF|PM25|Respiratory hospital admissions", US_national_yearly!$D:$AM, 10, FALSE), 1)</f>
        <v>2.5602067205984312E-6</v>
      </c>
      <c r="L12" s="7">
        <f>$B12 * IFERROR(VLOOKUP("LULUCF|PM25|Respiratory hospital admissions", US_national_yearly!$D:$AM, 20, FALSE) / VLOOKUP("LULUCF|PM25|Respiratory hospital admissions", US_national_yearly!$D:$AM, 10, FALSE), 1)</f>
        <v>2.5745866102683335E-6</v>
      </c>
      <c r="M12" s="7">
        <f>$B12 * IFERROR(VLOOKUP("LULUCF|PM25|Respiratory hospital admissions", US_national_yearly!$D:$AM, 21, FALSE) / VLOOKUP("LULUCF|PM25|Respiratory hospital admissions", US_national_yearly!$D:$AM, 10, FALSE), 1)</f>
        <v>2.5889664999382345E-6</v>
      </c>
      <c r="N12" s="7">
        <f>$B12 * IFERROR(VLOOKUP("LULUCF|PM25|Respiratory hospital admissions", US_national_yearly!$D:$AM, 22, FALSE) / VLOOKUP("LULUCF|PM25|Respiratory hospital admissions", US_national_yearly!$D:$AM, 10, FALSE), 1)</f>
        <v>2.5992873663858052E-6</v>
      </c>
      <c r="O12" s="7">
        <f>$B12 * IFERROR(VLOOKUP("LULUCF|PM25|Respiratory hospital admissions", US_national_yearly!$D:$AM, 23, FALSE) / VLOOKUP("LULUCF|PM25|Respiratory hospital admissions", US_national_yearly!$D:$AM, 10, FALSE), 1)</f>
        <v>2.6096082328333747E-6</v>
      </c>
      <c r="P12" s="7">
        <f>$B12 * IFERROR(VLOOKUP("LULUCF|PM25|Respiratory hospital admissions", US_national_yearly!$D:$AM, 24, FALSE) / VLOOKUP("LULUCF|PM25|Respiratory hospital admissions", US_national_yearly!$D:$AM, 10, FALSE), 1)</f>
        <v>2.6199290992809442E-6</v>
      </c>
      <c r="Q12" s="7">
        <f>$B12 * IFERROR(VLOOKUP("LULUCF|PM25|Respiratory hospital admissions", US_national_yearly!$D:$AM, 25, FALSE) / VLOOKUP("LULUCF|PM25|Respiratory hospital admissions", US_national_yearly!$D:$AM, 10, FALSE), 1)</f>
        <v>2.6302499657285137E-6</v>
      </c>
      <c r="R12" s="7">
        <f>$B12 * IFERROR(VLOOKUP("LULUCF|PM25|Respiratory hospital admissions", US_national_yearly!$D:$AM, 26, FALSE) / VLOOKUP("LULUCF|PM25|Respiratory hospital admissions", US_national_yearly!$D:$AM, 10, FALSE), 1)</f>
        <v>2.640570832176084E-6</v>
      </c>
      <c r="S12" s="7">
        <f>$B12 * IFERROR(VLOOKUP("LULUCF|PM25|Respiratory hospital admissions", US_national_yearly!$D:$AM, 27, FALSE) / VLOOKUP("LULUCF|PM25|Respiratory hospital admissions", US_national_yearly!$D:$AM, 10, FALSE), 1)</f>
        <v>2.6503976569927599E-6</v>
      </c>
      <c r="T12" s="7">
        <f>$B12 * IFERROR(VLOOKUP("LULUCF|PM25|Respiratory hospital admissions", US_national_yearly!$D:$AM, 28, FALSE) / VLOOKUP("LULUCF|PM25|Respiratory hospital admissions", US_national_yearly!$D:$AM, 10, FALSE), 1)</f>
        <v>2.6602244818094367E-6</v>
      </c>
      <c r="U12" s="7">
        <f>$B12 * IFERROR(VLOOKUP("LULUCF|PM25|Respiratory hospital admissions", US_national_yearly!$D:$AM, 29, FALSE) / VLOOKUP("LULUCF|PM25|Respiratory hospital admissions", US_national_yearly!$D:$AM, 10, FALSE), 1)</f>
        <v>2.6700513066261126E-6</v>
      </c>
      <c r="V12" s="7">
        <f>$B12 * IFERROR(VLOOKUP("LULUCF|PM25|Respiratory hospital admissions", US_national_yearly!$D:$AM, 30, FALSE) / VLOOKUP("LULUCF|PM25|Respiratory hospital admissions", US_national_yearly!$D:$AM, 10, FALSE), 1)</f>
        <v>2.6798781314427885E-6</v>
      </c>
      <c r="W12" s="7">
        <f>$B12 * IFERROR(VLOOKUP("LULUCF|PM25|Respiratory hospital admissions", US_national_yearly!$D:$AM, 31, FALSE) / VLOOKUP("LULUCF|PM25|Respiratory hospital admissions", US_national_yearly!$D:$AM, 10, FALSE), 1)</f>
        <v>2.6897049562594644E-6</v>
      </c>
      <c r="X12" s="7">
        <f>$B12 * IFERROR(VLOOKUP("LULUCF|PM25|Respiratory hospital admissions", US_national_yearly!$D:$AM, 32, FALSE) / VLOOKUP("LULUCF|PM25|Respiratory hospital admissions", US_national_yearly!$D:$AM, 10, FALSE), 1)</f>
        <v>2.6991584870857564E-6</v>
      </c>
      <c r="Y12" s="7">
        <f>$B12 * IFERROR(VLOOKUP("LULUCF|PM25|Respiratory hospital admissions", US_national_yearly!$D:$AM, 33, FALSE) / VLOOKUP("LULUCF|PM25|Respiratory hospital admissions", US_national_yearly!$D:$AM, 10, FALSE), 1)</f>
        <v>2.7086120179120475E-6</v>
      </c>
      <c r="Z12" s="7">
        <f>$B12 * IFERROR(VLOOKUP("LULUCF|PM25|Respiratory hospital admissions", US_national_yearly!$D:$AM, 34, FALSE) / VLOOKUP("LULUCF|PM25|Respiratory hospital admissions", US_national_yearly!$D:$AM, 10, FALSE), 1)</f>
        <v>2.7180655487383385E-6</v>
      </c>
      <c r="AA12" s="7">
        <f>$B12 * IFERROR(VLOOKUP("LULUCF|PM25|Respiratory hospital admissions", US_national_yearly!$D:$AM, 35, FALSE) / VLOOKUP("LULUCF|PM25|Respiratory hospital admissions", US_national_yearly!$D:$AM, 10, FALSE), 1)</f>
        <v>2.7275190795646296E-6</v>
      </c>
      <c r="AB12" s="7">
        <f>$B12 * IFERROR(VLOOKUP("LULUCF|PM25|Respiratory hospital admissions", US_national_yearly!$D:$AM, 36, FALSE) / VLOOKUP("LULUCF|PM25|Respiratory hospital admissions", US_national_yearly!$D:$AM, 10, FALSE), 1)</f>
        <v>2.7369726103909211E-6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1.4395093490462715E-5</v>
      </c>
      <c r="C13" s="7">
        <f>$B13 * IFERROR(VLOOKUP("LULUCF|PM25|Non-fatal heart attacks", US_national_yearly!$D:$AM, 11, FALSE) / VLOOKUP("LULUCF|PM25|Non-fatal heart attacks", US_national_yearly!$D:$AM, 10, FALSE), 1)</f>
        <v>1.4813597058436579E-5</v>
      </c>
      <c r="D13" s="7">
        <f>$B13 * IFERROR(VLOOKUP("LULUCF|PM25|Non-fatal heart attacks", US_national_yearly!$D:$AM, 12, FALSE) / VLOOKUP("LULUCF|PM25|Non-fatal heart attacks", US_national_yearly!$D:$AM, 10, FALSE), 1)</f>
        <v>1.5232100626410442E-5</v>
      </c>
      <c r="E13" s="7">
        <f>$B13 * IFERROR(VLOOKUP("LULUCF|PM25|Non-fatal heart attacks", US_national_yearly!$D:$AM, 13, FALSE) / VLOOKUP("LULUCF|PM25|Non-fatal heart attacks", US_national_yearly!$D:$AM, 10, FALSE), 1)</f>
        <v>1.5650604194384303E-5</v>
      </c>
      <c r="F13" s="7">
        <f>$B13 * IFERROR(VLOOKUP("LULUCF|PM25|Non-fatal heart attacks", US_national_yearly!$D:$AM, 14, FALSE) / VLOOKUP("LULUCF|PM25|Non-fatal heart attacks", US_national_yearly!$D:$AM, 10, FALSE), 1)</f>
        <v>1.6069107762358171E-5</v>
      </c>
      <c r="G13" s="7">
        <f>$B13 * IFERROR(VLOOKUP("LULUCF|PM25|Non-fatal heart attacks", US_national_yearly!$D:$AM, 15, FALSE) / VLOOKUP("LULUCF|PM25|Non-fatal heart attacks", US_national_yearly!$D:$AM, 10, FALSE), 1)</f>
        <v>1.6463783084240161E-5</v>
      </c>
      <c r="H13" s="7">
        <f>$B13 * IFERROR(VLOOKUP("LULUCF|PM25|Non-fatal heart attacks", US_national_yearly!$D:$AM, 16, FALSE) / VLOOKUP("LULUCF|PM25|Non-fatal heart attacks", US_national_yearly!$D:$AM, 10, FALSE), 1)</f>
        <v>1.6858458406122147E-5</v>
      </c>
      <c r="I13" s="7">
        <f>$B13 * IFERROR(VLOOKUP("LULUCF|PM25|Non-fatal heart attacks", US_national_yearly!$D:$AM, 17, FALSE) / VLOOKUP("LULUCF|PM25|Non-fatal heart attacks", US_national_yearly!$D:$AM, 10, FALSE), 1)</f>
        <v>1.7175646034726326E-5</v>
      </c>
      <c r="J13" s="7">
        <f>$B13 * IFERROR(VLOOKUP("LULUCF|PM25|Non-fatal heart attacks", US_national_yearly!$D:$AM, 18, FALSE) / VLOOKUP("LULUCF|PM25|Non-fatal heart attacks", US_national_yearly!$D:$AM, 10, FALSE), 1)</f>
        <v>1.7492833663330505E-5</v>
      </c>
      <c r="K13" s="7">
        <f>$B13 * IFERROR(VLOOKUP("LULUCF|PM25|Non-fatal heart attacks", US_national_yearly!$D:$AM, 19, FALSE) / VLOOKUP("LULUCF|PM25|Non-fatal heart attacks", US_national_yearly!$D:$AM, 10, FALSE), 1)</f>
        <v>1.7810021291934687E-5</v>
      </c>
      <c r="L13" s="7">
        <f>$B13 * IFERROR(VLOOKUP("LULUCF|PM25|Non-fatal heart attacks", US_national_yearly!$D:$AM, 20, FALSE) / VLOOKUP("LULUCF|PM25|Non-fatal heart attacks", US_national_yearly!$D:$AM, 10, FALSE), 1)</f>
        <v>1.8127208920538866E-5</v>
      </c>
      <c r="M13" s="7">
        <f>$B13 * IFERROR(VLOOKUP("LULUCF|PM25|Non-fatal heart attacks", US_national_yearly!$D:$AM, 21, FALSE) / VLOOKUP("LULUCF|PM25|Non-fatal heart attacks", US_national_yearly!$D:$AM, 10, FALSE), 1)</f>
        <v>1.8444396549143049E-5</v>
      </c>
      <c r="N13" s="7">
        <f>$B13 * IFERROR(VLOOKUP("LULUCF|PM25|Non-fatal heart attacks", US_national_yearly!$D:$AM, 22, FALSE) / VLOOKUP("LULUCF|PM25|Non-fatal heart attacks", US_national_yearly!$D:$AM, 10, FALSE), 1)</f>
        <v>1.8648951248748209E-5</v>
      </c>
      <c r="O13" s="7">
        <f>$B13 * IFERROR(VLOOKUP("LULUCF|PM25|Non-fatal heart attacks", US_national_yearly!$D:$AM, 23, FALSE) / VLOOKUP("LULUCF|PM25|Non-fatal heart attacks", US_national_yearly!$D:$AM, 10, FALSE), 1)</f>
        <v>1.8853505948353377E-5</v>
      </c>
      <c r="P13" s="7">
        <f>$B13 * IFERROR(VLOOKUP("LULUCF|PM25|Non-fatal heart attacks", US_national_yearly!$D:$AM, 24, FALSE) / VLOOKUP("LULUCF|PM25|Non-fatal heart attacks", US_national_yearly!$D:$AM, 10, FALSE), 1)</f>
        <v>1.9058060647958541E-5</v>
      </c>
      <c r="Q13" s="7">
        <f>$B13 * IFERROR(VLOOKUP("LULUCF|PM25|Non-fatal heart attacks", US_national_yearly!$D:$AM, 25, FALSE) / VLOOKUP("LULUCF|PM25|Non-fatal heart attacks", US_national_yearly!$D:$AM, 10, FALSE), 1)</f>
        <v>1.9262615347563702E-5</v>
      </c>
      <c r="R13" s="7">
        <f>$B13 * IFERROR(VLOOKUP("LULUCF|PM25|Non-fatal heart attacks", US_national_yearly!$D:$AM, 26, FALSE) / VLOOKUP("LULUCF|PM25|Non-fatal heart attacks", US_national_yearly!$D:$AM, 10, FALSE), 1)</f>
        <v>1.9467170047168866E-5</v>
      </c>
      <c r="S13" s="7">
        <f>$B13 * IFERROR(VLOOKUP("LULUCF|PM25|Non-fatal heart attacks", US_national_yearly!$D:$AM, 27, FALSE) / VLOOKUP("LULUCF|PM25|Non-fatal heart attacks", US_national_yearly!$D:$AM, 10, FALSE), 1)</f>
        <v>1.9574894396064114E-5</v>
      </c>
      <c r="T13" s="7">
        <f>$B13 * IFERROR(VLOOKUP("LULUCF|PM25|Non-fatal heart attacks", US_national_yearly!$D:$AM, 28, FALSE) / VLOOKUP("LULUCF|PM25|Non-fatal heart attacks", US_national_yearly!$D:$AM, 10, FALSE), 1)</f>
        <v>1.9682618744959364E-5</v>
      </c>
      <c r="U13" s="7">
        <f>$B13 * IFERROR(VLOOKUP("LULUCF|PM25|Non-fatal heart attacks", US_national_yearly!$D:$AM, 29, FALSE) / VLOOKUP("LULUCF|PM25|Non-fatal heart attacks", US_national_yearly!$D:$AM, 10, FALSE), 1)</f>
        <v>1.9790343093854615E-5</v>
      </c>
      <c r="V13" s="7">
        <f>$B13 * IFERROR(VLOOKUP("LULUCF|PM25|Non-fatal heart attacks", US_national_yearly!$D:$AM, 30, FALSE) / VLOOKUP("LULUCF|PM25|Non-fatal heart attacks", US_national_yearly!$D:$AM, 10, FALSE), 1)</f>
        <v>1.9898067442749866E-5</v>
      </c>
      <c r="W13" s="7">
        <f>$B13 * IFERROR(VLOOKUP("LULUCF|PM25|Non-fatal heart attacks", US_national_yearly!$D:$AM, 31, FALSE) / VLOOKUP("LULUCF|PM25|Non-fatal heart attacks", US_national_yearly!$D:$AM, 10, FALSE), 1)</f>
        <v>2.0005791791645113E-5</v>
      </c>
      <c r="X13" s="7">
        <f>$B13 * IFERROR(VLOOKUP("LULUCF|PM25|Non-fatal heart attacks", US_national_yearly!$D:$AM, 32, FALSE) / VLOOKUP("LULUCF|PM25|Non-fatal heart attacks", US_national_yearly!$D:$AM, 10, FALSE), 1)</f>
        <v>2.0087570149077326E-5</v>
      </c>
      <c r="Y13" s="7">
        <f>$B13 * IFERROR(VLOOKUP("LULUCF|PM25|Non-fatal heart attacks", US_national_yearly!$D:$AM, 33, FALSE) / VLOOKUP("LULUCF|PM25|Non-fatal heart attacks", US_national_yearly!$D:$AM, 10, FALSE), 1)</f>
        <v>2.0169348506509543E-5</v>
      </c>
      <c r="Z13" s="7">
        <f>$B13 * IFERROR(VLOOKUP("LULUCF|PM25|Non-fatal heart attacks", US_national_yearly!$D:$AM, 34, FALSE) / VLOOKUP("LULUCF|PM25|Non-fatal heart attacks", US_national_yearly!$D:$AM, 10, FALSE), 1)</f>
        <v>2.0251126863941759E-5</v>
      </c>
      <c r="AA13" s="7">
        <f>$B13 * IFERROR(VLOOKUP("LULUCF|PM25|Non-fatal heart attacks", US_national_yearly!$D:$AM, 35, FALSE) / VLOOKUP("LULUCF|PM25|Non-fatal heart attacks", US_national_yearly!$D:$AM, 10, FALSE), 1)</f>
        <v>2.0332905221373975E-5</v>
      </c>
      <c r="AB13" s="7">
        <f>$B13 * IFERROR(VLOOKUP("LULUCF|PM25|Non-fatal heart attacks", US_national_yearly!$D:$AM, 36, FALSE) / VLOOKUP("LULUCF|PM25|Non-fatal heart attacks", US_national_yearly!$D:$AM, 10, FALSE), 1)</f>
        <v>2.0414683578806188E-5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1.1946862440554127E-2</v>
      </c>
      <c r="C14" s="7">
        <f>$B14 * IFERROR(VLOOKUP("LULUCF|PM25|Minor restricted activity days", US_national_yearly!$D:$AM, 11, FALSE) / VLOOKUP("LULUCF|PM25|Minor restricted activity days", US_national_yearly!$D:$AM, 10, FALSE), 1)</f>
        <v>1.1976038095422937E-2</v>
      </c>
      <c r="D14" s="7">
        <f>$B14 * IFERROR(VLOOKUP("LULUCF|PM25|Minor restricted activity days", US_national_yearly!$D:$AM, 12, FALSE) / VLOOKUP("LULUCF|PM25|Minor restricted activity days", US_national_yearly!$D:$AM, 10, FALSE), 1)</f>
        <v>1.2005213750291744E-2</v>
      </c>
      <c r="E14" s="7">
        <f>$B14 * IFERROR(VLOOKUP("LULUCF|PM25|Minor restricted activity days", US_national_yearly!$D:$AM, 13, FALSE) / VLOOKUP("LULUCF|PM25|Minor restricted activity days", US_national_yearly!$D:$AM, 10, FALSE), 1)</f>
        <v>1.2034389405160557E-2</v>
      </c>
      <c r="F14" s="7">
        <f>$B14 * IFERROR(VLOOKUP("LULUCF|PM25|Minor restricted activity days", US_national_yearly!$D:$AM, 14, FALSE) / VLOOKUP("LULUCF|PM25|Minor restricted activity days", US_national_yearly!$D:$AM, 10, FALSE), 1)</f>
        <v>1.2063565060029363E-2</v>
      </c>
      <c r="G14" s="7">
        <f>$B14 * IFERROR(VLOOKUP("LULUCF|PM25|Minor restricted activity days", US_national_yearly!$D:$AM, 15, FALSE) / VLOOKUP("LULUCF|PM25|Minor restricted activity days", US_national_yearly!$D:$AM, 10, FALSE), 1)</f>
        <v>1.2106612865636607E-2</v>
      </c>
      <c r="H14" s="7">
        <f>$B14 * IFERROR(VLOOKUP("LULUCF|PM25|Minor restricted activity days", US_national_yearly!$D:$AM, 16, FALSE) / VLOOKUP("LULUCF|PM25|Minor restricted activity days", US_national_yearly!$D:$AM, 10, FALSE), 1)</f>
        <v>1.214966067124385E-2</v>
      </c>
      <c r="I14" s="7">
        <f>$B14 * IFERROR(VLOOKUP("LULUCF|PM25|Minor restricted activity days", US_national_yearly!$D:$AM, 17, FALSE) / VLOOKUP("LULUCF|PM25|Minor restricted activity days", US_national_yearly!$D:$AM, 10, FALSE), 1)</f>
        <v>1.2223252705986376E-2</v>
      </c>
      <c r="J14" s="7">
        <f>$B14 * IFERROR(VLOOKUP("LULUCF|PM25|Minor restricted activity days", US_national_yearly!$D:$AM, 18, FALSE) / VLOOKUP("LULUCF|PM25|Minor restricted activity days", US_national_yearly!$D:$AM, 10, FALSE), 1)</f>
        <v>1.2296844740728896E-2</v>
      </c>
      <c r="K14" s="7">
        <f>$B14 * IFERROR(VLOOKUP("LULUCF|PM25|Minor restricted activity days", US_national_yearly!$D:$AM, 19, FALSE) / VLOOKUP("LULUCF|PM25|Minor restricted activity days", US_national_yearly!$D:$AM, 10, FALSE), 1)</f>
        <v>1.2370436775471423E-2</v>
      </c>
      <c r="L14" s="7">
        <f>$B14 * IFERROR(VLOOKUP("LULUCF|PM25|Minor restricted activity days", US_national_yearly!$D:$AM, 20, FALSE) / VLOOKUP("LULUCF|PM25|Minor restricted activity days", US_national_yearly!$D:$AM, 10, FALSE), 1)</f>
        <v>1.2444028810213947E-2</v>
      </c>
      <c r="M14" s="7">
        <f>$B14 * IFERROR(VLOOKUP("LULUCF|PM25|Minor restricted activity days", US_national_yearly!$D:$AM, 21, FALSE) / VLOOKUP("LULUCF|PM25|Minor restricted activity days", US_national_yearly!$D:$AM, 10, FALSE), 1)</f>
        <v>1.251762084495647E-2</v>
      </c>
      <c r="N14" s="7">
        <f>$B14 * IFERROR(VLOOKUP("LULUCF|PM25|Minor restricted activity days", US_national_yearly!$D:$AM, 22, FALSE) / VLOOKUP("LULUCF|PM25|Minor restricted activity days", US_national_yearly!$D:$AM, 10, FALSE), 1)</f>
        <v>1.2617867848423848E-2</v>
      </c>
      <c r="O14" s="7">
        <f>$B14 * IFERROR(VLOOKUP("LULUCF|PM25|Minor restricted activity days", US_national_yearly!$D:$AM, 23, FALSE) / VLOOKUP("LULUCF|PM25|Minor restricted activity days", US_national_yearly!$D:$AM, 10, FALSE), 1)</f>
        <v>1.2718114851891223E-2</v>
      </c>
      <c r="P14" s="7">
        <f>$B14 * IFERROR(VLOOKUP("LULUCF|PM25|Minor restricted activity days", US_national_yearly!$D:$AM, 24, FALSE) / VLOOKUP("LULUCF|PM25|Minor restricted activity days", US_national_yearly!$D:$AM, 10, FALSE), 1)</f>
        <v>1.28183618553586E-2</v>
      </c>
      <c r="Q14" s="7">
        <f>$B14 * IFERROR(VLOOKUP("LULUCF|PM25|Minor restricted activity days", US_national_yearly!$D:$AM, 25, FALSE) / VLOOKUP("LULUCF|PM25|Minor restricted activity days", US_national_yearly!$D:$AM, 10, FALSE), 1)</f>
        <v>1.2918608858825975E-2</v>
      </c>
      <c r="R14" s="7">
        <f>$B14 * IFERROR(VLOOKUP("LULUCF|PM25|Minor restricted activity days", US_national_yearly!$D:$AM, 26, FALSE) / VLOOKUP("LULUCF|PM25|Minor restricted activity days", US_national_yearly!$D:$AM, 10, FALSE), 1)</f>
        <v>1.3018855862293351E-2</v>
      </c>
      <c r="S14" s="7">
        <f>$B14 * IFERROR(VLOOKUP("LULUCF|PM25|Minor restricted activity days", US_national_yearly!$D:$AM, 27, FALSE) / VLOOKUP("LULUCF|PM25|Minor restricted activity days", US_national_yearly!$D:$AM, 10, FALSE), 1)</f>
        <v>1.311979323402473E-2</v>
      </c>
      <c r="T14" s="7">
        <f>$B14 * IFERROR(VLOOKUP("LULUCF|PM25|Minor restricted activity days", US_national_yearly!$D:$AM, 28, FALSE) / VLOOKUP("LULUCF|PM25|Minor restricted activity days", US_national_yearly!$D:$AM, 10, FALSE), 1)</f>
        <v>1.3220730605756108E-2</v>
      </c>
      <c r="U14" s="7">
        <f>$B14 * IFERROR(VLOOKUP("LULUCF|PM25|Minor restricted activity days", US_national_yearly!$D:$AM, 29, FALSE) / VLOOKUP("LULUCF|PM25|Minor restricted activity days", US_national_yearly!$D:$AM, 10, FALSE), 1)</f>
        <v>1.3321667977487487E-2</v>
      </c>
      <c r="V14" s="7">
        <f>$B14 * IFERROR(VLOOKUP("LULUCF|PM25|Minor restricted activity days", US_national_yearly!$D:$AM, 30, FALSE) / VLOOKUP("LULUCF|PM25|Minor restricted activity days", US_national_yearly!$D:$AM, 10, FALSE), 1)</f>
        <v>1.3422605349218865E-2</v>
      </c>
      <c r="W14" s="7">
        <f>$B14 * IFERROR(VLOOKUP("LULUCF|PM25|Minor restricted activity days", US_national_yearly!$D:$AM, 31, FALSE) / VLOOKUP("LULUCF|PM25|Minor restricted activity days", US_national_yearly!$D:$AM, 10, FALSE), 1)</f>
        <v>1.3523542720950243E-2</v>
      </c>
      <c r="X14" s="7">
        <f>$B14 * IFERROR(VLOOKUP("LULUCF|PM25|Minor restricted activity days", US_national_yearly!$D:$AM, 32, FALSE) / VLOOKUP("LULUCF|PM25|Minor restricted activity days", US_national_yearly!$D:$AM, 10, FALSE), 1)</f>
        <v>1.3611166514105877E-2</v>
      </c>
      <c r="Y14" s="7">
        <f>$B14 * IFERROR(VLOOKUP("LULUCF|PM25|Minor restricted activity days", US_national_yearly!$D:$AM, 33, FALSE) / VLOOKUP("LULUCF|PM25|Minor restricted activity days", US_national_yearly!$D:$AM, 10, FALSE), 1)</f>
        <v>1.3698790307261512E-2</v>
      </c>
      <c r="Z14" s="7">
        <f>$B14 * IFERROR(VLOOKUP("LULUCF|PM25|Minor restricted activity days", US_national_yearly!$D:$AM, 34, FALSE) / VLOOKUP("LULUCF|PM25|Minor restricted activity days", US_national_yearly!$D:$AM, 10, FALSE), 1)</f>
        <v>1.3786414100417145E-2</v>
      </c>
      <c r="AA14" s="7">
        <f>$B14 * IFERROR(VLOOKUP("LULUCF|PM25|Minor restricted activity days", US_national_yearly!$D:$AM, 35, FALSE) / VLOOKUP("LULUCF|PM25|Minor restricted activity days", US_national_yearly!$D:$AM, 10, FALSE), 1)</f>
        <v>1.3874037893572775E-2</v>
      </c>
      <c r="AB14" s="7">
        <f>$B14 * IFERROR(VLOOKUP("LULUCF|PM25|Minor restricted activity days", US_national_yearly!$D:$AM, 36, FALSE) / VLOOKUP("LULUCF|PM25|Minor restricted activity days", US_national_yearly!$D:$AM, 10, FALSE), 1)</f>
        <v>1.396166168672841E-2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2.0394777334585361E-3</v>
      </c>
      <c r="C15" s="7">
        <f>$B15 * IFERROR(VLOOKUP("LULUCF|PM25|Work loss days", US_national_yearly!$D:$AM, 11, FALSE) / VLOOKUP("LULUCF|PM25|Work loss days", US_national_yearly!$D:$AM, 10, FALSE), 1)</f>
        <v>2.0457993798719404E-3</v>
      </c>
      <c r="D15" s="7">
        <f>$B15 * IFERROR(VLOOKUP("LULUCF|PM25|Work loss days", US_national_yearly!$D:$AM, 12, FALSE) / VLOOKUP("LULUCF|PM25|Work loss days", US_national_yearly!$D:$AM, 10, FALSE), 1)</f>
        <v>2.0521210262853451E-3</v>
      </c>
      <c r="E15" s="7">
        <f>$B15 * IFERROR(VLOOKUP("LULUCF|PM25|Work loss days", US_national_yearly!$D:$AM, 13, FALSE) / VLOOKUP("LULUCF|PM25|Work loss days", US_national_yearly!$D:$AM, 10, FALSE), 1)</f>
        <v>2.0584426726987493E-3</v>
      </c>
      <c r="F15" s="7">
        <f>$B15 * IFERROR(VLOOKUP("LULUCF|PM25|Work loss days", US_national_yearly!$D:$AM, 14, FALSE) / VLOOKUP("LULUCF|PM25|Work loss days", US_national_yearly!$D:$AM, 10, FALSE), 1)</f>
        <v>2.0647643191121536E-3</v>
      </c>
      <c r="G15" s="7">
        <f>$B15 * IFERROR(VLOOKUP("LULUCF|PM25|Work loss days", US_national_yearly!$D:$AM, 15, FALSE) / VLOOKUP("LULUCF|PM25|Work loss days", US_national_yearly!$D:$AM, 10, FALSE), 1)</f>
        <v>2.073052400950447E-3</v>
      </c>
      <c r="H15" s="7">
        <f>$B15 * IFERROR(VLOOKUP("LULUCF|PM25|Work loss days", US_national_yearly!$D:$AM, 16, FALSE) / VLOOKUP("LULUCF|PM25|Work loss days", US_national_yearly!$D:$AM, 10, FALSE), 1)</f>
        <v>2.0813404827887409E-3</v>
      </c>
      <c r="I15" s="7">
        <f>$B15 * IFERROR(VLOOKUP("LULUCF|PM25|Work loss days", US_national_yearly!$D:$AM, 17, FALSE) / VLOOKUP("LULUCF|PM25|Work loss days", US_national_yearly!$D:$AM, 10, FALSE), 1)</f>
        <v>2.0935455948595462E-3</v>
      </c>
      <c r="J15" s="7">
        <f>$B15 * IFERROR(VLOOKUP("LULUCF|PM25|Work loss days", US_national_yearly!$D:$AM, 18, FALSE) / VLOOKUP("LULUCF|PM25|Work loss days", US_national_yearly!$D:$AM, 10, FALSE), 1)</f>
        <v>2.1057507069303515E-3</v>
      </c>
      <c r="K15" s="7">
        <f>$B15 * IFERROR(VLOOKUP("LULUCF|PM25|Work loss days", US_national_yearly!$D:$AM, 19, FALSE) / VLOOKUP("LULUCF|PM25|Work loss days", US_national_yearly!$D:$AM, 10, FALSE), 1)</f>
        <v>2.1179558190011563E-3</v>
      </c>
      <c r="L15" s="7">
        <f>$B15 * IFERROR(VLOOKUP("LULUCF|PM25|Work loss days", US_national_yearly!$D:$AM, 20, FALSE) / VLOOKUP("LULUCF|PM25|Work loss days", US_national_yearly!$D:$AM, 10, FALSE), 1)</f>
        <v>2.1301609310719616E-3</v>
      </c>
      <c r="M15" s="7">
        <f>$B15 * IFERROR(VLOOKUP("LULUCF|PM25|Work loss days", US_national_yearly!$D:$AM, 21, FALSE) / VLOOKUP("LULUCF|PM25|Work loss days", US_national_yearly!$D:$AM, 10, FALSE), 1)</f>
        <v>2.1423660431427669E-3</v>
      </c>
      <c r="N15" s="7">
        <f>$B15 * IFERROR(VLOOKUP("LULUCF|PM25|Work loss days", US_national_yearly!$D:$AM, 22, FALSE) / VLOOKUP("LULUCF|PM25|Work loss days", US_national_yearly!$D:$AM, 10, FALSE), 1)</f>
        <v>2.1577271004741749E-3</v>
      </c>
      <c r="O15" s="7">
        <f>$B15 * IFERROR(VLOOKUP("LULUCF|PM25|Work loss days", US_national_yearly!$D:$AM, 23, FALSE) / VLOOKUP("LULUCF|PM25|Work loss days", US_national_yearly!$D:$AM, 10, FALSE), 1)</f>
        <v>2.1730881578055821E-3</v>
      </c>
      <c r="P15" s="7">
        <f>$B15 * IFERROR(VLOOKUP("LULUCF|PM25|Work loss days", US_national_yearly!$D:$AM, 24, FALSE) / VLOOKUP("LULUCF|PM25|Work loss days", US_national_yearly!$D:$AM, 10, FALSE), 1)</f>
        <v>2.1884492151369901E-3</v>
      </c>
      <c r="Q15" s="7">
        <f>$B15 * IFERROR(VLOOKUP("LULUCF|PM25|Work loss days", US_national_yearly!$D:$AM, 25, FALSE) / VLOOKUP("LULUCF|PM25|Work loss days", US_national_yearly!$D:$AM, 10, FALSE), 1)</f>
        <v>2.2038102724683977E-3</v>
      </c>
      <c r="R15" s="7">
        <f>$B15 * IFERROR(VLOOKUP("LULUCF|PM25|Work loss days", US_national_yearly!$D:$AM, 26, FALSE) / VLOOKUP("LULUCF|PM25|Work loss days", US_national_yearly!$D:$AM, 10, FALSE), 1)</f>
        <v>2.2191713297998058E-3</v>
      </c>
      <c r="S15" s="7">
        <f>$B15 * IFERROR(VLOOKUP("LULUCF|PM25|Work loss days", US_national_yearly!$D:$AM, 27, FALSE) / VLOOKUP("LULUCF|PM25|Work loss days", US_national_yearly!$D:$AM, 10, FALSE), 1)</f>
        <v>2.2361613150249232E-3</v>
      </c>
      <c r="T15" s="7">
        <f>$B15 * IFERROR(VLOOKUP("LULUCF|PM25|Work loss days", US_national_yearly!$D:$AM, 28, FALSE) / VLOOKUP("LULUCF|PM25|Work loss days", US_national_yearly!$D:$AM, 10, FALSE), 1)</f>
        <v>2.2531513002500415E-3</v>
      </c>
      <c r="U15" s="7">
        <f>$B15 * IFERROR(VLOOKUP("LULUCF|PM25|Work loss days", US_national_yearly!$D:$AM, 29, FALSE) / VLOOKUP("LULUCF|PM25|Work loss days", US_national_yearly!$D:$AM, 10, FALSE), 1)</f>
        <v>2.2701412854751585E-3</v>
      </c>
      <c r="V15" s="7">
        <f>$B15 * IFERROR(VLOOKUP("LULUCF|PM25|Work loss days", US_national_yearly!$D:$AM, 30, FALSE) / VLOOKUP("LULUCF|PM25|Work loss days", US_national_yearly!$D:$AM, 10, FALSE), 1)</f>
        <v>2.2871312707002764E-3</v>
      </c>
      <c r="W15" s="7">
        <f>$B15 * IFERROR(VLOOKUP("LULUCF|PM25|Work loss days", US_national_yearly!$D:$AM, 31, FALSE) / VLOOKUP("LULUCF|PM25|Work loss days", US_national_yearly!$D:$AM, 10, FALSE), 1)</f>
        <v>2.3041212559253943E-3</v>
      </c>
      <c r="X15" s="7">
        <f>$B15 * IFERROR(VLOOKUP("LULUCF|PM25|Work loss days", US_national_yearly!$D:$AM, 32, FALSE) / VLOOKUP("LULUCF|PM25|Work loss days", US_national_yearly!$D:$AM, 10, FALSE), 1)</f>
        <v>2.3191959550806331E-3</v>
      </c>
      <c r="Y15" s="7">
        <f>$B15 * IFERROR(VLOOKUP("LULUCF|PM25|Work loss days", US_national_yearly!$D:$AM, 33, FALSE) / VLOOKUP("LULUCF|PM25|Work loss days", US_national_yearly!$D:$AM, 10, FALSE), 1)</f>
        <v>2.3342706542358719E-3</v>
      </c>
      <c r="Z15" s="7">
        <f>$B15 * IFERROR(VLOOKUP("LULUCF|PM25|Work loss days", US_national_yearly!$D:$AM, 34, FALSE) / VLOOKUP("LULUCF|PM25|Work loss days", US_national_yearly!$D:$AM, 10, FALSE), 1)</f>
        <v>2.3493453533911112E-3</v>
      </c>
      <c r="AA15" s="7">
        <f>$B15 * IFERROR(VLOOKUP("LULUCF|PM25|Work loss days", US_national_yearly!$D:$AM, 35, FALSE) / VLOOKUP("LULUCF|PM25|Work loss days", US_national_yearly!$D:$AM, 10, FALSE), 1)</f>
        <v>2.3644200525463504E-3</v>
      </c>
      <c r="AB15" s="7">
        <f>$B15 * IFERROR(VLOOKUP("LULUCF|PM25|Work loss days", US_national_yearly!$D:$AM, 36, FALSE) / VLOOKUP("LULUCF|PM25|Work loss days", US_national_yearly!$D:$AM, 10, FALSE), 1)</f>
        <v>2.3794947517015897E-3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2.9239973363944238E-6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3.0113684157585192E-6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3.0987394951226155E-6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3.1861105744867114E-6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3.2734816538508077E-6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3.3571675410696156E-6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3.4408534282884249E-6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3.5124261935773394E-6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3.5839989588662535E-6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3.6555717241551677E-6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3.7271444894440826E-6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3.7987172547329968E-6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3.8464364514527632E-6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3.8941556481725304E-6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3.9418748448922968E-6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3.9895940416120632E-6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4.0373132383318296E-6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4.0625611485117917E-6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4.0878090586917537E-6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4.113056968871714E-6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4.1383048790516761E-6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4.1635527892316372E-6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4.1805500144750436E-6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4.1975472397184499E-6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4.2145444649618563E-6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4.2315416902052618E-6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4.2485389154486682E-6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2.8128268090814884E-5</v>
      </c>
      <c r="C2" s="7">
        <f>$B2 * IFERROR(VLOOKUP("LULUCF|NOx|Premature mortality", US_national_yearly!$D:$AM, 11, FALSE) / VLOOKUP("LULUCF|NOx|Premature mortality", US_national_yearly!$D:$AM, 10, FALSE), 1)</f>
        <v>2.8541424805171756E-5</v>
      </c>
      <c r="D2" s="7">
        <f>$B2 * IFERROR(VLOOKUP("LULUCF|NOx|Premature mortality", US_national_yearly!$D:$AM, 12, FALSE) / VLOOKUP("LULUCF|NOx|Premature mortality", US_national_yearly!$D:$AM, 10, FALSE), 1)</f>
        <v>2.8954581519528621E-5</v>
      </c>
      <c r="E2" s="7">
        <f>$B2 * IFERROR(VLOOKUP("LULUCF|NOx|Premature mortality", US_national_yearly!$D:$AM, 13, FALSE) / VLOOKUP("LULUCF|NOx|Premature mortality", US_national_yearly!$D:$AM, 10, FALSE), 1)</f>
        <v>2.9367738233885493E-5</v>
      </c>
      <c r="F2" s="7">
        <f>$B2 * IFERROR(VLOOKUP("LULUCF|NOx|Premature mortality", US_national_yearly!$D:$AM, 14, FALSE) / VLOOKUP("LULUCF|NOx|Premature mortality", US_national_yearly!$D:$AM, 10, FALSE), 1)</f>
        <v>2.9780894948242365E-5</v>
      </c>
      <c r="G2" s="7">
        <f>$B2 * IFERROR(VLOOKUP("LULUCF|NOx|Premature mortality", US_national_yearly!$D:$AM, 15, FALSE) / VLOOKUP("LULUCF|NOx|Premature mortality", US_national_yearly!$D:$AM, 10, FALSE), 1)</f>
        <v>3.0523022087474759E-5</v>
      </c>
      <c r="H2" s="7">
        <f>$B2 * IFERROR(VLOOKUP("LULUCF|NOx|Premature mortality", US_national_yearly!$D:$AM, 16, FALSE) / VLOOKUP("LULUCF|NOx|Premature mortality", US_national_yearly!$D:$AM, 10, FALSE), 1)</f>
        <v>3.1265149226707163E-5</v>
      </c>
      <c r="I2" s="7">
        <f>$B2 * IFERROR(VLOOKUP("LULUCF|NOx|Premature mortality", US_national_yearly!$D:$AM, 17, FALSE) / VLOOKUP("LULUCF|NOx|Premature mortality", US_national_yearly!$D:$AM, 10, FALSE), 1)</f>
        <v>3.1744206372220494E-5</v>
      </c>
      <c r="J2" s="7">
        <f>$B2 * IFERROR(VLOOKUP("LULUCF|NOx|Premature mortality", US_national_yearly!$D:$AM, 18, FALSE) / VLOOKUP("LULUCF|NOx|Premature mortality", US_national_yearly!$D:$AM, 10, FALSE), 1)</f>
        <v>3.2223263517733838E-5</v>
      </c>
      <c r="K2" s="7">
        <f>$B2 * IFERROR(VLOOKUP("LULUCF|NOx|Premature mortality", US_national_yearly!$D:$AM, 19, FALSE) / VLOOKUP("LULUCF|NOx|Premature mortality", US_national_yearly!$D:$AM, 10, FALSE), 1)</f>
        <v>3.2702320663247169E-5</v>
      </c>
      <c r="L2" s="7">
        <f>$B2 * IFERROR(VLOOKUP("LULUCF|NOx|Premature mortality", US_national_yearly!$D:$AM, 20, FALSE) / VLOOKUP("LULUCF|NOx|Premature mortality", US_national_yearly!$D:$AM, 10, FALSE), 1)</f>
        <v>3.3181377808760506E-5</v>
      </c>
      <c r="M2" s="7">
        <f>$B2 * IFERROR(VLOOKUP("LULUCF|NOx|Premature mortality", US_national_yearly!$D:$AM, 21, FALSE) / VLOOKUP("LULUCF|NOx|Premature mortality", US_national_yearly!$D:$AM, 10, FALSE), 1)</f>
        <v>3.3660434954273844E-5</v>
      </c>
      <c r="N2" s="7">
        <f>$B2 * IFERROR(VLOOKUP("LULUCF|NOx|Premature mortality", US_national_yearly!$D:$AM, 22, FALSE) / VLOOKUP("LULUCF|NOx|Premature mortality", US_national_yearly!$D:$AM, 10, FALSE), 1)</f>
        <v>3.4015318625314533E-5</v>
      </c>
      <c r="O2" s="7">
        <f>$B2 * IFERROR(VLOOKUP("LULUCF|NOx|Premature mortality", US_national_yearly!$D:$AM, 23, FALSE) / VLOOKUP("LULUCF|NOx|Premature mortality", US_national_yearly!$D:$AM, 10, FALSE), 1)</f>
        <v>3.4370202296355229E-5</v>
      </c>
      <c r="P2" s="7">
        <f>$B2 * IFERROR(VLOOKUP("LULUCF|NOx|Premature mortality", US_national_yearly!$D:$AM, 24, FALSE) / VLOOKUP("LULUCF|NOx|Premature mortality", US_national_yearly!$D:$AM, 10, FALSE), 1)</f>
        <v>3.4725085967395919E-5</v>
      </c>
      <c r="Q2" s="7">
        <f>$B2 * IFERROR(VLOOKUP("LULUCF|NOx|Premature mortality", US_national_yearly!$D:$AM, 25, FALSE) / VLOOKUP("LULUCF|NOx|Premature mortality", US_national_yearly!$D:$AM, 10, FALSE), 1)</f>
        <v>3.5079969638436615E-5</v>
      </c>
      <c r="R2" s="7">
        <f>$B2 * IFERROR(VLOOKUP("LULUCF|NOx|Premature mortality", US_national_yearly!$D:$AM, 26, FALSE) / VLOOKUP("LULUCF|NOx|Premature mortality", US_national_yearly!$D:$AM, 10, FALSE), 1)</f>
        <v>3.5434853309477311E-5</v>
      </c>
      <c r="S2" s="7">
        <f>$B2 * IFERROR(VLOOKUP("LULUCF|NOx|Premature mortality", US_national_yearly!$D:$AM, 27, FALSE) / VLOOKUP("LULUCF|NOx|Premature mortality", US_national_yearly!$D:$AM, 10, FALSE), 1)</f>
        <v>3.5596151511596376E-5</v>
      </c>
      <c r="T2" s="7">
        <f>$B2 * IFERROR(VLOOKUP("LULUCF|NOx|Premature mortality", US_national_yearly!$D:$AM, 28, FALSE) / VLOOKUP("LULUCF|NOx|Premature mortality", US_national_yearly!$D:$AM, 10, FALSE), 1)</f>
        <v>3.5757449713715455E-5</v>
      </c>
      <c r="U2" s="7">
        <f>$B2 * IFERROR(VLOOKUP("LULUCF|NOx|Premature mortality", US_national_yearly!$D:$AM, 29, FALSE) / VLOOKUP("LULUCF|NOx|Premature mortality", US_national_yearly!$D:$AM, 10, FALSE), 1)</f>
        <v>3.5918747915834527E-5</v>
      </c>
      <c r="V2" s="7">
        <f>$B2 * IFERROR(VLOOKUP("LULUCF|NOx|Premature mortality", US_national_yearly!$D:$AM, 30, FALSE) / VLOOKUP("LULUCF|NOx|Premature mortality", US_national_yearly!$D:$AM, 10, FALSE), 1)</f>
        <v>3.6080046117953599E-5</v>
      </c>
      <c r="W2" s="7">
        <f>$B2 * IFERROR(VLOOKUP("LULUCF|NOx|Premature mortality", US_national_yearly!$D:$AM, 31, FALSE) / VLOOKUP("LULUCF|NOx|Premature mortality", US_national_yearly!$D:$AM, 10, FALSE), 1)</f>
        <v>3.6241344320072672E-5</v>
      </c>
      <c r="X2" s="7">
        <f>$B2 * IFERROR(VLOOKUP("LULUCF|NOx|Premature mortality", US_national_yearly!$D:$AM, 32, FALSE) / VLOOKUP("LULUCF|NOx|Premature mortality", US_national_yearly!$D:$AM, 10, FALSE), 1)</f>
        <v>3.6246931597208174E-5</v>
      </c>
      <c r="Y2" s="7">
        <f>$B2 * IFERROR(VLOOKUP("LULUCF|NOx|Premature mortality", US_national_yearly!$D:$AM, 33, FALSE) / VLOOKUP("LULUCF|NOx|Premature mortality", US_national_yearly!$D:$AM, 10, FALSE), 1)</f>
        <v>3.6252518874343669E-5</v>
      </c>
      <c r="Z2" s="7">
        <f>$B2 * IFERROR(VLOOKUP("LULUCF|NOx|Premature mortality", US_national_yearly!$D:$AM, 34, FALSE) / VLOOKUP("LULUCF|NOx|Premature mortality", US_national_yearly!$D:$AM, 10, FALSE), 1)</f>
        <v>3.6258106151479158E-5</v>
      </c>
      <c r="AA2" s="7">
        <f>$B2 * IFERROR(VLOOKUP("LULUCF|NOx|Premature mortality", US_national_yearly!$D:$AM, 35, FALSE) / VLOOKUP("LULUCF|NOx|Premature mortality", US_national_yearly!$D:$AM, 10, FALSE), 1)</f>
        <v>3.6263693428614661E-5</v>
      </c>
      <c r="AB2" s="7">
        <f>$B2 * IFERROR(VLOOKUP("LULUCF|NOx|Premature mortality", US_national_yearly!$D:$AM, 36, FALSE) / VLOOKUP("LULUCF|NOx|Premature mortality", US_national_yearly!$D:$AM, 10, FALSE), 1)</f>
        <v>3.6269280705750156E-5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7.969208362036114E-8</v>
      </c>
      <c r="C3" s="7">
        <f>$B3 * IFERROR(VLOOKUP("LULUCF|NOx|Infant mortality", US_national_yearly!$D:$AM, 11, FALSE) / VLOOKUP("LULUCF|NOx|Infant mortality", US_national_yearly!$D:$AM, 10, FALSE), 1)</f>
        <v>7.8932813455497929E-8</v>
      </c>
      <c r="D3" s="7">
        <f>$B3 * IFERROR(VLOOKUP("LULUCF|NOx|Infant mortality", US_national_yearly!$D:$AM, 12, FALSE) / VLOOKUP("LULUCF|NOx|Infant mortality", US_national_yearly!$D:$AM, 10, FALSE), 1)</f>
        <v>7.8173543290634718E-8</v>
      </c>
      <c r="E3" s="7">
        <f>$B3 * IFERROR(VLOOKUP("LULUCF|NOx|Infant mortality", US_national_yearly!$D:$AM, 13, FALSE) / VLOOKUP("LULUCF|NOx|Infant mortality", US_national_yearly!$D:$AM, 10, FALSE), 1)</f>
        <v>7.7414273125771507E-8</v>
      </c>
      <c r="F3" s="7">
        <f>$B3 * IFERROR(VLOOKUP("LULUCF|NOx|Infant mortality", US_national_yearly!$D:$AM, 14, FALSE) / VLOOKUP("LULUCF|NOx|Infant mortality", US_national_yearly!$D:$AM, 10, FALSE), 1)</f>
        <v>7.6655002960908296E-8</v>
      </c>
      <c r="G3" s="7">
        <f>$B3 * IFERROR(VLOOKUP("LULUCF|NOx|Infant mortality", US_national_yearly!$D:$AM, 15, FALSE) / VLOOKUP("LULUCF|NOx|Infant mortality", US_national_yearly!$D:$AM, 10, FALSE), 1)</f>
        <v>5.0887376264821719E-8</v>
      </c>
      <c r="H3" s="7">
        <f>$B3 * IFERROR(VLOOKUP("LULUCF|NOx|Infant mortality", US_national_yearly!$D:$AM, 16, FALSE) / VLOOKUP("LULUCF|NOx|Infant mortality", US_national_yearly!$D:$AM, 10, FALSE), 1)</f>
        <v>2.5119749568735146E-8</v>
      </c>
      <c r="I3" s="7">
        <f>$B3 * IFERROR(VLOOKUP("LULUCF|NOx|Infant mortality", US_national_yearly!$D:$AM, 17, FALSE) / VLOOKUP("LULUCF|NOx|Infant mortality", US_national_yearly!$D:$AM, 10, FALSE), 1)</f>
        <v>2.4942128954849565E-8</v>
      </c>
      <c r="J3" s="7">
        <f>$B3 * IFERROR(VLOOKUP("LULUCF|NOx|Infant mortality", US_national_yearly!$D:$AM, 18, FALSE) / VLOOKUP("LULUCF|NOx|Infant mortality", US_national_yearly!$D:$AM, 10, FALSE), 1)</f>
        <v>2.476450834096398E-8</v>
      </c>
      <c r="K3" s="7">
        <f>$B3 * IFERROR(VLOOKUP("LULUCF|NOx|Infant mortality", US_national_yearly!$D:$AM, 19, FALSE) / VLOOKUP("LULUCF|NOx|Infant mortality", US_national_yearly!$D:$AM, 10, FALSE), 1)</f>
        <v>2.4586887727078399E-8</v>
      </c>
      <c r="L3" s="7">
        <f>$B3 * IFERROR(VLOOKUP("LULUCF|NOx|Infant mortality", US_national_yearly!$D:$AM, 20, FALSE) / VLOOKUP("LULUCF|NOx|Infant mortality", US_national_yearly!$D:$AM, 10, FALSE), 1)</f>
        <v>2.4409267113192817E-8</v>
      </c>
      <c r="M3" s="7">
        <f>$B3 * IFERROR(VLOOKUP("LULUCF|NOx|Infant mortality", US_national_yearly!$D:$AM, 21, FALSE) / VLOOKUP("LULUCF|NOx|Infant mortality", US_national_yearly!$D:$AM, 10, FALSE), 1)</f>
        <v>2.4231646499307233E-8</v>
      </c>
      <c r="N3" s="7">
        <f>$B3 * IFERROR(VLOOKUP("LULUCF|NOx|Infant mortality", US_national_yearly!$D:$AM, 22, FALSE) / VLOOKUP("LULUCF|NOx|Infant mortality", US_national_yearly!$D:$AM, 10, FALSE), 1)</f>
        <v>2.4113749362569167E-8</v>
      </c>
      <c r="O3" s="7">
        <f>$B3 * IFERROR(VLOOKUP("LULUCF|NOx|Infant mortality", US_national_yearly!$D:$AM, 23, FALSE) / VLOOKUP("LULUCF|NOx|Infant mortality", US_national_yearly!$D:$AM, 10, FALSE), 1)</f>
        <v>2.3995852225831105E-8</v>
      </c>
      <c r="P3" s="7">
        <f>$B3 * IFERROR(VLOOKUP("LULUCF|NOx|Infant mortality", US_national_yearly!$D:$AM, 24, FALSE) / VLOOKUP("LULUCF|NOx|Infant mortality", US_national_yearly!$D:$AM, 10, FALSE), 1)</f>
        <v>2.3877955089093042E-8</v>
      </c>
      <c r="Q3" s="7">
        <f>$B3 * IFERROR(VLOOKUP("LULUCF|NOx|Infant mortality", US_national_yearly!$D:$AM, 25, FALSE) / VLOOKUP("LULUCF|NOx|Infant mortality", US_national_yearly!$D:$AM, 10, FALSE), 1)</f>
        <v>2.376005795235498E-8</v>
      </c>
      <c r="R3" s="7">
        <f>$B3 * IFERROR(VLOOKUP("LULUCF|NOx|Infant mortality", US_national_yearly!$D:$AM, 26, FALSE) / VLOOKUP("LULUCF|NOx|Infant mortality", US_national_yearly!$D:$AM, 10, FALSE), 1)</f>
        <v>2.3642160815616918E-8</v>
      </c>
      <c r="S3" s="7">
        <f>$B3 * IFERROR(VLOOKUP("LULUCF|NOx|Infant mortality", US_national_yearly!$D:$AM, 27, FALSE) / VLOOKUP("LULUCF|NOx|Infant mortality", US_national_yearly!$D:$AM, 10, FALSE), 1)</f>
        <v>2.3500429708804039E-8</v>
      </c>
      <c r="T3" s="7">
        <f>$B3 * IFERROR(VLOOKUP("LULUCF|NOx|Infant mortality", US_national_yearly!$D:$AM, 28, FALSE) / VLOOKUP("LULUCF|NOx|Infant mortality", US_national_yearly!$D:$AM, 10, FALSE), 1)</f>
        <v>2.335869860199116E-8</v>
      </c>
      <c r="U3" s="7">
        <f>$B3 * IFERROR(VLOOKUP("LULUCF|NOx|Infant mortality", US_national_yearly!$D:$AM, 29, FALSE) / VLOOKUP("LULUCF|NOx|Infant mortality", US_national_yearly!$D:$AM, 10, FALSE), 1)</f>
        <v>2.3216967495178278E-8</v>
      </c>
      <c r="V3" s="7">
        <f>$B3 * IFERROR(VLOOKUP("LULUCF|NOx|Infant mortality", US_national_yearly!$D:$AM, 30, FALSE) / VLOOKUP("LULUCF|NOx|Infant mortality", US_national_yearly!$D:$AM, 10, FALSE), 1)</f>
        <v>2.3075236388365399E-8</v>
      </c>
      <c r="W3" s="7">
        <f>$B3 * IFERROR(VLOOKUP("LULUCF|NOx|Infant mortality", US_national_yearly!$D:$AM, 31, FALSE) / VLOOKUP("LULUCF|NOx|Infant mortality", US_national_yearly!$D:$AM, 10, FALSE), 1)</f>
        <v>2.2933505281552521E-8</v>
      </c>
      <c r="X3" s="7">
        <f>$B3 * IFERROR(VLOOKUP("LULUCF|NOx|Infant mortality", US_national_yearly!$D:$AM, 32, FALSE) / VLOOKUP("LULUCF|NOx|Infant mortality", US_national_yearly!$D:$AM, 10, FALSE), 1)</f>
        <v>2.2783405185601091E-8</v>
      </c>
      <c r="Y3" s="7">
        <f>$B3 * IFERROR(VLOOKUP("LULUCF|NOx|Infant mortality", US_national_yearly!$D:$AM, 33, FALSE) / VLOOKUP("LULUCF|NOx|Infant mortality", US_national_yearly!$D:$AM, 10, FALSE), 1)</f>
        <v>2.2633305089649659E-8</v>
      </c>
      <c r="Z3" s="7">
        <f>$B3 * IFERROR(VLOOKUP("LULUCF|NOx|Infant mortality", US_national_yearly!$D:$AM, 34, FALSE) / VLOOKUP("LULUCF|NOx|Infant mortality", US_national_yearly!$D:$AM, 10, FALSE), 1)</f>
        <v>2.2483204993698226E-8</v>
      </c>
      <c r="AA3" s="7">
        <f>$B3 * IFERROR(VLOOKUP("LULUCF|NOx|Infant mortality", US_national_yearly!$D:$AM, 35, FALSE) / VLOOKUP("LULUCF|NOx|Infant mortality", US_national_yearly!$D:$AM, 10, FALSE), 1)</f>
        <v>2.2333104897746794E-8</v>
      </c>
      <c r="AB3" s="7">
        <f>$B3 * IFERROR(VLOOKUP("LULUCF|NOx|Infant mortality", US_national_yearly!$D:$AM, 36, FALSE) / VLOOKUP("LULUCF|NOx|Infant mortality", US_national_yearly!$D:$AM, 10, FALSE), 1)</f>
        <v>2.2183004801795361E-8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9.5571216966374009E-5</v>
      </c>
      <c r="C6" s="7">
        <f>$B6 * IFERROR(VLOOKUP("LULUCF|NOx|Asthma symptoms cough", US_national_yearly!$D:$AM, 11, FALSE) / VLOOKUP("LULUCF|NOx|Asthma symptoms cough", US_national_yearly!$D:$AM, 10, FALSE), 1)</f>
        <v>9.6877831755058872E-5</v>
      </c>
      <c r="D6" s="7">
        <f>$B6 * IFERROR(VLOOKUP("LULUCF|NOx|Asthma symptoms cough", US_national_yearly!$D:$AM, 12, FALSE) / VLOOKUP("LULUCF|NOx|Asthma symptoms cough", US_national_yearly!$D:$AM, 10, FALSE), 1)</f>
        <v>9.8184446543743734E-5</v>
      </c>
      <c r="E6" s="7">
        <f>$B6 * IFERROR(VLOOKUP("LULUCF|NOx|Asthma symptoms cough", US_national_yearly!$D:$AM, 13, FALSE) / VLOOKUP("LULUCF|NOx|Asthma symptoms cough", US_national_yearly!$D:$AM, 10, FALSE), 1)</f>
        <v>9.9491061332428597E-5</v>
      </c>
      <c r="F6" s="7">
        <f>$B6 * IFERROR(VLOOKUP("LULUCF|NOx|Asthma symptoms cough", US_national_yearly!$D:$AM, 14, FALSE) / VLOOKUP("LULUCF|NOx|Asthma symptoms cough", US_national_yearly!$D:$AM, 10, FALSE), 1)</f>
        <v>1.0079767612111346E-4</v>
      </c>
      <c r="G6" s="7">
        <f>$B6 * IFERROR(VLOOKUP("LULUCF|NOx|Asthma symptoms cough", US_national_yearly!$D:$AM, 15, FALSE) / VLOOKUP("LULUCF|NOx|Asthma symptoms cough", US_national_yearly!$D:$AM, 10, FALSE), 1)</f>
        <v>1.0184082544279711E-4</v>
      </c>
      <c r="H6" s="7">
        <f>$B6 * IFERROR(VLOOKUP("LULUCF|NOx|Asthma symptoms cough", US_national_yearly!$D:$AM, 16, FALSE) / VLOOKUP("LULUCF|NOx|Asthma symptoms cough", US_national_yearly!$D:$AM, 10, FALSE), 1)</f>
        <v>1.0288397476448079E-4</v>
      </c>
      <c r="I6" s="7">
        <f>$B6 * IFERROR(VLOOKUP("LULUCF|NOx|Asthma symptoms cough", US_national_yearly!$D:$AM, 17, FALSE) / VLOOKUP("LULUCF|NOx|Asthma symptoms cough", US_national_yearly!$D:$AM, 10, FALSE), 1)</f>
        <v>1.0324301184840102E-4</v>
      </c>
      <c r="J6" s="7">
        <f>$B6 * IFERROR(VLOOKUP("LULUCF|NOx|Asthma symptoms cough", US_national_yearly!$D:$AM, 18, FALSE) / VLOOKUP("LULUCF|NOx|Asthma symptoms cough", US_national_yearly!$D:$AM, 10, FALSE), 1)</f>
        <v>1.0360204893232126E-4</v>
      </c>
      <c r="K6" s="7">
        <f>$B6 * IFERROR(VLOOKUP("LULUCF|NOx|Asthma symptoms cough", US_national_yearly!$D:$AM, 19, FALSE) / VLOOKUP("LULUCF|NOx|Asthma symptoms cough", US_national_yearly!$D:$AM, 10, FALSE), 1)</f>
        <v>1.039610860162415E-4</v>
      </c>
      <c r="L6" s="7">
        <f>$B6 * IFERROR(VLOOKUP("LULUCF|NOx|Asthma symptoms cough", US_national_yearly!$D:$AM, 20, FALSE) / VLOOKUP("LULUCF|NOx|Asthma symptoms cough", US_national_yearly!$D:$AM, 10, FALSE), 1)</f>
        <v>1.0432012310016173E-4</v>
      </c>
      <c r="M6" s="7">
        <f>$B6 * IFERROR(VLOOKUP("LULUCF|NOx|Asthma symptoms cough", US_national_yearly!$D:$AM, 21, FALSE) / VLOOKUP("LULUCF|NOx|Asthma symptoms cough", US_national_yearly!$D:$AM, 10, FALSE), 1)</f>
        <v>1.0467916018408197E-4</v>
      </c>
      <c r="N6" s="7">
        <f>$B6 * IFERROR(VLOOKUP("LULUCF|NOx|Asthma symptoms cough", US_national_yearly!$D:$AM, 22, FALSE) / VLOOKUP("LULUCF|NOx|Asthma symptoms cough", US_national_yearly!$D:$AM, 10, FALSE), 1)</f>
        <v>1.0509549041939881E-4</v>
      </c>
      <c r="O6" s="7">
        <f>$B6 * IFERROR(VLOOKUP("LULUCF|NOx|Asthma symptoms cough", US_national_yearly!$D:$AM, 23, FALSE) / VLOOKUP("LULUCF|NOx|Asthma symptoms cough", US_national_yearly!$D:$AM, 10, FALSE), 1)</f>
        <v>1.0551182065471566E-4</v>
      </c>
      <c r="P6" s="7">
        <f>$B6 * IFERROR(VLOOKUP("LULUCF|NOx|Asthma symptoms cough", US_national_yearly!$D:$AM, 24, FALSE) / VLOOKUP("LULUCF|NOx|Asthma symptoms cough", US_national_yearly!$D:$AM, 10, FALSE), 1)</f>
        <v>1.059281508900325E-4</v>
      </c>
      <c r="Q6" s="7">
        <f>$B6 * IFERROR(VLOOKUP("LULUCF|NOx|Asthma symptoms cough", US_national_yearly!$D:$AM, 25, FALSE) / VLOOKUP("LULUCF|NOx|Asthma symptoms cough", US_national_yearly!$D:$AM, 10, FALSE), 1)</f>
        <v>1.0634448112534937E-4</v>
      </c>
      <c r="R6" s="7">
        <f>$B6 * IFERROR(VLOOKUP("LULUCF|NOx|Asthma symptoms cough", US_national_yearly!$D:$AM, 26, FALSE) / VLOOKUP("LULUCF|NOx|Asthma symptoms cough", US_national_yearly!$D:$AM, 10, FALSE), 1)</f>
        <v>1.0676081136066621E-4</v>
      </c>
      <c r="S6" s="7">
        <f>$B6 * IFERROR(VLOOKUP("LULUCF|NOx|Asthma symptoms cough", US_national_yearly!$D:$AM, 27, FALSE) / VLOOKUP("LULUCF|NOx|Asthma symptoms cough", US_national_yearly!$D:$AM, 10, FALSE), 1)</f>
        <v>1.0730467124818741E-4</v>
      </c>
      <c r="T6" s="7">
        <f>$B6 * IFERROR(VLOOKUP("LULUCF|NOx|Asthma symptoms cough", US_national_yearly!$D:$AM, 28, FALSE) / VLOOKUP("LULUCF|NOx|Asthma symptoms cough", US_national_yearly!$D:$AM, 10, FALSE), 1)</f>
        <v>1.0784853113570858E-4</v>
      </c>
      <c r="U6" s="7">
        <f>$B6 * IFERROR(VLOOKUP("LULUCF|NOx|Asthma symptoms cough", US_national_yearly!$D:$AM, 29, FALSE) / VLOOKUP("LULUCF|NOx|Asthma symptoms cough", US_national_yearly!$D:$AM, 10, FALSE), 1)</f>
        <v>1.0839239102322972E-4</v>
      </c>
      <c r="V6" s="7">
        <f>$B6 * IFERROR(VLOOKUP("LULUCF|NOx|Asthma symptoms cough", US_national_yearly!$D:$AM, 30, FALSE) / VLOOKUP("LULUCF|NOx|Asthma symptoms cough", US_national_yearly!$D:$AM, 10, FALSE), 1)</f>
        <v>1.089362509107509E-4</v>
      </c>
      <c r="W6" s="7">
        <f>$B6 * IFERROR(VLOOKUP("LULUCF|NOx|Asthma symptoms cough", US_national_yearly!$D:$AM, 31, FALSE) / VLOOKUP("LULUCF|NOx|Asthma symptoms cough", US_national_yearly!$D:$AM, 10, FALSE), 1)</f>
        <v>1.0948011079827208E-4</v>
      </c>
      <c r="X6" s="7">
        <f>$B6 * IFERROR(VLOOKUP("LULUCF|NOx|Asthma symptoms cough", US_national_yearly!$D:$AM, 32, FALSE) / VLOOKUP("LULUCF|NOx|Asthma symptoms cough", US_national_yearly!$D:$AM, 10, FALSE), 1)</f>
        <v>1.0998543477858505E-4</v>
      </c>
      <c r="Y6" s="7">
        <f>$B6 * IFERROR(VLOOKUP("LULUCF|NOx|Asthma symptoms cough", US_national_yearly!$D:$AM, 33, FALSE) / VLOOKUP("LULUCF|NOx|Asthma symptoms cough", US_national_yearly!$D:$AM, 10, FALSE), 1)</f>
        <v>1.1049075875889803E-4</v>
      </c>
      <c r="Z6" s="7">
        <f>$B6 * IFERROR(VLOOKUP("LULUCF|NOx|Asthma symptoms cough", US_national_yearly!$D:$AM, 34, FALSE) / VLOOKUP("LULUCF|NOx|Asthma symptoms cough", US_national_yearly!$D:$AM, 10, FALSE), 1)</f>
        <v>1.1099608273921101E-4</v>
      </c>
      <c r="AA6" s="7">
        <f>$B6 * IFERROR(VLOOKUP("LULUCF|NOx|Asthma symptoms cough", US_national_yearly!$D:$AM, 35, FALSE) / VLOOKUP("LULUCF|NOx|Asthma symptoms cough", US_national_yearly!$D:$AM, 10, FALSE), 1)</f>
        <v>1.1150140671952399E-4</v>
      </c>
      <c r="AB6" s="7">
        <f>$B6 * IFERROR(VLOOKUP("LULUCF|NOx|Asthma symptoms cough", US_national_yearly!$D:$AM, 36, FALSE) / VLOOKUP("LULUCF|NOx|Asthma symptoms cough", US_national_yearly!$D:$AM, 10, FALSE), 1)</f>
        <v>1.1200673069983698E-4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1.2870050695208799E-4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1.3046005329774609E-4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1.322195996434042E-4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1.3397914598906231E-4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1.3573869233472044E-4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1.3714344421051779E-4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1.385481960863151E-4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1.3903169159757385E-4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1.3951518710883257E-4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1.399986826200913E-4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1.4048217813135002E-4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1.4096567364260874E-4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1.4152632269440172E-4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1.4208697174619467E-4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1.4264762079798759E-4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1.4320826984978054E-4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1.4376891890157352E-4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1.4450130513066737E-4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1.4523369135976125E-4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1.4596607758885513E-4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1.4669846381794896E-4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1.4743085004704284E-4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1.481113420867391E-4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1.4879183412643535E-4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1.4947232616613167E-4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1.5015281820582793E-4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1.5083331024552419E-4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1.9663257880192145E-4</v>
      </c>
      <c r="C8" s="7">
        <f>$B8 * IFERROR(VLOOKUP("LULUCF|NOx|Asthma symptoms wheeze", US_national_yearly!$D:$AM, 11, FALSE) / VLOOKUP("LULUCF|NOx|Asthma symptoms wheeze", US_national_yearly!$D:$AM, 10, FALSE), 1)</f>
        <v>1.9932086763939133E-4</v>
      </c>
      <c r="D8" s="7">
        <f>$B8 * IFERROR(VLOOKUP("LULUCF|NOx|Asthma symptoms wheeze", US_national_yearly!$D:$AM, 12, FALSE) / VLOOKUP("LULUCF|NOx|Asthma symptoms wheeze", US_national_yearly!$D:$AM, 10, FALSE), 1)</f>
        <v>2.0200915647686132E-4</v>
      </c>
      <c r="E8" s="7">
        <f>$B8 * IFERROR(VLOOKUP("LULUCF|NOx|Asthma symptoms wheeze", US_national_yearly!$D:$AM, 13, FALSE) / VLOOKUP("LULUCF|NOx|Asthma symptoms wheeze", US_national_yearly!$D:$AM, 10, FALSE), 1)</f>
        <v>2.046974453143312E-4</v>
      </c>
      <c r="F8" s="7">
        <f>$B8 * IFERROR(VLOOKUP("LULUCF|NOx|Asthma symptoms wheeze", US_national_yearly!$D:$AM, 14, FALSE) / VLOOKUP("LULUCF|NOx|Asthma symptoms wheeze", US_national_yearly!$D:$AM, 10, FALSE), 1)</f>
        <v>2.073857341518011E-4</v>
      </c>
      <c r="G8" s="7">
        <f>$B8 * IFERROR(VLOOKUP("LULUCF|NOx|Asthma symptoms wheeze", US_national_yearly!$D:$AM, 15, FALSE) / VLOOKUP("LULUCF|NOx|Asthma symptoms wheeze", US_national_yearly!$D:$AM, 10, FALSE), 1)</f>
        <v>2.095319571271343E-4</v>
      </c>
      <c r="H8" s="7">
        <f>$B8 * IFERROR(VLOOKUP("LULUCF|NOx|Asthma symptoms wheeze", US_national_yearly!$D:$AM, 16, FALSE) / VLOOKUP("LULUCF|NOx|Asthma symptoms wheeze", US_national_yearly!$D:$AM, 10, FALSE), 1)</f>
        <v>2.1167818010246753E-4</v>
      </c>
      <c r="I8" s="7">
        <f>$B8 * IFERROR(VLOOKUP("LULUCF|NOx|Asthma symptoms wheeze", US_national_yearly!$D:$AM, 17, FALSE) / VLOOKUP("LULUCF|NOx|Asthma symptoms wheeze", US_national_yearly!$D:$AM, 10, FALSE), 1)</f>
        <v>2.1241687937143553E-4</v>
      </c>
      <c r="J8" s="7">
        <f>$B8 * IFERROR(VLOOKUP("LULUCF|NOx|Asthma symptoms wheeze", US_national_yearly!$D:$AM, 18, FALSE) / VLOOKUP("LULUCF|NOx|Asthma symptoms wheeze", US_national_yearly!$D:$AM, 10, FALSE), 1)</f>
        <v>2.1315557864040358E-4</v>
      </c>
      <c r="K8" s="7">
        <f>$B8 * IFERROR(VLOOKUP("LULUCF|NOx|Asthma symptoms wheeze", US_national_yearly!$D:$AM, 19, FALSE) / VLOOKUP("LULUCF|NOx|Asthma symptoms wheeze", US_national_yearly!$D:$AM, 10, FALSE), 1)</f>
        <v>2.1389427790937155E-4</v>
      </c>
      <c r="L8" s="7">
        <f>$B8 * IFERROR(VLOOKUP("LULUCF|NOx|Asthma symptoms wheeze", US_national_yearly!$D:$AM, 20, FALSE) / VLOOKUP("LULUCF|NOx|Asthma symptoms wheeze", US_national_yearly!$D:$AM, 10, FALSE), 1)</f>
        <v>2.146329771783396E-4</v>
      </c>
      <c r="M8" s="7">
        <f>$B8 * IFERROR(VLOOKUP("LULUCF|NOx|Asthma symptoms wheeze", US_national_yearly!$D:$AM, 21, FALSE) / VLOOKUP("LULUCF|NOx|Asthma symptoms wheeze", US_national_yearly!$D:$AM, 10, FALSE), 1)</f>
        <v>2.153716764473076E-4</v>
      </c>
      <c r="N8" s="7">
        <f>$B8 * IFERROR(VLOOKUP("LULUCF|NOx|Asthma symptoms wheeze", US_national_yearly!$D:$AM, 22, FALSE) / VLOOKUP("LULUCF|NOx|Asthma symptoms wheeze", US_national_yearly!$D:$AM, 10, FALSE), 1)</f>
        <v>2.1622825325893542E-4</v>
      </c>
      <c r="O8" s="7">
        <f>$B8 * IFERROR(VLOOKUP("LULUCF|NOx|Asthma symptoms wheeze", US_national_yearly!$D:$AM, 23, FALSE) / VLOOKUP("LULUCF|NOx|Asthma symptoms wheeze", US_national_yearly!$D:$AM, 10, FALSE), 1)</f>
        <v>2.1708483007056327E-4</v>
      </c>
      <c r="P8" s="7">
        <f>$B8 * IFERROR(VLOOKUP("LULUCF|NOx|Asthma symptoms wheeze", US_national_yearly!$D:$AM, 24, FALSE) / VLOOKUP("LULUCF|NOx|Asthma symptoms wheeze", US_national_yearly!$D:$AM, 10, FALSE), 1)</f>
        <v>2.1794140688219106E-4</v>
      </c>
      <c r="Q8" s="7">
        <f>$B8 * IFERROR(VLOOKUP("LULUCF|NOx|Asthma symptoms wheeze", US_national_yearly!$D:$AM, 25, FALSE) / VLOOKUP("LULUCF|NOx|Asthma symptoms wheeze", US_national_yearly!$D:$AM, 10, FALSE), 1)</f>
        <v>2.1879798369381891E-4</v>
      </c>
      <c r="R8" s="7">
        <f>$B8 * IFERROR(VLOOKUP("LULUCF|NOx|Asthma symptoms wheeze", US_national_yearly!$D:$AM, 26, FALSE) / VLOOKUP("LULUCF|NOx|Asthma symptoms wheeze", US_national_yearly!$D:$AM, 10, FALSE), 1)</f>
        <v>2.196545605054467E-4</v>
      </c>
      <c r="S8" s="7">
        <f>$B8 * IFERROR(VLOOKUP("LULUCF|NOx|Asthma symptoms wheeze", US_national_yearly!$D:$AM, 27, FALSE) / VLOOKUP("LULUCF|NOx|Asthma symptoms wheeze", US_national_yearly!$D:$AM, 10, FALSE), 1)</f>
        <v>2.2077352263846271E-4</v>
      </c>
      <c r="T8" s="7">
        <f>$B8 * IFERROR(VLOOKUP("LULUCF|NOx|Asthma symptoms wheeze", US_national_yearly!$D:$AM, 28, FALSE) / VLOOKUP("LULUCF|NOx|Asthma symptoms wheeze", US_national_yearly!$D:$AM, 10, FALSE), 1)</f>
        <v>2.2189248477147872E-4</v>
      </c>
      <c r="U8" s="7">
        <f>$B8 * IFERROR(VLOOKUP("LULUCF|NOx|Asthma symptoms wheeze", US_national_yearly!$D:$AM, 29, FALSE) / VLOOKUP("LULUCF|NOx|Asthma symptoms wheeze", US_national_yearly!$D:$AM, 10, FALSE), 1)</f>
        <v>2.2301144690449473E-4</v>
      </c>
      <c r="V8" s="7">
        <f>$B8 * IFERROR(VLOOKUP("LULUCF|NOx|Asthma symptoms wheeze", US_national_yearly!$D:$AM, 30, FALSE) / VLOOKUP("LULUCF|NOx|Asthma symptoms wheeze", US_national_yearly!$D:$AM, 10, FALSE), 1)</f>
        <v>2.241304090375108E-4</v>
      </c>
      <c r="W8" s="7">
        <f>$B8 * IFERROR(VLOOKUP("LULUCF|NOx|Asthma symptoms wheeze", US_national_yearly!$D:$AM, 31, FALSE) / VLOOKUP("LULUCF|NOx|Asthma symptoms wheeze", US_national_yearly!$D:$AM, 10, FALSE), 1)</f>
        <v>2.2524937117052675E-4</v>
      </c>
      <c r="X8" s="7">
        <f>$B8 * IFERROR(VLOOKUP("LULUCF|NOx|Asthma symptoms wheeze", US_national_yearly!$D:$AM, 32, FALSE) / VLOOKUP("LULUCF|NOx|Asthma symptoms wheeze", US_national_yearly!$D:$AM, 10, FALSE), 1)</f>
        <v>2.2628904777043232E-4</v>
      </c>
      <c r="Y8" s="7">
        <f>$B8 * IFERROR(VLOOKUP("LULUCF|NOx|Asthma symptoms wheeze", US_national_yearly!$D:$AM, 33, FALSE) / VLOOKUP("LULUCF|NOx|Asthma symptoms wheeze", US_national_yearly!$D:$AM, 10, FALSE), 1)</f>
        <v>2.2732872437033786E-4</v>
      </c>
      <c r="Z8" s="7">
        <f>$B8 * IFERROR(VLOOKUP("LULUCF|NOx|Asthma symptoms wheeze", US_national_yearly!$D:$AM, 34, FALSE) / VLOOKUP("LULUCF|NOx|Asthma symptoms wheeze", US_national_yearly!$D:$AM, 10, FALSE), 1)</f>
        <v>2.2836840097024342E-4</v>
      </c>
      <c r="AA8" s="7">
        <f>$B8 * IFERROR(VLOOKUP("LULUCF|NOx|Asthma symptoms wheeze", US_national_yearly!$D:$AM, 35, FALSE) / VLOOKUP("LULUCF|NOx|Asthma symptoms wheeze", US_national_yearly!$D:$AM, 10, FALSE), 1)</f>
        <v>2.2940807757014894E-4</v>
      </c>
      <c r="AB8" s="7">
        <f>$B8 * IFERROR(VLOOKUP("LULUCF|NOx|Asthma symptoms wheeze", US_national_yearly!$D:$AM, 36, FALSE) / VLOOKUP("LULUCF|NOx|Asthma symptoms wheeze", US_national_yearly!$D:$AM, 10, FALSE), 1)</f>
        <v>2.304477541700545E-4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2.431227399144581E-6</v>
      </c>
      <c r="C12" s="7">
        <f>$B12 * IFERROR(VLOOKUP("LULUCF|NOx|Respiratory hospital admissions", US_national_yearly!$D:$AM, 11, FALSE) / VLOOKUP("LULUCF|NOx|Respiratory hospital admissions", US_national_yearly!$D:$AM, 10, FALSE), 1)</f>
        <v>2.4918735514319983E-6</v>
      </c>
      <c r="D12" s="7">
        <f>$B12 * IFERROR(VLOOKUP("LULUCF|NOx|Respiratory hospital admissions", US_national_yearly!$D:$AM, 12, FALSE) / VLOOKUP("LULUCF|NOx|Respiratory hospital admissions", US_national_yearly!$D:$AM, 10, FALSE), 1)</f>
        <v>2.5525197037194161E-6</v>
      </c>
      <c r="E12" s="7">
        <f>$B12 * IFERROR(VLOOKUP("LULUCF|NOx|Respiratory hospital admissions", US_national_yearly!$D:$AM, 13, FALSE) / VLOOKUP("LULUCF|NOx|Respiratory hospital admissions", US_national_yearly!$D:$AM, 10, FALSE), 1)</f>
        <v>2.6131658560068339E-6</v>
      </c>
      <c r="F12" s="7">
        <f>$B12 * IFERROR(VLOOKUP("LULUCF|NOx|Respiratory hospital admissions", US_national_yearly!$D:$AM, 14, FALSE) / VLOOKUP("LULUCF|NOx|Respiratory hospital admissions", US_national_yearly!$D:$AM, 10, FALSE), 1)</f>
        <v>2.6738120082942517E-6</v>
      </c>
      <c r="G12" s="7">
        <f>$B12 * IFERROR(VLOOKUP("LULUCF|NOx|Respiratory hospital admissions", US_national_yearly!$D:$AM, 15, FALSE) / VLOOKUP("LULUCF|NOx|Respiratory hospital admissions", US_national_yearly!$D:$AM, 10, FALSE), 1)</f>
        <v>2.7317917940303402E-6</v>
      </c>
      <c r="H12" s="7">
        <f>$B12 * IFERROR(VLOOKUP("LULUCF|NOx|Respiratory hospital admissions", US_national_yearly!$D:$AM, 16, FALSE) / VLOOKUP("LULUCF|NOx|Respiratory hospital admissions", US_national_yearly!$D:$AM, 10, FALSE), 1)</f>
        <v>2.7897715797664287E-6</v>
      </c>
      <c r="I12" s="7">
        <f>$B12 * IFERROR(VLOOKUP("LULUCF|NOx|Respiratory hospital admissions", US_national_yearly!$D:$AM, 17, FALSE) / VLOOKUP("LULUCF|NOx|Respiratory hospital admissions", US_national_yearly!$D:$AM, 10, FALSE), 1)</f>
        <v>2.8389976098001369E-6</v>
      </c>
      <c r="J12" s="7">
        <f>$B12 * IFERROR(VLOOKUP("LULUCF|NOx|Respiratory hospital admissions", US_national_yearly!$D:$AM, 18, FALSE) / VLOOKUP("LULUCF|NOx|Respiratory hospital admissions", US_national_yearly!$D:$AM, 10, FALSE), 1)</f>
        <v>2.8882236398338447E-6</v>
      </c>
      <c r="K12" s="7">
        <f>$B12 * IFERROR(VLOOKUP("LULUCF|NOx|Respiratory hospital admissions", US_national_yearly!$D:$AM, 19, FALSE) / VLOOKUP("LULUCF|NOx|Respiratory hospital admissions", US_national_yearly!$D:$AM, 10, FALSE), 1)</f>
        <v>2.9374496698675528E-6</v>
      </c>
      <c r="L12" s="7">
        <f>$B12 * IFERROR(VLOOKUP("LULUCF|NOx|Respiratory hospital admissions", US_national_yearly!$D:$AM, 20, FALSE) / VLOOKUP("LULUCF|NOx|Respiratory hospital admissions", US_national_yearly!$D:$AM, 10, FALSE), 1)</f>
        <v>2.9866756999012614E-6</v>
      </c>
      <c r="M12" s="7">
        <f>$B12 * IFERROR(VLOOKUP("LULUCF|NOx|Respiratory hospital admissions", US_national_yearly!$D:$AM, 21, FALSE) / VLOOKUP("LULUCF|NOx|Respiratory hospital admissions", US_national_yearly!$D:$AM, 10, FALSE), 1)</f>
        <v>3.0359017299349696E-6</v>
      </c>
      <c r="N12" s="7">
        <f>$B12 * IFERROR(VLOOKUP("LULUCF|NOx|Respiratory hospital admissions", US_national_yearly!$D:$AM, 22, FALSE) / VLOOKUP("LULUCF|NOx|Respiratory hospital admissions", US_national_yearly!$D:$AM, 10, FALSE), 1)</f>
        <v>3.0688102173054827E-6</v>
      </c>
      <c r="O12" s="7">
        <f>$B12 * IFERROR(VLOOKUP("LULUCF|NOx|Respiratory hospital admissions", US_national_yearly!$D:$AM, 23, FALSE) / VLOOKUP("LULUCF|NOx|Respiratory hospital admissions", US_national_yearly!$D:$AM, 10, FALSE), 1)</f>
        <v>3.1017187046759966E-6</v>
      </c>
      <c r="P12" s="7">
        <f>$B12 * IFERROR(VLOOKUP("LULUCF|NOx|Respiratory hospital admissions", US_national_yearly!$D:$AM, 24, FALSE) / VLOOKUP("LULUCF|NOx|Respiratory hospital admissions", US_national_yearly!$D:$AM, 10, FALSE), 1)</f>
        <v>3.1346271920465106E-6</v>
      </c>
      <c r="Q12" s="7">
        <f>$B12 * IFERROR(VLOOKUP("LULUCF|NOx|Respiratory hospital admissions", US_national_yearly!$D:$AM, 25, FALSE) / VLOOKUP("LULUCF|NOx|Respiratory hospital admissions", US_national_yearly!$D:$AM, 10, FALSE), 1)</f>
        <v>3.1675356794170245E-6</v>
      </c>
      <c r="R12" s="7">
        <f>$B12 * IFERROR(VLOOKUP("LULUCF|NOx|Respiratory hospital admissions", US_national_yearly!$D:$AM, 26, FALSE) / VLOOKUP("LULUCF|NOx|Respiratory hospital admissions", US_national_yearly!$D:$AM, 10, FALSE), 1)</f>
        <v>3.2004441667875384E-6</v>
      </c>
      <c r="S12" s="7">
        <f>$B12 * IFERROR(VLOOKUP("LULUCF|NOx|Respiratory hospital admissions", US_national_yearly!$D:$AM, 27, FALSE) / VLOOKUP("LULUCF|NOx|Respiratory hospital admissions", US_national_yearly!$D:$AM, 10, FALSE), 1)</f>
        <v>3.2180756426039422E-6</v>
      </c>
      <c r="T12" s="7">
        <f>$B12 * IFERROR(VLOOKUP("LULUCF|NOx|Respiratory hospital admissions", US_national_yearly!$D:$AM, 28, FALSE) / VLOOKUP("LULUCF|NOx|Respiratory hospital admissions", US_national_yearly!$D:$AM, 10, FALSE), 1)</f>
        <v>3.2357071184203464E-6</v>
      </c>
      <c r="U12" s="7">
        <f>$B12 * IFERROR(VLOOKUP("LULUCF|NOx|Respiratory hospital admissions", US_national_yearly!$D:$AM, 29, FALSE) / VLOOKUP("LULUCF|NOx|Respiratory hospital admissions", US_national_yearly!$D:$AM, 10, FALSE), 1)</f>
        <v>3.2533385942367502E-6</v>
      </c>
      <c r="V12" s="7">
        <f>$B12 * IFERROR(VLOOKUP("LULUCF|NOx|Respiratory hospital admissions", US_national_yearly!$D:$AM, 30, FALSE) / VLOOKUP("LULUCF|NOx|Respiratory hospital admissions", US_national_yearly!$D:$AM, 10, FALSE), 1)</f>
        <v>3.270970070053154E-6</v>
      </c>
      <c r="W12" s="7">
        <f>$B12 * IFERROR(VLOOKUP("LULUCF|NOx|Respiratory hospital admissions", US_national_yearly!$D:$AM, 31, FALSE) / VLOOKUP("LULUCF|NOx|Respiratory hospital admissions", US_national_yearly!$D:$AM, 10, FALSE), 1)</f>
        <v>3.2886015458695582E-6</v>
      </c>
      <c r="X12" s="7">
        <f>$B12 * IFERROR(VLOOKUP("LULUCF|NOx|Respiratory hospital admissions", US_national_yearly!$D:$AM, 32, FALSE) / VLOOKUP("LULUCF|NOx|Respiratory hospital admissions", US_national_yearly!$D:$AM, 10, FALSE), 1)</f>
        <v>3.3006503689707073E-6</v>
      </c>
      <c r="Y12" s="7">
        <f>$B12 * IFERROR(VLOOKUP("LULUCF|NOx|Respiratory hospital admissions", US_national_yearly!$D:$AM, 33, FALSE) / VLOOKUP("LULUCF|NOx|Respiratory hospital admissions", US_national_yearly!$D:$AM, 10, FALSE), 1)</f>
        <v>3.3126991920718569E-6</v>
      </c>
      <c r="Z12" s="7">
        <f>$B12 * IFERROR(VLOOKUP("LULUCF|NOx|Respiratory hospital admissions", US_national_yearly!$D:$AM, 34, FALSE) / VLOOKUP("LULUCF|NOx|Respiratory hospital admissions", US_national_yearly!$D:$AM, 10, FALSE), 1)</f>
        <v>3.3247480151730064E-6</v>
      </c>
      <c r="AA12" s="7">
        <f>$B12 * IFERROR(VLOOKUP("LULUCF|NOx|Respiratory hospital admissions", US_national_yearly!$D:$AM, 35, FALSE) / VLOOKUP("LULUCF|NOx|Respiratory hospital admissions", US_national_yearly!$D:$AM, 10, FALSE), 1)</f>
        <v>3.3367968382741563E-6</v>
      </c>
      <c r="AB12" s="7">
        <f>$B12 * IFERROR(VLOOKUP("LULUCF|NOx|Respiratory hospital admissions", US_national_yearly!$D:$AM, 36, FALSE) / VLOOKUP("LULUCF|NOx|Respiratory hospital admissions", US_national_yearly!$D:$AM, 10, FALSE), 1)</f>
        <v>3.348845661375305E-6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1.4395093490462715E-5</v>
      </c>
      <c r="C13" s="7">
        <f>$B13 * IFERROR(VLOOKUP("LULUCF|NOx|Non-fatal heart attacks", US_national_yearly!$D:$AM, 11, FALSE) / VLOOKUP("LULUCF|NOx|Non-fatal heart attacks", US_national_yearly!$D:$AM, 10, FALSE), 1)</f>
        <v>1.4806636530468481E-5</v>
      </c>
      <c r="D13" s="7">
        <f>$B13 * IFERROR(VLOOKUP("LULUCF|NOx|Non-fatal heart attacks", US_national_yearly!$D:$AM, 12, FALSE) / VLOOKUP("LULUCF|NOx|Non-fatal heart attacks", US_national_yearly!$D:$AM, 10, FALSE), 1)</f>
        <v>1.5218179570474247E-5</v>
      </c>
      <c r="E13" s="7">
        <f>$B13 * IFERROR(VLOOKUP("LULUCF|NOx|Non-fatal heart attacks", US_national_yearly!$D:$AM, 13, FALSE) / VLOOKUP("LULUCF|NOx|Non-fatal heart attacks", US_national_yearly!$D:$AM, 10, FALSE), 1)</f>
        <v>1.562972261048001E-5</v>
      </c>
      <c r="F13" s="7">
        <f>$B13 * IFERROR(VLOOKUP("LULUCF|NOx|Non-fatal heart attacks", US_national_yearly!$D:$AM, 14, FALSE) / VLOOKUP("LULUCF|NOx|Non-fatal heart attacks", US_national_yearly!$D:$AM, 10, FALSE), 1)</f>
        <v>1.6041265650485778E-5</v>
      </c>
      <c r="G13" s="7">
        <f>$B13 * IFERROR(VLOOKUP("LULUCF|NOx|Non-fatal heart attacks", US_national_yearly!$D:$AM, 15, FALSE) / VLOOKUP("LULUCF|NOx|Non-fatal heart attacks", US_national_yearly!$D:$AM, 10, FALSE), 1)</f>
        <v>1.6425851766041877E-5</v>
      </c>
      <c r="H13" s="7">
        <f>$B13 * IFERROR(VLOOKUP("LULUCF|NOx|Non-fatal heart attacks", US_national_yearly!$D:$AM, 16, FALSE) / VLOOKUP("LULUCF|NOx|Non-fatal heart attacks", US_national_yearly!$D:$AM, 10, FALSE), 1)</f>
        <v>1.6810437881597972E-5</v>
      </c>
      <c r="I13" s="7">
        <f>$B13 * IFERROR(VLOOKUP("LULUCF|NOx|Non-fatal heart attacks", US_national_yearly!$D:$AM, 17, FALSE) / VLOOKUP("LULUCF|NOx|Non-fatal heart attacks", US_national_yearly!$D:$AM, 10, FALSE), 1)</f>
        <v>1.711364007132336E-5</v>
      </c>
      <c r="J13" s="7">
        <f>$B13 * IFERROR(VLOOKUP("LULUCF|NOx|Non-fatal heart attacks", US_national_yearly!$D:$AM, 18, FALSE) / VLOOKUP("LULUCF|NOx|Non-fatal heart attacks", US_national_yearly!$D:$AM, 10, FALSE), 1)</f>
        <v>1.7416842261048752E-5</v>
      </c>
      <c r="K13" s="7">
        <f>$B13 * IFERROR(VLOOKUP("LULUCF|NOx|Non-fatal heart attacks", US_national_yearly!$D:$AM, 19, FALSE) / VLOOKUP("LULUCF|NOx|Non-fatal heart attacks", US_national_yearly!$D:$AM, 10, FALSE), 1)</f>
        <v>1.772004445077413E-5</v>
      </c>
      <c r="L13" s="7">
        <f>$B13 * IFERROR(VLOOKUP("LULUCF|NOx|Non-fatal heart attacks", US_national_yearly!$D:$AM, 20, FALSE) / VLOOKUP("LULUCF|NOx|Non-fatal heart attacks", US_national_yearly!$D:$AM, 10, FALSE), 1)</f>
        <v>1.8023246640499528E-5</v>
      </c>
      <c r="M13" s="7">
        <f>$B13 * IFERROR(VLOOKUP("LULUCF|NOx|Non-fatal heart attacks", US_national_yearly!$D:$AM, 21, FALSE) / VLOOKUP("LULUCF|NOx|Non-fatal heart attacks", US_national_yearly!$D:$AM, 10, FALSE), 1)</f>
        <v>1.8326448830224913E-5</v>
      </c>
      <c r="N13" s="7">
        <f>$B13 * IFERROR(VLOOKUP("LULUCF|NOx|Non-fatal heart attacks", US_national_yearly!$D:$AM, 22, FALSE) / VLOOKUP("LULUCF|NOx|Non-fatal heart attacks", US_national_yearly!$D:$AM, 10, FALSE), 1)</f>
        <v>1.8508864462648481E-5</v>
      </c>
      <c r="O13" s="7">
        <f>$B13 * IFERROR(VLOOKUP("LULUCF|NOx|Non-fatal heart attacks", US_national_yearly!$D:$AM, 23, FALSE) / VLOOKUP("LULUCF|NOx|Non-fatal heart attacks", US_national_yearly!$D:$AM, 10, FALSE), 1)</f>
        <v>1.8691280095072052E-5</v>
      </c>
      <c r="P13" s="7">
        <f>$B13 * IFERROR(VLOOKUP("LULUCF|NOx|Non-fatal heart attacks", US_national_yearly!$D:$AM, 24, FALSE) / VLOOKUP("LULUCF|NOx|Non-fatal heart attacks", US_national_yearly!$D:$AM, 10, FALSE), 1)</f>
        <v>1.8873695727495621E-5</v>
      </c>
      <c r="Q13" s="7">
        <f>$B13 * IFERROR(VLOOKUP("LULUCF|NOx|Non-fatal heart attacks", US_national_yearly!$D:$AM, 25, FALSE) / VLOOKUP("LULUCF|NOx|Non-fatal heart attacks", US_national_yearly!$D:$AM, 10, FALSE), 1)</f>
        <v>1.9056111359919192E-5</v>
      </c>
      <c r="R13" s="7">
        <f>$B13 * IFERROR(VLOOKUP("LULUCF|NOx|Non-fatal heart attacks", US_national_yearly!$D:$AM, 26, FALSE) / VLOOKUP("LULUCF|NOx|Non-fatal heart attacks", US_national_yearly!$D:$AM, 10, FALSE), 1)</f>
        <v>1.9238526992342764E-5</v>
      </c>
      <c r="S13" s="7">
        <f>$B13 * IFERROR(VLOOKUP("LULUCF|NOx|Non-fatal heart attacks", US_national_yearly!$D:$AM, 27, FALSE) / VLOOKUP("LULUCF|NOx|Non-fatal heart attacks", US_national_yearly!$D:$AM, 10, FALSE), 1)</f>
        <v>1.9321271984864467E-5</v>
      </c>
      <c r="T13" s="7">
        <f>$B13 * IFERROR(VLOOKUP("LULUCF|NOx|Non-fatal heart attacks", US_national_yearly!$D:$AM, 28, FALSE) / VLOOKUP("LULUCF|NOx|Non-fatal heart attacks", US_national_yearly!$D:$AM, 10, FALSE), 1)</f>
        <v>1.9404016977386174E-5</v>
      </c>
      <c r="U13" s="7">
        <f>$B13 * IFERROR(VLOOKUP("LULUCF|NOx|Non-fatal heart attacks", US_national_yearly!$D:$AM, 29, FALSE) / VLOOKUP("LULUCF|NOx|Non-fatal heart attacks", US_national_yearly!$D:$AM, 10, FALSE), 1)</f>
        <v>1.9486761969907881E-5</v>
      </c>
      <c r="V13" s="7">
        <f>$B13 * IFERROR(VLOOKUP("LULUCF|NOx|Non-fatal heart attacks", US_national_yearly!$D:$AM, 30, FALSE) / VLOOKUP("LULUCF|NOx|Non-fatal heart attacks", US_national_yearly!$D:$AM, 10, FALSE), 1)</f>
        <v>1.9569506962429588E-5</v>
      </c>
      <c r="W13" s="7">
        <f>$B13 * IFERROR(VLOOKUP("LULUCF|NOx|Non-fatal heart attacks", US_national_yearly!$D:$AM, 31, FALSE) / VLOOKUP("LULUCF|NOx|Non-fatal heart attacks", US_national_yearly!$D:$AM, 10, FALSE), 1)</f>
        <v>1.9652251954951292E-5</v>
      </c>
      <c r="X13" s="7">
        <f>$B13 * IFERROR(VLOOKUP("LULUCF|NOx|Non-fatal heart attacks", US_national_yearly!$D:$AM, 32, FALSE) / VLOOKUP("LULUCF|NOx|Non-fatal heart attacks", US_national_yearly!$D:$AM, 10, FALSE), 1)</f>
        <v>1.9707546512847733E-5</v>
      </c>
      <c r="Y13" s="7">
        <f>$B13 * IFERROR(VLOOKUP("LULUCF|NOx|Non-fatal heart attacks", US_national_yearly!$D:$AM, 33, FALSE) / VLOOKUP("LULUCF|NOx|Non-fatal heart attacks", US_national_yearly!$D:$AM, 10, FALSE), 1)</f>
        <v>1.9762841070744174E-5</v>
      </c>
      <c r="Z13" s="7">
        <f>$B13 * IFERROR(VLOOKUP("LULUCF|NOx|Non-fatal heart attacks", US_national_yearly!$D:$AM, 34, FALSE) / VLOOKUP("LULUCF|NOx|Non-fatal heart attacks", US_national_yearly!$D:$AM, 10, FALSE), 1)</f>
        <v>1.9818135628640608E-5</v>
      </c>
      <c r="AA13" s="7">
        <f>$B13 * IFERROR(VLOOKUP("LULUCF|NOx|Non-fatal heart attacks", US_national_yearly!$D:$AM, 35, FALSE) / VLOOKUP("LULUCF|NOx|Non-fatal heart attacks", US_national_yearly!$D:$AM, 10, FALSE), 1)</f>
        <v>1.9873430186537049E-5</v>
      </c>
      <c r="AB13" s="7">
        <f>$B13 * IFERROR(VLOOKUP("LULUCF|NOx|Non-fatal heart attacks", US_national_yearly!$D:$AM, 36, FALSE) / VLOOKUP("LULUCF|NOx|Non-fatal heart attacks", US_national_yearly!$D:$AM, 10, FALSE), 1)</f>
        <v>1.992872474443349E-5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1.1946862440554127E-2</v>
      </c>
      <c r="C14" s="7">
        <f>$B14 * IFERROR(VLOOKUP("LULUCF|NOx|Minor restricted activity days", US_national_yearly!$D:$AM, 11, FALSE) / VLOOKUP("LULUCF|NOx|Minor restricted activity days", US_national_yearly!$D:$AM, 10, FALSE), 1)</f>
        <v>1.1965178985581493E-2</v>
      </c>
      <c r="D14" s="7">
        <f>$B14 * IFERROR(VLOOKUP("LULUCF|NOx|Minor restricted activity days", US_national_yearly!$D:$AM, 12, FALSE) / VLOOKUP("LULUCF|NOx|Minor restricted activity days", US_national_yearly!$D:$AM, 10, FALSE), 1)</f>
        <v>1.1983495530608861E-2</v>
      </c>
      <c r="E14" s="7">
        <f>$B14 * IFERROR(VLOOKUP("LULUCF|NOx|Minor restricted activity days", US_national_yearly!$D:$AM, 13, FALSE) / VLOOKUP("LULUCF|NOx|Minor restricted activity days", US_national_yearly!$D:$AM, 10, FALSE), 1)</f>
        <v>1.2001812075636229E-2</v>
      </c>
      <c r="F14" s="7">
        <f>$B14 * IFERROR(VLOOKUP("LULUCF|NOx|Minor restricted activity days", US_national_yearly!$D:$AM, 14, FALSE) / VLOOKUP("LULUCF|NOx|Minor restricted activity days", US_national_yearly!$D:$AM, 10, FALSE), 1)</f>
        <v>1.2020128620663595E-2</v>
      </c>
      <c r="G14" s="7">
        <f>$B14 * IFERROR(VLOOKUP("LULUCF|NOx|Minor restricted activity days", US_national_yearly!$D:$AM, 15, FALSE) / VLOOKUP("LULUCF|NOx|Minor restricted activity days", US_national_yearly!$D:$AM, 10, FALSE), 1)</f>
        <v>1.2053203941270678E-2</v>
      </c>
      <c r="H14" s="7">
        <f>$B14 * IFERROR(VLOOKUP("LULUCF|NOx|Minor restricted activity days", US_national_yearly!$D:$AM, 16, FALSE) / VLOOKUP("LULUCF|NOx|Minor restricted activity days", US_national_yearly!$D:$AM, 10, FALSE), 1)</f>
        <v>1.2086279261877757E-2</v>
      </c>
      <c r="I14" s="7">
        <f>$B14 * IFERROR(VLOOKUP("LULUCF|NOx|Minor restricted activity days", US_national_yearly!$D:$AM, 17, FALSE) / VLOOKUP("LULUCF|NOx|Minor restricted activity days", US_national_yearly!$D:$AM, 10, FALSE), 1)</f>
        <v>1.2150973281051696E-2</v>
      </c>
      <c r="J14" s="7">
        <f>$B14 * IFERROR(VLOOKUP("LULUCF|NOx|Minor restricted activity days", US_national_yearly!$D:$AM, 18, FALSE) / VLOOKUP("LULUCF|NOx|Minor restricted activity days", US_national_yearly!$D:$AM, 10, FALSE), 1)</f>
        <v>1.2215667300225632E-2</v>
      </c>
      <c r="K14" s="7">
        <f>$B14 * IFERROR(VLOOKUP("LULUCF|NOx|Minor restricted activity days", US_national_yearly!$D:$AM, 19, FALSE) / VLOOKUP("LULUCF|NOx|Minor restricted activity days", US_national_yearly!$D:$AM, 10, FALSE), 1)</f>
        <v>1.2280361319399571E-2</v>
      </c>
      <c r="L14" s="7">
        <f>$B14 * IFERROR(VLOOKUP("LULUCF|NOx|Minor restricted activity days", US_national_yearly!$D:$AM, 20, FALSE) / VLOOKUP("LULUCF|NOx|Minor restricted activity days", US_national_yearly!$D:$AM, 10, FALSE), 1)</f>
        <v>1.2345055338573507E-2</v>
      </c>
      <c r="M14" s="7">
        <f>$B14 * IFERROR(VLOOKUP("LULUCF|NOx|Minor restricted activity days", US_national_yearly!$D:$AM, 21, FALSE) / VLOOKUP("LULUCF|NOx|Minor restricted activity days", US_national_yearly!$D:$AM, 10, FALSE), 1)</f>
        <v>1.2409749357747446E-2</v>
      </c>
      <c r="N14" s="7">
        <f>$B14 * IFERROR(VLOOKUP("LULUCF|NOx|Minor restricted activity days", US_national_yearly!$D:$AM, 22, FALSE) / VLOOKUP("LULUCF|NOx|Minor restricted activity days", US_national_yearly!$D:$AM, 10, FALSE), 1)</f>
        <v>1.25023765241534E-2</v>
      </c>
      <c r="O14" s="7">
        <f>$B14 * IFERROR(VLOOKUP("LULUCF|NOx|Minor restricted activity days", US_national_yearly!$D:$AM, 23, FALSE) / VLOOKUP("LULUCF|NOx|Minor restricted activity days", US_national_yearly!$D:$AM, 10, FALSE), 1)</f>
        <v>1.2595003690559355E-2</v>
      </c>
      <c r="P14" s="7">
        <f>$B14 * IFERROR(VLOOKUP("LULUCF|NOx|Minor restricted activity days", US_national_yearly!$D:$AM, 24, FALSE) / VLOOKUP("LULUCF|NOx|Minor restricted activity days", US_national_yearly!$D:$AM, 10, FALSE), 1)</f>
        <v>1.268763085696531E-2</v>
      </c>
      <c r="Q14" s="7">
        <f>$B14 * IFERROR(VLOOKUP("LULUCF|NOx|Minor restricted activity days", US_national_yearly!$D:$AM, 25, FALSE) / VLOOKUP("LULUCF|NOx|Minor restricted activity days", US_national_yearly!$D:$AM, 10, FALSE), 1)</f>
        <v>1.2780258023371264E-2</v>
      </c>
      <c r="R14" s="7">
        <f>$B14 * IFERROR(VLOOKUP("LULUCF|NOx|Minor restricted activity days", US_national_yearly!$D:$AM, 26, FALSE) / VLOOKUP("LULUCF|NOx|Minor restricted activity days", US_national_yearly!$D:$AM, 10, FALSE), 1)</f>
        <v>1.2872885189777221E-2</v>
      </c>
      <c r="S14" s="7">
        <f>$B14 * IFERROR(VLOOKUP("LULUCF|NOx|Minor restricted activity days", US_national_yearly!$D:$AM, 27, FALSE) / VLOOKUP("LULUCF|NOx|Minor restricted activity days", US_national_yearly!$D:$AM, 10, FALSE), 1)</f>
        <v>1.2965492881519691E-2</v>
      </c>
      <c r="T14" s="7">
        <f>$B14 * IFERROR(VLOOKUP("LULUCF|NOx|Minor restricted activity days", US_national_yearly!$D:$AM, 28, FALSE) / VLOOKUP("LULUCF|NOx|Minor restricted activity days", US_national_yearly!$D:$AM, 10, FALSE), 1)</f>
        <v>1.3058100573262161E-2</v>
      </c>
      <c r="U14" s="7">
        <f>$B14 * IFERROR(VLOOKUP("LULUCF|NOx|Minor restricted activity days", US_national_yearly!$D:$AM, 29, FALSE) / VLOOKUP("LULUCF|NOx|Minor restricted activity days", US_national_yearly!$D:$AM, 10, FALSE), 1)</f>
        <v>1.3150708265004633E-2</v>
      </c>
      <c r="V14" s="7">
        <f>$B14 * IFERROR(VLOOKUP("LULUCF|NOx|Minor restricted activity days", US_national_yearly!$D:$AM, 30, FALSE) / VLOOKUP("LULUCF|NOx|Minor restricted activity days", US_national_yearly!$D:$AM, 10, FALSE), 1)</f>
        <v>1.3243315956747105E-2</v>
      </c>
      <c r="W14" s="7">
        <f>$B14 * IFERROR(VLOOKUP("LULUCF|NOx|Minor restricted activity days", US_national_yearly!$D:$AM, 31, FALSE) / VLOOKUP("LULUCF|NOx|Minor restricted activity days", US_national_yearly!$D:$AM, 10, FALSE), 1)</f>
        <v>1.3335923648489574E-2</v>
      </c>
      <c r="X14" s="7">
        <f>$B14 * IFERROR(VLOOKUP("LULUCF|NOx|Minor restricted activity days", US_national_yearly!$D:$AM, 32, FALSE) / VLOOKUP("LULUCF|NOx|Minor restricted activity days", US_national_yearly!$D:$AM, 10, FALSE), 1)</f>
        <v>1.3414219923890965E-2</v>
      </c>
      <c r="Y14" s="7">
        <f>$B14 * IFERROR(VLOOKUP("LULUCF|NOx|Minor restricted activity days", US_national_yearly!$D:$AM, 33, FALSE) / VLOOKUP("LULUCF|NOx|Minor restricted activity days", US_national_yearly!$D:$AM, 10, FALSE), 1)</f>
        <v>1.3492516199292355E-2</v>
      </c>
      <c r="Z14" s="7">
        <f>$B14 * IFERROR(VLOOKUP("LULUCF|NOx|Minor restricted activity days", US_national_yearly!$D:$AM, 34, FALSE) / VLOOKUP("LULUCF|NOx|Minor restricted activity days", US_national_yearly!$D:$AM, 10, FALSE), 1)</f>
        <v>1.3570812474693746E-2</v>
      </c>
      <c r="AA14" s="7">
        <f>$B14 * IFERROR(VLOOKUP("LULUCF|NOx|Minor restricted activity days", US_national_yearly!$D:$AM, 35, FALSE) / VLOOKUP("LULUCF|NOx|Minor restricted activity days", US_national_yearly!$D:$AM, 10, FALSE), 1)</f>
        <v>1.3649108750095135E-2</v>
      </c>
      <c r="AB14" s="7">
        <f>$B14 * IFERROR(VLOOKUP("LULUCF|NOx|Minor restricted activity days", US_national_yearly!$D:$AM, 36, FALSE) / VLOOKUP("LULUCF|NOx|Minor restricted activity days", US_national_yearly!$D:$AM, 10, FALSE), 1)</f>
        <v>1.3727405025496527E-2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2.0394777334585361E-3</v>
      </c>
      <c r="C15" s="7">
        <f>$B15 * IFERROR(VLOOKUP("LULUCF|NOx|Work loss days", US_national_yearly!$D:$AM, 11, FALSE) / VLOOKUP("LULUCF|NOx|Work loss days", US_national_yearly!$D:$AM, 10, FALSE), 1)</f>
        <v>2.0440144419596432E-3</v>
      </c>
      <c r="D15" s="7">
        <f>$B15 * IFERROR(VLOOKUP("LULUCF|NOx|Work loss days", US_national_yearly!$D:$AM, 12, FALSE) / VLOOKUP("LULUCF|NOx|Work loss days", US_national_yearly!$D:$AM, 10, FALSE), 1)</f>
        <v>2.0485511504607506E-3</v>
      </c>
      <c r="E15" s="7">
        <f>$B15 * IFERROR(VLOOKUP("LULUCF|NOx|Work loss days", US_national_yearly!$D:$AM, 13, FALSE) / VLOOKUP("LULUCF|NOx|Work loss days", US_national_yearly!$D:$AM, 10, FALSE), 1)</f>
        <v>2.0530878589618577E-3</v>
      </c>
      <c r="F15" s="7">
        <f>$B15 * IFERROR(VLOOKUP("LULUCF|NOx|Work loss days", US_national_yearly!$D:$AM, 14, FALSE) / VLOOKUP("LULUCF|NOx|Work loss days", US_national_yearly!$D:$AM, 10, FALSE), 1)</f>
        <v>2.0576245674629652E-3</v>
      </c>
      <c r="G15" s="7">
        <f>$B15 * IFERROR(VLOOKUP("LULUCF|NOx|Work loss days", US_national_yearly!$D:$AM, 15, FALSE) / VLOOKUP("LULUCF|NOx|Work loss days", US_national_yearly!$D:$AM, 10, FALSE), 1)</f>
        <v>2.0642482005747199E-3</v>
      </c>
      <c r="H15" s="7">
        <f>$B15 * IFERROR(VLOOKUP("LULUCF|NOx|Work loss days", US_national_yearly!$D:$AM, 16, FALSE) / VLOOKUP("LULUCF|NOx|Work loss days", US_national_yearly!$D:$AM, 10, FALSE), 1)</f>
        <v>2.0708718336864746E-3</v>
      </c>
      <c r="I15" s="7">
        <f>$B15 * IFERROR(VLOOKUP("LULUCF|NOx|Work loss days", US_national_yearly!$D:$AM, 17, FALSE) / VLOOKUP("LULUCF|NOx|Work loss days", US_national_yearly!$D:$AM, 10, FALSE), 1)</f>
        <v>2.0816017603516612E-3</v>
      </c>
      <c r="J15" s="7">
        <f>$B15 * IFERROR(VLOOKUP("LULUCF|NOx|Work loss days", US_national_yearly!$D:$AM, 18, FALSE) / VLOOKUP("LULUCF|NOx|Work loss days", US_national_yearly!$D:$AM, 10, FALSE), 1)</f>
        <v>2.0923316870168486E-3</v>
      </c>
      <c r="K15" s="7">
        <f>$B15 * IFERROR(VLOOKUP("LULUCF|NOx|Work loss days", US_national_yearly!$D:$AM, 19, FALSE) / VLOOKUP("LULUCF|NOx|Work loss days", US_national_yearly!$D:$AM, 10, FALSE), 1)</f>
        <v>2.1030616136820351E-3</v>
      </c>
      <c r="L15" s="7">
        <f>$B15 * IFERROR(VLOOKUP("LULUCF|NOx|Work loss days", US_national_yearly!$D:$AM, 20, FALSE) / VLOOKUP("LULUCF|NOx|Work loss days", US_national_yearly!$D:$AM, 10, FALSE), 1)</f>
        <v>2.1137915403472217E-3</v>
      </c>
      <c r="M15" s="7">
        <f>$B15 * IFERROR(VLOOKUP("LULUCF|NOx|Work loss days", US_national_yearly!$D:$AM, 21, FALSE) / VLOOKUP("LULUCF|NOx|Work loss days", US_national_yearly!$D:$AM, 10, FALSE), 1)</f>
        <v>2.1245214670124091E-3</v>
      </c>
      <c r="N15" s="7">
        <f>$B15 * IFERROR(VLOOKUP("LULUCF|NOx|Work loss days", US_national_yearly!$D:$AM, 22, FALSE) / VLOOKUP("LULUCF|NOx|Work loss days", US_national_yearly!$D:$AM, 10, FALSE), 1)</f>
        <v>2.1384858081495216E-3</v>
      </c>
      <c r="O15" s="7">
        <f>$B15 * IFERROR(VLOOKUP("LULUCF|NOx|Work loss days", US_national_yearly!$D:$AM, 23, FALSE) / VLOOKUP("LULUCF|NOx|Work loss days", US_national_yearly!$D:$AM, 10, FALSE), 1)</f>
        <v>2.152450149286634E-3</v>
      </c>
      <c r="P15" s="7">
        <f>$B15 * IFERROR(VLOOKUP("LULUCF|NOx|Work loss days", US_national_yearly!$D:$AM, 24, FALSE) / VLOOKUP("LULUCF|NOx|Work loss days", US_national_yearly!$D:$AM, 10, FALSE), 1)</f>
        <v>2.1664144904237465E-3</v>
      </c>
      <c r="Q15" s="7">
        <f>$B15 * IFERROR(VLOOKUP("LULUCF|NOx|Work loss days", US_national_yearly!$D:$AM, 25, FALSE) / VLOOKUP("LULUCF|NOx|Work loss days", US_national_yearly!$D:$AM, 10, FALSE), 1)</f>
        <v>2.1803788315608585E-3</v>
      </c>
      <c r="R15" s="7">
        <f>$B15 * IFERROR(VLOOKUP("LULUCF|NOx|Work loss days", US_national_yearly!$D:$AM, 26, FALSE) / VLOOKUP("LULUCF|NOx|Work loss days", US_national_yearly!$D:$AM, 10, FALSE), 1)</f>
        <v>2.1943431726979714E-3</v>
      </c>
      <c r="S15" s="7">
        <f>$B15 * IFERROR(VLOOKUP("LULUCF|NOx|Work loss days", US_national_yearly!$D:$AM, 27, FALSE) / VLOOKUP("LULUCF|NOx|Work loss days", US_national_yearly!$D:$AM, 10, FALSE), 1)</f>
        <v>2.2099116275571999E-3</v>
      </c>
      <c r="T15" s="7">
        <f>$B15 * IFERROR(VLOOKUP("LULUCF|NOx|Work loss days", US_national_yearly!$D:$AM, 28, FALSE) / VLOOKUP("LULUCF|NOx|Work loss days", US_national_yearly!$D:$AM, 10, FALSE), 1)</f>
        <v>2.2254800824164284E-3</v>
      </c>
      <c r="U15" s="7">
        <f>$B15 * IFERROR(VLOOKUP("LULUCF|NOx|Work loss days", US_national_yearly!$D:$AM, 29, FALSE) / VLOOKUP("LULUCF|NOx|Work loss days", US_national_yearly!$D:$AM, 10, FALSE), 1)</f>
        <v>2.2410485372756565E-3</v>
      </c>
      <c r="V15" s="7">
        <f>$B15 * IFERROR(VLOOKUP("LULUCF|NOx|Work loss days", US_national_yearly!$D:$AM, 30, FALSE) / VLOOKUP("LULUCF|NOx|Work loss days", US_national_yearly!$D:$AM, 10, FALSE), 1)</f>
        <v>2.256616992134885E-3</v>
      </c>
      <c r="W15" s="7">
        <f>$B15 * IFERROR(VLOOKUP("LULUCF|NOx|Work loss days", US_national_yearly!$D:$AM, 31, FALSE) / VLOOKUP("LULUCF|NOx|Work loss days", US_national_yearly!$D:$AM, 10, FALSE), 1)</f>
        <v>2.2721854469941135E-3</v>
      </c>
      <c r="X15" s="7">
        <f>$B15 * IFERROR(VLOOKUP("LULUCF|NOx|Work loss days", US_national_yearly!$D:$AM, 32, FALSE) / VLOOKUP("LULUCF|NOx|Work loss days", US_national_yearly!$D:$AM, 10, FALSE), 1)</f>
        <v>2.2856980357526548E-3</v>
      </c>
      <c r="Y15" s="7">
        <f>$B15 * IFERROR(VLOOKUP("LULUCF|NOx|Work loss days", US_national_yearly!$D:$AM, 33, FALSE) / VLOOKUP("LULUCF|NOx|Work loss days", US_national_yearly!$D:$AM, 10, FALSE), 1)</f>
        <v>2.2992106245111965E-3</v>
      </c>
      <c r="Z15" s="7">
        <f>$B15 * IFERROR(VLOOKUP("LULUCF|NOx|Work loss days", US_national_yearly!$D:$AM, 34, FALSE) / VLOOKUP("LULUCF|NOx|Work loss days", US_national_yearly!$D:$AM, 10, FALSE), 1)</f>
        <v>2.3127232132697378E-3</v>
      </c>
      <c r="AA15" s="7">
        <f>$B15 * IFERROR(VLOOKUP("LULUCF|NOx|Work loss days", US_national_yearly!$D:$AM, 35, FALSE) / VLOOKUP("LULUCF|NOx|Work loss days", US_national_yearly!$D:$AM, 10, FALSE), 1)</f>
        <v>2.3262358020282791E-3</v>
      </c>
      <c r="AB15" s="7">
        <f>$B15 * IFERROR(VLOOKUP("LULUCF|NOx|Work loss days", US_national_yearly!$D:$AM, 36, FALSE) / VLOOKUP("LULUCF|NOx|Work loss days", US_national_yearly!$D:$AM, 10, FALSE), 1)</f>
        <v>2.3397483907868209E-3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2.9239973363944238E-6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3.0099179212644283E-6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3.0958385061344324E-6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3.1817590910044365E-6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3.267679675874441E-6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3.3492900224187187E-6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3.430900368962997E-6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3.4995283745238585E-6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3.5681563800847195E-6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3.636784385645581E-6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3.7054123912064421E-6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3.7740403967673045E-6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3.8169557626187765E-6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3.8598711284702494E-6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3.9027864943217214E-6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3.9457018601731943E-6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3.9886172260246663E-6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4.0081983289861182E-6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4.0277794319475692E-6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4.0473605349090194E-6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4.0669416378704713E-6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4.0865227408319224E-6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4.0974203034992679E-6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4.1083178661666134E-6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4.1192154288339589E-6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4.1301129915013045E-6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4.14101055416865E-6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2.8128268090814884E-5</v>
      </c>
      <c r="C2" s="7">
        <f>$B2 * IFERROR(VLOOKUP("LULUCF|SO2|Premature mortality", US_national_yearly!$D:$AM, 11, FALSE) / VLOOKUP("LULUCF|SO2|Premature mortality", US_national_yearly!$D:$AM, 10, FALSE), 1)</f>
        <v>2.8484497386979687E-5</v>
      </c>
      <c r="D2" s="7">
        <f>$B2 * IFERROR(VLOOKUP("LULUCF|SO2|Premature mortality", US_national_yearly!$D:$AM, 12, FALSE) / VLOOKUP("LULUCF|SO2|Premature mortality", US_national_yearly!$D:$AM, 10, FALSE), 1)</f>
        <v>2.8840726683144497E-5</v>
      </c>
      <c r="E2" s="7">
        <f>$B2 * IFERROR(VLOOKUP("LULUCF|SO2|Premature mortality", US_national_yearly!$D:$AM, 13, FALSE) / VLOOKUP("LULUCF|SO2|Premature mortality", US_national_yearly!$D:$AM, 10, FALSE), 1)</f>
        <v>2.9196955979309301E-5</v>
      </c>
      <c r="F2" s="7">
        <f>$B2 * IFERROR(VLOOKUP("LULUCF|SO2|Premature mortality", US_national_yearly!$D:$AM, 14, FALSE) / VLOOKUP("LULUCF|SO2|Premature mortality", US_national_yearly!$D:$AM, 10, FALSE), 1)</f>
        <v>2.9553185275474107E-5</v>
      </c>
      <c r="G2" s="7">
        <f>$B2 * IFERROR(VLOOKUP("LULUCF|SO2|Premature mortality", US_national_yearly!$D:$AM, 15, FALSE) / VLOOKUP("LULUCF|SO2|Premature mortality", US_national_yearly!$D:$AM, 10, FALSE), 1)</f>
        <v>3.0239618940297367E-5</v>
      </c>
      <c r="H2" s="7">
        <f>$B2 * IFERROR(VLOOKUP("LULUCF|SO2|Premature mortality", US_national_yearly!$D:$AM, 16, FALSE) / VLOOKUP("LULUCF|SO2|Premature mortality", US_national_yearly!$D:$AM, 10, FALSE), 1)</f>
        <v>3.0926052605120619E-5</v>
      </c>
      <c r="I2" s="7">
        <f>$B2 * IFERROR(VLOOKUP("LULUCF|SO2|Premature mortality", US_national_yearly!$D:$AM, 17, FALSE) / VLOOKUP("LULUCF|SO2|Premature mortality", US_national_yearly!$D:$AM, 10, FALSE), 1)</f>
        <v>3.1379690031385545E-5</v>
      </c>
      <c r="J2" s="7">
        <f>$B2 * IFERROR(VLOOKUP("LULUCF|SO2|Premature mortality", US_national_yearly!$D:$AM, 18, FALSE) / VLOOKUP("LULUCF|SO2|Premature mortality", US_national_yearly!$D:$AM, 10, FALSE), 1)</f>
        <v>3.1833327457650464E-5</v>
      </c>
      <c r="K2" s="7">
        <f>$B2 * IFERROR(VLOOKUP("LULUCF|SO2|Premature mortality", US_national_yearly!$D:$AM, 19, FALSE) / VLOOKUP("LULUCF|SO2|Premature mortality", US_national_yearly!$D:$AM, 10, FALSE), 1)</f>
        <v>3.2286964883915383E-5</v>
      </c>
      <c r="L2" s="7">
        <f>$B2 * IFERROR(VLOOKUP("LULUCF|SO2|Premature mortality", US_national_yearly!$D:$AM, 20, FALSE) / VLOOKUP("LULUCF|SO2|Premature mortality", US_national_yearly!$D:$AM, 10, FALSE), 1)</f>
        <v>3.2740602310180303E-5</v>
      </c>
      <c r="M2" s="7">
        <f>$B2 * IFERROR(VLOOKUP("LULUCF|SO2|Premature mortality", US_national_yearly!$D:$AM, 21, FALSE) / VLOOKUP("LULUCF|SO2|Premature mortality", US_national_yearly!$D:$AM, 10, FALSE), 1)</f>
        <v>3.3194239736445228E-5</v>
      </c>
      <c r="N2" s="7">
        <f>$B2 * IFERROR(VLOOKUP("LULUCF|SO2|Premature mortality", US_national_yearly!$D:$AM, 22, FALSE) / VLOOKUP("LULUCF|SO2|Premature mortality", US_national_yearly!$D:$AM, 10, FALSE), 1)</f>
        <v>3.3548687414797696E-5</v>
      </c>
      <c r="O2" s="7">
        <f>$B2 * IFERROR(VLOOKUP("LULUCF|SO2|Premature mortality", US_national_yearly!$D:$AM, 23, FALSE) / VLOOKUP("LULUCF|SO2|Premature mortality", US_national_yearly!$D:$AM, 10, FALSE), 1)</f>
        <v>3.3903135093150158E-5</v>
      </c>
      <c r="P2" s="7">
        <f>$B2 * IFERROR(VLOOKUP("LULUCF|SO2|Premature mortality", US_national_yearly!$D:$AM, 24, FALSE) / VLOOKUP("LULUCF|SO2|Premature mortality", US_national_yearly!$D:$AM, 10, FALSE), 1)</f>
        <v>3.4257582771502626E-5</v>
      </c>
      <c r="Q2" s="7">
        <f>$B2 * IFERROR(VLOOKUP("LULUCF|SO2|Premature mortality", US_national_yearly!$D:$AM, 25, FALSE) / VLOOKUP("LULUCF|SO2|Premature mortality", US_national_yearly!$D:$AM, 10, FALSE), 1)</f>
        <v>3.4612030449855094E-5</v>
      </c>
      <c r="R2" s="7">
        <f>$B2 * IFERROR(VLOOKUP("LULUCF|SO2|Premature mortality", US_national_yearly!$D:$AM, 26, FALSE) / VLOOKUP("LULUCF|SO2|Premature mortality", US_national_yearly!$D:$AM, 10, FALSE), 1)</f>
        <v>3.4966478128207548E-5</v>
      </c>
      <c r="S2" s="7">
        <f>$B2 * IFERROR(VLOOKUP("LULUCF|SO2|Premature mortality", US_national_yearly!$D:$AM, 27, FALSE) / VLOOKUP("LULUCF|SO2|Premature mortality", US_national_yearly!$D:$AM, 10, FALSE), 1)</f>
        <v>3.5156289579506757E-5</v>
      </c>
      <c r="T2" s="7">
        <f>$B2 * IFERROR(VLOOKUP("LULUCF|SO2|Premature mortality", US_national_yearly!$D:$AM, 28, FALSE) / VLOOKUP("LULUCF|SO2|Premature mortality", US_national_yearly!$D:$AM, 10, FALSE), 1)</f>
        <v>3.5346101030805958E-5</v>
      </c>
      <c r="U2" s="7">
        <f>$B2 * IFERROR(VLOOKUP("LULUCF|SO2|Premature mortality", US_national_yearly!$D:$AM, 29, FALSE) / VLOOKUP("LULUCF|SO2|Premature mortality", US_national_yearly!$D:$AM, 10, FALSE), 1)</f>
        <v>3.5535912482105159E-5</v>
      </c>
      <c r="V2" s="7">
        <f>$B2 * IFERROR(VLOOKUP("LULUCF|SO2|Premature mortality", US_national_yearly!$D:$AM, 30, FALSE) / VLOOKUP("LULUCF|SO2|Premature mortality", US_national_yearly!$D:$AM, 10, FALSE), 1)</f>
        <v>3.572572393340436E-5</v>
      </c>
      <c r="W2" s="7">
        <f>$B2 * IFERROR(VLOOKUP("LULUCF|SO2|Premature mortality", US_national_yearly!$D:$AM, 31, FALSE) / VLOOKUP("LULUCF|SO2|Premature mortality", US_national_yearly!$D:$AM, 10, FALSE), 1)</f>
        <v>3.5915535384703568E-5</v>
      </c>
      <c r="X2" s="7">
        <f>$B2 * IFERROR(VLOOKUP("LULUCF|SO2|Premature mortality", US_national_yearly!$D:$AM, 32, FALSE) / VLOOKUP("LULUCF|SO2|Premature mortality", US_national_yearly!$D:$AM, 10, FALSE), 1)</f>
        <v>3.5954096161624563E-5</v>
      </c>
      <c r="Y2" s="7">
        <f>$B2 * IFERROR(VLOOKUP("LULUCF|SO2|Premature mortality", US_national_yearly!$D:$AM, 33, FALSE) / VLOOKUP("LULUCF|SO2|Premature mortality", US_national_yearly!$D:$AM, 10, FALSE), 1)</f>
        <v>3.5992656938545572E-5</v>
      </c>
      <c r="Z2" s="7">
        <f>$B2 * IFERROR(VLOOKUP("LULUCF|SO2|Premature mortality", US_national_yearly!$D:$AM, 34, FALSE) / VLOOKUP("LULUCF|SO2|Premature mortality", US_national_yearly!$D:$AM, 10, FALSE), 1)</f>
        <v>3.6031217715466574E-5</v>
      </c>
      <c r="AA2" s="7">
        <f>$B2 * IFERROR(VLOOKUP("LULUCF|SO2|Premature mortality", US_national_yearly!$D:$AM, 35, FALSE) / VLOOKUP("LULUCF|SO2|Premature mortality", US_national_yearly!$D:$AM, 10, FALSE), 1)</f>
        <v>3.6069778492387582E-5</v>
      </c>
      <c r="AB2" s="7">
        <f>$B2 * IFERROR(VLOOKUP("LULUCF|SO2|Premature mortality", US_national_yearly!$D:$AM, 36, FALSE) / VLOOKUP("LULUCF|SO2|Premature mortality", US_national_yearly!$D:$AM, 10, FALSE), 1)</f>
        <v>3.6108339269308577E-5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7.969208362036114E-8</v>
      </c>
      <c r="C3" s="7">
        <f>$B3 * IFERROR(VLOOKUP("LULUCF|SO2|Infant mortality", US_national_yearly!$D:$AM, 11, FALSE) / VLOOKUP("LULUCF|SO2|Infant mortality", US_national_yearly!$D:$AM, 10, FALSE), 1)</f>
        <v>7.9007514085782228E-8</v>
      </c>
      <c r="D3" s="7">
        <f>$B3 * IFERROR(VLOOKUP("LULUCF|SO2|Infant mortality", US_national_yearly!$D:$AM, 12, FALSE) / VLOOKUP("LULUCF|SO2|Infant mortality", US_national_yearly!$D:$AM, 10, FALSE), 1)</f>
        <v>7.8322944551203317E-8</v>
      </c>
      <c r="E3" s="7">
        <f>$B3 * IFERROR(VLOOKUP("LULUCF|SO2|Infant mortality", US_national_yearly!$D:$AM, 13, FALSE) / VLOOKUP("LULUCF|SO2|Infant mortality", US_national_yearly!$D:$AM, 10, FALSE), 1)</f>
        <v>7.7638375016624392E-8</v>
      </c>
      <c r="F3" s="7">
        <f>$B3 * IFERROR(VLOOKUP("LULUCF|SO2|Infant mortality", US_national_yearly!$D:$AM, 14, FALSE) / VLOOKUP("LULUCF|SO2|Infant mortality", US_national_yearly!$D:$AM, 10, FALSE), 1)</f>
        <v>7.695380548204548E-8</v>
      </c>
      <c r="G3" s="7">
        <f>$B3 * IFERROR(VLOOKUP("LULUCF|SO2|Infant mortality", US_national_yearly!$D:$AM, 15, FALSE) / VLOOKUP("LULUCF|SO2|Infant mortality", US_national_yearly!$D:$AM, 10, FALSE), 1)</f>
        <v>5.1257432432176002E-8</v>
      </c>
      <c r="H3" s="7">
        <f>$B3 * IFERROR(VLOOKUP("LULUCF|SO2|Infant mortality", US_national_yearly!$D:$AM, 16, FALSE) / VLOOKUP("LULUCF|SO2|Infant mortality", US_national_yearly!$D:$AM, 10, FALSE), 1)</f>
        <v>2.5561059382306556E-8</v>
      </c>
      <c r="I3" s="7">
        <f>$B3 * IFERROR(VLOOKUP("LULUCF|SO2|Infant mortality", US_national_yearly!$D:$AM, 17, FALSE) / VLOOKUP("LULUCF|SO2|Infant mortality", US_national_yearly!$D:$AM, 10, FALSE), 1)</f>
        <v>2.5400707138024127E-8</v>
      </c>
      <c r="J3" s="7">
        <f>$B3 * IFERROR(VLOOKUP("LULUCF|SO2|Infant mortality", US_national_yearly!$D:$AM, 18, FALSE) / VLOOKUP("LULUCF|SO2|Infant mortality", US_national_yearly!$D:$AM, 10, FALSE), 1)</f>
        <v>2.5240354893741699E-8</v>
      </c>
      <c r="K3" s="7">
        <f>$B3 * IFERROR(VLOOKUP("LULUCF|SO2|Infant mortality", US_national_yearly!$D:$AM, 19, FALSE) / VLOOKUP("LULUCF|SO2|Infant mortality", US_national_yearly!$D:$AM, 10, FALSE), 1)</f>
        <v>2.5080002649459271E-8</v>
      </c>
      <c r="L3" s="7">
        <f>$B3 * IFERROR(VLOOKUP("LULUCF|SO2|Infant mortality", US_national_yearly!$D:$AM, 20, FALSE) / VLOOKUP("LULUCF|SO2|Infant mortality", US_national_yearly!$D:$AM, 10, FALSE), 1)</f>
        <v>2.4919650405176846E-8</v>
      </c>
      <c r="M3" s="7">
        <f>$B3 * IFERROR(VLOOKUP("LULUCF|SO2|Infant mortality", US_national_yearly!$D:$AM, 21, FALSE) / VLOOKUP("LULUCF|SO2|Infant mortality", US_national_yearly!$D:$AM, 10, FALSE), 1)</f>
        <v>2.4759298160894417E-8</v>
      </c>
      <c r="N3" s="7">
        <f>$B3 * IFERROR(VLOOKUP("LULUCF|SO2|Infant mortality", US_national_yearly!$D:$AM, 22, FALSE) / VLOOKUP("LULUCF|SO2|Infant mortality", US_national_yearly!$D:$AM, 10, FALSE), 1)</f>
        <v>2.4658646257661429E-8</v>
      </c>
      <c r="O3" s="7">
        <f>$B3 * IFERROR(VLOOKUP("LULUCF|SO2|Infant mortality", US_national_yearly!$D:$AM, 23, FALSE) / VLOOKUP("LULUCF|SO2|Infant mortality", US_national_yearly!$D:$AM, 10, FALSE), 1)</f>
        <v>2.4557994354428438E-8</v>
      </c>
      <c r="P3" s="7">
        <f>$B3 * IFERROR(VLOOKUP("LULUCF|SO2|Infant mortality", US_national_yearly!$D:$AM, 24, FALSE) / VLOOKUP("LULUCF|SO2|Infant mortality", US_national_yearly!$D:$AM, 10, FALSE), 1)</f>
        <v>2.4457342451195444E-8</v>
      </c>
      <c r="Q3" s="7">
        <f>$B3 * IFERROR(VLOOKUP("LULUCF|SO2|Infant mortality", US_national_yearly!$D:$AM, 25, FALSE) / VLOOKUP("LULUCF|SO2|Infant mortality", US_national_yearly!$D:$AM, 10, FALSE), 1)</f>
        <v>2.4356690547962456E-8</v>
      </c>
      <c r="R3" s="7">
        <f>$B3 * IFERROR(VLOOKUP("LULUCF|SO2|Infant mortality", US_national_yearly!$D:$AM, 26, FALSE) / VLOOKUP("LULUCF|SO2|Infant mortality", US_national_yearly!$D:$AM, 10, FALSE), 1)</f>
        <v>2.4256038644729462E-8</v>
      </c>
      <c r="S3" s="7">
        <f>$B3 * IFERROR(VLOOKUP("LULUCF|SO2|Infant mortality", US_national_yearly!$D:$AM, 27, FALSE) / VLOOKUP("LULUCF|SO2|Infant mortality", US_national_yearly!$D:$AM, 10, FALSE), 1)</f>
        <v>2.412966404837524E-8</v>
      </c>
      <c r="T3" s="7">
        <f>$B3 * IFERROR(VLOOKUP("LULUCF|SO2|Infant mortality", US_national_yearly!$D:$AM, 28, FALSE) / VLOOKUP("LULUCF|SO2|Infant mortality", US_national_yearly!$D:$AM, 10, FALSE), 1)</f>
        <v>2.4003289452021018E-8</v>
      </c>
      <c r="U3" s="7">
        <f>$B3 * IFERROR(VLOOKUP("LULUCF|SO2|Infant mortality", US_national_yearly!$D:$AM, 29, FALSE) / VLOOKUP("LULUCF|SO2|Infant mortality", US_national_yearly!$D:$AM, 10, FALSE), 1)</f>
        <v>2.3876914855666789E-8</v>
      </c>
      <c r="V3" s="7">
        <f>$B3 * IFERROR(VLOOKUP("LULUCF|SO2|Infant mortality", US_national_yearly!$D:$AM, 30, FALSE) / VLOOKUP("LULUCF|SO2|Infant mortality", US_national_yearly!$D:$AM, 10, FALSE), 1)</f>
        <v>2.3750540259312573E-8</v>
      </c>
      <c r="W3" s="7">
        <f>$B3 * IFERROR(VLOOKUP("LULUCF|SO2|Infant mortality", US_national_yearly!$D:$AM, 31, FALSE) / VLOOKUP("LULUCF|SO2|Infant mortality", US_national_yearly!$D:$AM, 10, FALSE), 1)</f>
        <v>2.3624165662958348E-8</v>
      </c>
      <c r="X3" s="7">
        <f>$B3 * IFERROR(VLOOKUP("LULUCF|SO2|Infant mortality", US_national_yearly!$D:$AM, 32, FALSE) / VLOOKUP("LULUCF|SO2|Infant mortality", US_national_yearly!$D:$AM, 10, FALSE), 1)</f>
        <v>2.3485999220834703E-8</v>
      </c>
      <c r="Y3" s="7">
        <f>$B3 * IFERROR(VLOOKUP("LULUCF|SO2|Infant mortality", US_national_yearly!$D:$AM, 33, FALSE) / VLOOKUP("LULUCF|SO2|Infant mortality", US_national_yearly!$D:$AM, 10, FALSE), 1)</f>
        <v>2.3347832778711052E-8</v>
      </c>
      <c r="Z3" s="7">
        <f>$B3 * IFERROR(VLOOKUP("LULUCF|SO2|Infant mortality", US_national_yearly!$D:$AM, 34, FALSE) / VLOOKUP("LULUCF|SO2|Infant mortality", US_national_yearly!$D:$AM, 10, FALSE), 1)</f>
        <v>2.3209666336587408E-8</v>
      </c>
      <c r="AA3" s="7">
        <f>$B3 * IFERROR(VLOOKUP("LULUCF|SO2|Infant mortality", US_national_yearly!$D:$AM, 35, FALSE) / VLOOKUP("LULUCF|SO2|Infant mortality", US_national_yearly!$D:$AM, 10, FALSE), 1)</f>
        <v>2.3071499894463757E-8</v>
      </c>
      <c r="AB3" s="7">
        <f>$B3 * IFERROR(VLOOKUP("LULUCF|SO2|Infant mortality", US_national_yearly!$D:$AM, 36, FALSE) / VLOOKUP("LULUCF|SO2|Infant mortality", US_national_yearly!$D:$AM, 10, FALSE), 1)</f>
        <v>2.2933333452340113E-8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9.5571216966374009E-5</v>
      </c>
      <c r="C6" s="7">
        <f>$B6 * IFERROR(VLOOKUP("LULUCF|SO2|Asthma symptoms cough", US_national_yearly!$D:$AM, 11, FALSE) / VLOOKUP("LULUCF|SO2|Asthma symptoms cough", US_national_yearly!$D:$AM, 10, FALSE), 1)</f>
        <v>9.5571216966374009E-5</v>
      </c>
      <c r="D6" s="7">
        <f>$B6 * IFERROR(VLOOKUP("LULUCF|SO2|Asthma symptoms cough", US_national_yearly!$D:$AM, 12, FALSE) / VLOOKUP("LULUCF|SO2|Asthma symptoms cough", US_national_yearly!$D:$AM, 10, FALSE), 1)</f>
        <v>9.5571216966374009E-5</v>
      </c>
      <c r="E6" s="7">
        <f>$B6 * IFERROR(VLOOKUP("LULUCF|SO2|Asthma symptoms cough", US_national_yearly!$D:$AM, 13, FALSE) / VLOOKUP("LULUCF|SO2|Asthma symptoms cough", US_national_yearly!$D:$AM, 10, FALSE), 1)</f>
        <v>9.5571216966374009E-5</v>
      </c>
      <c r="F6" s="7">
        <f>$B6 * IFERROR(VLOOKUP("LULUCF|SO2|Asthma symptoms cough", US_national_yearly!$D:$AM, 14, FALSE) / VLOOKUP("LULUCF|SO2|Asthma symptoms cough", US_national_yearly!$D:$AM, 10, FALSE), 1)</f>
        <v>9.5571216966374009E-5</v>
      </c>
      <c r="G6" s="7">
        <f>$B6 * IFERROR(VLOOKUP("LULUCF|SO2|Asthma symptoms cough", US_national_yearly!$D:$AM, 15, FALSE) / VLOOKUP("LULUCF|SO2|Asthma symptoms cough", US_national_yearly!$D:$AM, 10, FALSE), 1)</f>
        <v>9.5571216966374009E-5</v>
      </c>
      <c r="H6" s="7">
        <f>$B6 * IFERROR(VLOOKUP("LULUCF|SO2|Asthma symptoms cough", US_national_yearly!$D:$AM, 16, FALSE) / VLOOKUP("LULUCF|SO2|Asthma symptoms cough", US_national_yearly!$D:$AM, 10, FALSE), 1)</f>
        <v>9.5571216966374009E-5</v>
      </c>
      <c r="I6" s="7">
        <f>$B6 * IFERROR(VLOOKUP("LULUCF|SO2|Asthma symptoms cough", US_national_yearly!$D:$AM, 17, FALSE) / VLOOKUP("LULUCF|SO2|Asthma symptoms cough", US_national_yearly!$D:$AM, 10, FALSE), 1)</f>
        <v>9.5571216966374009E-5</v>
      </c>
      <c r="J6" s="7">
        <f>$B6 * IFERROR(VLOOKUP("LULUCF|SO2|Asthma symptoms cough", US_national_yearly!$D:$AM, 18, FALSE) / VLOOKUP("LULUCF|SO2|Asthma symptoms cough", US_national_yearly!$D:$AM, 10, FALSE), 1)</f>
        <v>9.5571216966374009E-5</v>
      </c>
      <c r="K6" s="7">
        <f>$B6 * IFERROR(VLOOKUP("LULUCF|SO2|Asthma symptoms cough", US_national_yearly!$D:$AM, 19, FALSE) / VLOOKUP("LULUCF|SO2|Asthma symptoms cough", US_national_yearly!$D:$AM, 10, FALSE), 1)</f>
        <v>9.5571216966374009E-5</v>
      </c>
      <c r="L6" s="7">
        <f>$B6 * IFERROR(VLOOKUP("LULUCF|SO2|Asthma symptoms cough", US_national_yearly!$D:$AM, 20, FALSE) / VLOOKUP("LULUCF|SO2|Asthma symptoms cough", US_national_yearly!$D:$AM, 10, FALSE), 1)</f>
        <v>9.5571216966374009E-5</v>
      </c>
      <c r="M6" s="7">
        <f>$B6 * IFERROR(VLOOKUP("LULUCF|SO2|Asthma symptoms cough", US_national_yearly!$D:$AM, 21, FALSE) / VLOOKUP("LULUCF|SO2|Asthma symptoms cough", US_national_yearly!$D:$AM, 10, FALSE), 1)</f>
        <v>9.5571216966374009E-5</v>
      </c>
      <c r="N6" s="7">
        <f>$B6 * IFERROR(VLOOKUP("LULUCF|SO2|Asthma symptoms cough", US_national_yearly!$D:$AM, 22, FALSE) / VLOOKUP("LULUCF|SO2|Asthma symptoms cough", US_national_yearly!$D:$AM, 10, FALSE), 1)</f>
        <v>9.5571216966374009E-5</v>
      </c>
      <c r="O6" s="7">
        <f>$B6 * IFERROR(VLOOKUP("LULUCF|SO2|Asthma symptoms cough", US_national_yearly!$D:$AM, 23, FALSE) / VLOOKUP("LULUCF|SO2|Asthma symptoms cough", US_national_yearly!$D:$AM, 10, FALSE), 1)</f>
        <v>9.5571216966374009E-5</v>
      </c>
      <c r="P6" s="7">
        <f>$B6 * IFERROR(VLOOKUP("LULUCF|SO2|Asthma symptoms cough", US_national_yearly!$D:$AM, 24, FALSE) / VLOOKUP("LULUCF|SO2|Asthma symptoms cough", US_national_yearly!$D:$AM, 10, FALSE), 1)</f>
        <v>9.5571216966374009E-5</v>
      </c>
      <c r="Q6" s="7">
        <f>$B6 * IFERROR(VLOOKUP("LULUCF|SO2|Asthma symptoms cough", US_national_yearly!$D:$AM, 25, FALSE) / VLOOKUP("LULUCF|SO2|Asthma symptoms cough", US_national_yearly!$D:$AM, 10, FALSE), 1)</f>
        <v>9.5571216966374009E-5</v>
      </c>
      <c r="R6" s="7">
        <f>$B6 * IFERROR(VLOOKUP("LULUCF|SO2|Asthma symptoms cough", US_national_yearly!$D:$AM, 26, FALSE) / VLOOKUP("LULUCF|SO2|Asthma symptoms cough", US_national_yearly!$D:$AM, 10, FALSE), 1)</f>
        <v>9.5571216966374009E-5</v>
      </c>
      <c r="S6" s="7">
        <f>$B6 * IFERROR(VLOOKUP("LULUCF|SO2|Asthma symptoms cough", US_national_yearly!$D:$AM, 27, FALSE) / VLOOKUP("LULUCF|SO2|Asthma symptoms cough", US_national_yearly!$D:$AM, 10, FALSE), 1)</f>
        <v>9.5571216966374009E-5</v>
      </c>
      <c r="T6" s="7">
        <f>$B6 * IFERROR(VLOOKUP("LULUCF|SO2|Asthma symptoms cough", US_national_yearly!$D:$AM, 28, FALSE) / VLOOKUP("LULUCF|SO2|Asthma symptoms cough", US_national_yearly!$D:$AM, 10, FALSE), 1)</f>
        <v>9.5571216966374009E-5</v>
      </c>
      <c r="U6" s="7">
        <f>$B6 * IFERROR(VLOOKUP("LULUCF|SO2|Asthma symptoms cough", US_national_yearly!$D:$AM, 29, FALSE) / VLOOKUP("LULUCF|SO2|Asthma symptoms cough", US_national_yearly!$D:$AM, 10, FALSE), 1)</f>
        <v>9.5571216966374009E-5</v>
      </c>
      <c r="V6" s="7">
        <f>$B6 * IFERROR(VLOOKUP("LULUCF|SO2|Asthma symptoms cough", US_national_yearly!$D:$AM, 30, FALSE) / VLOOKUP("LULUCF|SO2|Asthma symptoms cough", US_national_yearly!$D:$AM, 10, FALSE), 1)</f>
        <v>9.5571216966374009E-5</v>
      </c>
      <c r="W6" s="7">
        <f>$B6 * IFERROR(VLOOKUP("LULUCF|SO2|Asthma symptoms cough", US_national_yearly!$D:$AM, 31, FALSE) / VLOOKUP("LULUCF|SO2|Asthma symptoms cough", US_national_yearly!$D:$AM, 10, FALSE), 1)</f>
        <v>9.5571216966374009E-5</v>
      </c>
      <c r="X6" s="7">
        <f>$B6 * IFERROR(VLOOKUP("LULUCF|SO2|Asthma symptoms cough", US_national_yearly!$D:$AM, 32, FALSE) / VLOOKUP("LULUCF|SO2|Asthma symptoms cough", US_national_yearly!$D:$AM, 10, FALSE), 1)</f>
        <v>9.5571216966374009E-5</v>
      </c>
      <c r="Y6" s="7">
        <f>$B6 * IFERROR(VLOOKUP("LULUCF|SO2|Asthma symptoms cough", US_national_yearly!$D:$AM, 33, FALSE) / VLOOKUP("LULUCF|SO2|Asthma symptoms cough", US_national_yearly!$D:$AM, 10, FALSE), 1)</f>
        <v>9.5571216966374009E-5</v>
      </c>
      <c r="Z6" s="7">
        <f>$B6 * IFERROR(VLOOKUP("LULUCF|SO2|Asthma symptoms cough", US_national_yearly!$D:$AM, 34, FALSE) / VLOOKUP("LULUCF|SO2|Asthma symptoms cough", US_national_yearly!$D:$AM, 10, FALSE), 1)</f>
        <v>9.5571216966374009E-5</v>
      </c>
      <c r="AA6" s="7">
        <f>$B6 * IFERROR(VLOOKUP("LULUCF|SO2|Asthma symptoms cough", US_national_yearly!$D:$AM, 35, FALSE) / VLOOKUP("LULUCF|SO2|Asthma symptoms cough", US_national_yearly!$D:$AM, 10, FALSE), 1)</f>
        <v>9.5571216966374009E-5</v>
      </c>
      <c r="AB6" s="7">
        <f>$B6 * IFERROR(VLOOKUP("LULUCF|SO2|Asthma symptoms cough", US_national_yearly!$D:$AM, 36, FALSE) / VLOOKUP("LULUCF|SO2|Asthma symptoms cough", US_national_yearly!$D:$AM, 10, FALSE), 1)</f>
        <v>9.5571216966374009E-5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1.2870050695208799E-4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1.2870050695208799E-4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1.2870050695208799E-4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1.2870050695208799E-4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1.2870050695208799E-4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1.2870050695208799E-4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1.2870050695208799E-4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1.2870050695208799E-4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1.2870050695208799E-4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1.2870050695208799E-4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1.2870050695208799E-4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1.2870050695208799E-4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1.2870050695208799E-4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1.2870050695208799E-4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1.2870050695208799E-4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1.2870050695208799E-4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1.2870050695208799E-4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1.2870050695208799E-4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1.2870050695208799E-4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1.2870050695208799E-4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1.2870050695208799E-4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1.2870050695208799E-4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1.2870050695208799E-4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1.2870050695208799E-4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1.2870050695208799E-4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1.2870050695208799E-4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1.2870050695208799E-4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1.9663257880192145E-4</v>
      </c>
      <c r="C8" s="7">
        <f>$B8 * IFERROR(VLOOKUP("LULUCF|SO2|Asthma symptoms wheeze", US_national_yearly!$D:$AM, 11, FALSE) / VLOOKUP("LULUCF|SO2|Asthma symptoms wheeze", US_national_yearly!$D:$AM, 10, FALSE), 1)</f>
        <v>1.9663257880192145E-4</v>
      </c>
      <c r="D8" s="7">
        <f>$B8 * IFERROR(VLOOKUP("LULUCF|SO2|Asthma symptoms wheeze", US_national_yearly!$D:$AM, 12, FALSE) / VLOOKUP("LULUCF|SO2|Asthma symptoms wheeze", US_national_yearly!$D:$AM, 10, FALSE), 1)</f>
        <v>1.9663257880192145E-4</v>
      </c>
      <c r="E8" s="7">
        <f>$B8 * IFERROR(VLOOKUP("LULUCF|SO2|Asthma symptoms wheeze", US_national_yearly!$D:$AM, 13, FALSE) / VLOOKUP("LULUCF|SO2|Asthma symptoms wheeze", US_national_yearly!$D:$AM, 10, FALSE), 1)</f>
        <v>1.9663257880192145E-4</v>
      </c>
      <c r="F8" s="7">
        <f>$B8 * IFERROR(VLOOKUP("LULUCF|SO2|Asthma symptoms wheeze", US_national_yearly!$D:$AM, 14, FALSE) / VLOOKUP("LULUCF|SO2|Asthma symptoms wheeze", US_national_yearly!$D:$AM, 10, FALSE), 1)</f>
        <v>1.9663257880192145E-4</v>
      </c>
      <c r="G8" s="7">
        <f>$B8 * IFERROR(VLOOKUP("LULUCF|SO2|Asthma symptoms wheeze", US_national_yearly!$D:$AM, 15, FALSE) / VLOOKUP("LULUCF|SO2|Asthma symptoms wheeze", US_national_yearly!$D:$AM, 10, FALSE), 1)</f>
        <v>1.9663257880192145E-4</v>
      </c>
      <c r="H8" s="7">
        <f>$B8 * IFERROR(VLOOKUP("LULUCF|SO2|Asthma symptoms wheeze", US_national_yearly!$D:$AM, 16, FALSE) / VLOOKUP("LULUCF|SO2|Asthma symptoms wheeze", US_national_yearly!$D:$AM, 10, FALSE), 1)</f>
        <v>1.9663257880192145E-4</v>
      </c>
      <c r="I8" s="7">
        <f>$B8 * IFERROR(VLOOKUP("LULUCF|SO2|Asthma symptoms wheeze", US_national_yearly!$D:$AM, 17, FALSE) / VLOOKUP("LULUCF|SO2|Asthma symptoms wheeze", US_national_yearly!$D:$AM, 10, FALSE), 1)</f>
        <v>1.9663257880192145E-4</v>
      </c>
      <c r="J8" s="7">
        <f>$B8 * IFERROR(VLOOKUP("LULUCF|SO2|Asthma symptoms wheeze", US_national_yearly!$D:$AM, 18, FALSE) / VLOOKUP("LULUCF|SO2|Asthma symptoms wheeze", US_national_yearly!$D:$AM, 10, FALSE), 1)</f>
        <v>1.9663257880192145E-4</v>
      </c>
      <c r="K8" s="7">
        <f>$B8 * IFERROR(VLOOKUP("LULUCF|SO2|Asthma symptoms wheeze", US_national_yearly!$D:$AM, 19, FALSE) / VLOOKUP("LULUCF|SO2|Asthma symptoms wheeze", US_national_yearly!$D:$AM, 10, FALSE), 1)</f>
        <v>1.9663257880192145E-4</v>
      </c>
      <c r="L8" s="7">
        <f>$B8 * IFERROR(VLOOKUP("LULUCF|SO2|Asthma symptoms wheeze", US_national_yearly!$D:$AM, 20, FALSE) / VLOOKUP("LULUCF|SO2|Asthma symptoms wheeze", US_national_yearly!$D:$AM, 10, FALSE), 1)</f>
        <v>1.9663257880192145E-4</v>
      </c>
      <c r="M8" s="7">
        <f>$B8 * IFERROR(VLOOKUP("LULUCF|SO2|Asthma symptoms wheeze", US_national_yearly!$D:$AM, 21, FALSE) / VLOOKUP("LULUCF|SO2|Asthma symptoms wheeze", US_national_yearly!$D:$AM, 10, FALSE), 1)</f>
        <v>1.9663257880192145E-4</v>
      </c>
      <c r="N8" s="7">
        <f>$B8 * IFERROR(VLOOKUP("LULUCF|SO2|Asthma symptoms wheeze", US_national_yearly!$D:$AM, 22, FALSE) / VLOOKUP("LULUCF|SO2|Asthma symptoms wheeze", US_national_yearly!$D:$AM, 10, FALSE), 1)</f>
        <v>1.9663257880192145E-4</v>
      </c>
      <c r="O8" s="7">
        <f>$B8 * IFERROR(VLOOKUP("LULUCF|SO2|Asthma symptoms wheeze", US_national_yearly!$D:$AM, 23, FALSE) / VLOOKUP("LULUCF|SO2|Asthma symptoms wheeze", US_national_yearly!$D:$AM, 10, FALSE), 1)</f>
        <v>1.9663257880192145E-4</v>
      </c>
      <c r="P8" s="7">
        <f>$B8 * IFERROR(VLOOKUP("LULUCF|SO2|Asthma symptoms wheeze", US_national_yearly!$D:$AM, 24, FALSE) / VLOOKUP("LULUCF|SO2|Asthma symptoms wheeze", US_national_yearly!$D:$AM, 10, FALSE), 1)</f>
        <v>1.9663257880192145E-4</v>
      </c>
      <c r="Q8" s="7">
        <f>$B8 * IFERROR(VLOOKUP("LULUCF|SO2|Asthma symptoms wheeze", US_national_yearly!$D:$AM, 25, FALSE) / VLOOKUP("LULUCF|SO2|Asthma symptoms wheeze", US_national_yearly!$D:$AM, 10, FALSE), 1)</f>
        <v>1.9663257880192145E-4</v>
      </c>
      <c r="R8" s="7">
        <f>$B8 * IFERROR(VLOOKUP("LULUCF|SO2|Asthma symptoms wheeze", US_national_yearly!$D:$AM, 26, FALSE) / VLOOKUP("LULUCF|SO2|Asthma symptoms wheeze", US_national_yearly!$D:$AM, 10, FALSE), 1)</f>
        <v>1.9663257880192145E-4</v>
      </c>
      <c r="S8" s="7">
        <f>$B8 * IFERROR(VLOOKUP("LULUCF|SO2|Asthma symptoms wheeze", US_national_yearly!$D:$AM, 27, FALSE) / VLOOKUP("LULUCF|SO2|Asthma symptoms wheeze", US_national_yearly!$D:$AM, 10, FALSE), 1)</f>
        <v>1.9663257880192145E-4</v>
      </c>
      <c r="T8" s="7">
        <f>$B8 * IFERROR(VLOOKUP("LULUCF|SO2|Asthma symptoms wheeze", US_national_yearly!$D:$AM, 28, FALSE) / VLOOKUP("LULUCF|SO2|Asthma symptoms wheeze", US_national_yearly!$D:$AM, 10, FALSE), 1)</f>
        <v>1.9663257880192145E-4</v>
      </c>
      <c r="U8" s="7">
        <f>$B8 * IFERROR(VLOOKUP("LULUCF|SO2|Asthma symptoms wheeze", US_national_yearly!$D:$AM, 29, FALSE) / VLOOKUP("LULUCF|SO2|Asthma symptoms wheeze", US_national_yearly!$D:$AM, 10, FALSE), 1)</f>
        <v>1.9663257880192145E-4</v>
      </c>
      <c r="V8" s="7">
        <f>$B8 * IFERROR(VLOOKUP("LULUCF|SO2|Asthma symptoms wheeze", US_national_yearly!$D:$AM, 30, FALSE) / VLOOKUP("LULUCF|SO2|Asthma symptoms wheeze", US_national_yearly!$D:$AM, 10, FALSE), 1)</f>
        <v>1.9663257880192145E-4</v>
      </c>
      <c r="W8" s="7">
        <f>$B8 * IFERROR(VLOOKUP("LULUCF|SO2|Asthma symptoms wheeze", US_national_yearly!$D:$AM, 31, FALSE) / VLOOKUP("LULUCF|SO2|Asthma symptoms wheeze", US_national_yearly!$D:$AM, 10, FALSE), 1)</f>
        <v>1.9663257880192145E-4</v>
      </c>
      <c r="X8" s="7">
        <f>$B8 * IFERROR(VLOOKUP("LULUCF|SO2|Asthma symptoms wheeze", US_national_yearly!$D:$AM, 32, FALSE) / VLOOKUP("LULUCF|SO2|Asthma symptoms wheeze", US_national_yearly!$D:$AM, 10, FALSE), 1)</f>
        <v>1.9663257880192145E-4</v>
      </c>
      <c r="Y8" s="7">
        <f>$B8 * IFERROR(VLOOKUP("LULUCF|SO2|Asthma symptoms wheeze", US_national_yearly!$D:$AM, 33, FALSE) / VLOOKUP("LULUCF|SO2|Asthma symptoms wheeze", US_national_yearly!$D:$AM, 10, FALSE), 1)</f>
        <v>1.9663257880192145E-4</v>
      </c>
      <c r="Z8" s="7">
        <f>$B8 * IFERROR(VLOOKUP("LULUCF|SO2|Asthma symptoms wheeze", US_national_yearly!$D:$AM, 34, FALSE) / VLOOKUP("LULUCF|SO2|Asthma symptoms wheeze", US_national_yearly!$D:$AM, 10, FALSE), 1)</f>
        <v>1.9663257880192145E-4</v>
      </c>
      <c r="AA8" s="7">
        <f>$B8 * IFERROR(VLOOKUP("LULUCF|SO2|Asthma symptoms wheeze", US_national_yearly!$D:$AM, 35, FALSE) / VLOOKUP("LULUCF|SO2|Asthma symptoms wheeze", US_national_yearly!$D:$AM, 10, FALSE), 1)</f>
        <v>1.9663257880192145E-4</v>
      </c>
      <c r="AB8" s="7">
        <f>$B8 * IFERROR(VLOOKUP("LULUCF|SO2|Asthma symptoms wheeze", US_national_yearly!$D:$AM, 36, FALSE) / VLOOKUP("LULUCF|SO2|Asthma symptoms wheeze", US_national_yearly!$D:$AM, 10, FALSE), 1)</f>
        <v>1.9663257880192145E-4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2.431227399144581E-6</v>
      </c>
      <c r="C12" s="7">
        <f>$B12 * IFERROR(VLOOKUP("LULUCF|SO2|Respiratory hospital admissions", US_national_yearly!$D:$AM, 11, FALSE) / VLOOKUP("LULUCF|SO2|Respiratory hospital admissions", US_national_yearly!$D:$AM, 10, FALSE), 1)</f>
        <v>2.4455668991643369E-6</v>
      </c>
      <c r="D12" s="7">
        <f>$B12 * IFERROR(VLOOKUP("LULUCF|SO2|Respiratory hospital admissions", US_national_yearly!$D:$AM, 12, FALSE) / VLOOKUP("LULUCF|SO2|Respiratory hospital admissions", US_national_yearly!$D:$AM, 10, FALSE), 1)</f>
        <v>2.4599063991840928E-6</v>
      </c>
      <c r="E12" s="7">
        <f>$B12 * IFERROR(VLOOKUP("LULUCF|SO2|Respiratory hospital admissions", US_national_yearly!$D:$AM, 13, FALSE) / VLOOKUP("LULUCF|SO2|Respiratory hospital admissions", US_national_yearly!$D:$AM, 10, FALSE), 1)</f>
        <v>2.4742458992038488E-6</v>
      </c>
      <c r="F12" s="7">
        <f>$B12 * IFERROR(VLOOKUP("LULUCF|SO2|Respiratory hospital admissions", US_national_yearly!$D:$AM, 14, FALSE) / VLOOKUP("LULUCF|SO2|Respiratory hospital admissions", US_national_yearly!$D:$AM, 10, FALSE), 1)</f>
        <v>2.4885853992236047E-6</v>
      </c>
      <c r="G12" s="7">
        <f>$B12 * IFERROR(VLOOKUP("LULUCF|SO2|Respiratory hospital admissions", US_national_yearly!$D:$AM, 15, FALSE) / VLOOKUP("LULUCF|SO2|Respiratory hospital admissions", US_national_yearly!$D:$AM, 10, FALSE), 1)</f>
        <v>2.5042178729028712E-6</v>
      </c>
      <c r="H12" s="7">
        <f>$B12 * IFERROR(VLOOKUP("LULUCF|SO2|Respiratory hospital admissions", US_national_yearly!$D:$AM, 16, FALSE) / VLOOKUP("LULUCF|SO2|Respiratory hospital admissions", US_national_yearly!$D:$AM, 10, FALSE), 1)</f>
        <v>2.5198503465821372E-6</v>
      </c>
      <c r="I12" s="7">
        <f>$B12 * IFERROR(VLOOKUP("LULUCF|SO2|Respiratory hospital admissions", US_national_yearly!$D:$AM, 17, FALSE) / VLOOKUP("LULUCF|SO2|Respiratory hospital admissions", US_national_yearly!$D:$AM, 10, FALSE), 1)</f>
        <v>2.5352658268967801E-6</v>
      </c>
      <c r="J12" s="7">
        <f>$B12 * IFERROR(VLOOKUP("LULUCF|SO2|Respiratory hospital admissions", US_national_yearly!$D:$AM, 18, FALSE) / VLOOKUP("LULUCF|SO2|Respiratory hospital admissions", US_national_yearly!$D:$AM, 10, FALSE), 1)</f>
        <v>2.5506813072114229E-6</v>
      </c>
      <c r="K12" s="7">
        <f>$B12 * IFERROR(VLOOKUP("LULUCF|SO2|Respiratory hospital admissions", US_national_yearly!$D:$AM, 19, FALSE) / VLOOKUP("LULUCF|SO2|Respiratory hospital admissions", US_national_yearly!$D:$AM, 10, FALSE), 1)</f>
        <v>2.5660967875260648E-6</v>
      </c>
      <c r="L12" s="7">
        <f>$B12 * IFERROR(VLOOKUP("LULUCF|SO2|Respiratory hospital admissions", US_national_yearly!$D:$AM, 20, FALSE) / VLOOKUP("LULUCF|SO2|Respiratory hospital admissions", US_national_yearly!$D:$AM, 10, FALSE), 1)</f>
        <v>2.5815122678407081E-6</v>
      </c>
      <c r="M12" s="7">
        <f>$B12 * IFERROR(VLOOKUP("LULUCF|SO2|Respiratory hospital admissions", US_national_yearly!$D:$AM, 21, FALSE) / VLOOKUP("LULUCF|SO2|Respiratory hospital admissions", US_national_yearly!$D:$AM, 10, FALSE), 1)</f>
        <v>2.59692774815535E-6</v>
      </c>
      <c r="N12" s="7">
        <f>$B12 * IFERROR(VLOOKUP("LULUCF|SO2|Respiratory hospital admissions", US_national_yearly!$D:$AM, 22, FALSE) / VLOOKUP("LULUCF|SO2|Respiratory hospital admissions", US_national_yearly!$D:$AM, 10, FALSE), 1)</f>
        <v>2.6081805729307796E-6</v>
      </c>
      <c r="O12" s="7">
        <f>$B12 * IFERROR(VLOOKUP("LULUCF|SO2|Respiratory hospital admissions", US_national_yearly!$D:$AM, 23, FALSE) / VLOOKUP("LULUCF|SO2|Respiratory hospital admissions", US_national_yearly!$D:$AM, 10, FALSE), 1)</f>
        <v>2.6194333977062084E-6</v>
      </c>
      <c r="P12" s="7">
        <f>$B12 * IFERROR(VLOOKUP("LULUCF|SO2|Respiratory hospital admissions", US_national_yearly!$D:$AM, 24, FALSE) / VLOOKUP("LULUCF|SO2|Respiratory hospital admissions", US_national_yearly!$D:$AM, 10, FALSE), 1)</f>
        <v>2.6306862224816376E-6</v>
      </c>
      <c r="Q12" s="7">
        <f>$B12 * IFERROR(VLOOKUP("LULUCF|SO2|Respiratory hospital admissions", US_national_yearly!$D:$AM, 25, FALSE) / VLOOKUP("LULUCF|SO2|Respiratory hospital admissions", US_national_yearly!$D:$AM, 10, FALSE), 1)</f>
        <v>2.6419390472570672E-6</v>
      </c>
      <c r="R12" s="7">
        <f>$B12 * IFERROR(VLOOKUP("LULUCF|SO2|Respiratory hospital admissions", US_national_yearly!$D:$AM, 26, FALSE) / VLOOKUP("LULUCF|SO2|Respiratory hospital admissions", US_national_yearly!$D:$AM, 10, FALSE), 1)</f>
        <v>2.6531918720324964E-6</v>
      </c>
      <c r="S12" s="7">
        <f>$B12 * IFERROR(VLOOKUP("LULUCF|SO2|Respiratory hospital admissions", US_national_yearly!$D:$AM, 27, FALSE) / VLOOKUP("LULUCF|SO2|Respiratory hospital admissions", US_national_yearly!$D:$AM, 10, FALSE), 1)</f>
        <v>2.6639262082534973E-6</v>
      </c>
      <c r="T12" s="7">
        <f>$B12 * IFERROR(VLOOKUP("LULUCF|SO2|Respiratory hospital admissions", US_national_yearly!$D:$AM, 28, FALSE) / VLOOKUP("LULUCF|SO2|Respiratory hospital admissions", US_national_yearly!$D:$AM, 10, FALSE), 1)</f>
        <v>2.6746605444744977E-6</v>
      </c>
      <c r="U12" s="7">
        <f>$B12 * IFERROR(VLOOKUP("LULUCF|SO2|Respiratory hospital admissions", US_national_yearly!$D:$AM, 29, FALSE) / VLOOKUP("LULUCF|SO2|Respiratory hospital admissions", US_national_yearly!$D:$AM, 10, FALSE), 1)</f>
        <v>2.6853948806954985E-6</v>
      </c>
      <c r="V12" s="7">
        <f>$B12 * IFERROR(VLOOKUP("LULUCF|SO2|Respiratory hospital admissions", US_national_yearly!$D:$AM, 30, FALSE) / VLOOKUP("LULUCF|SO2|Respiratory hospital admissions", US_national_yearly!$D:$AM, 10, FALSE), 1)</f>
        <v>2.6961292169164994E-6</v>
      </c>
      <c r="W12" s="7">
        <f>$B12 * IFERROR(VLOOKUP("LULUCF|SO2|Respiratory hospital admissions", US_national_yearly!$D:$AM, 31, FALSE) / VLOOKUP("LULUCF|SO2|Respiratory hospital admissions", US_national_yearly!$D:$AM, 10, FALSE), 1)</f>
        <v>2.7068635531375007E-6</v>
      </c>
      <c r="X12" s="7">
        <f>$B12 * IFERROR(VLOOKUP("LULUCF|SO2|Respiratory hospital admissions", US_national_yearly!$D:$AM, 32, FALSE) / VLOOKUP("LULUCF|SO2|Respiratory hospital admissions", US_national_yearly!$D:$AM, 10, FALSE), 1)</f>
        <v>2.7170486758426619E-6</v>
      </c>
      <c r="Y12" s="7">
        <f>$B12 * IFERROR(VLOOKUP("LULUCF|SO2|Respiratory hospital admissions", US_national_yearly!$D:$AM, 33, FALSE) / VLOOKUP("LULUCF|SO2|Respiratory hospital admissions", US_national_yearly!$D:$AM, 10, FALSE), 1)</f>
        <v>2.7272337985478231E-6</v>
      </c>
      <c r="Z12" s="7">
        <f>$B12 * IFERROR(VLOOKUP("LULUCF|SO2|Respiratory hospital admissions", US_national_yearly!$D:$AM, 34, FALSE) / VLOOKUP("LULUCF|SO2|Respiratory hospital admissions", US_national_yearly!$D:$AM, 10, FALSE), 1)</f>
        <v>2.7374189212529844E-6</v>
      </c>
      <c r="AA12" s="7">
        <f>$B12 * IFERROR(VLOOKUP("LULUCF|SO2|Respiratory hospital admissions", US_national_yearly!$D:$AM, 35, FALSE) / VLOOKUP("LULUCF|SO2|Respiratory hospital admissions", US_national_yearly!$D:$AM, 10, FALSE), 1)</f>
        <v>2.7476040439581456E-6</v>
      </c>
      <c r="AB12" s="7">
        <f>$B12 * IFERROR(VLOOKUP("LULUCF|SO2|Respiratory hospital admissions", US_national_yearly!$D:$AM, 36, FALSE) / VLOOKUP("LULUCF|SO2|Respiratory hospital admissions", US_national_yearly!$D:$AM, 10, FALSE), 1)</f>
        <v>2.7577891666633077E-6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1.4395093490462715E-5</v>
      </c>
      <c r="C13" s="7">
        <f>$B13 * IFERROR(VLOOKUP("LULUCF|SO2|Non-fatal heart attacks", US_national_yearly!$D:$AM, 11, FALSE) / VLOOKUP("LULUCF|SO2|Non-fatal heart attacks", US_national_yearly!$D:$AM, 10, FALSE), 1)</f>
        <v>1.481768114949627E-5</v>
      </c>
      <c r="D13" s="7">
        <f>$B13 * IFERROR(VLOOKUP("LULUCF|SO2|Non-fatal heart attacks", US_national_yearly!$D:$AM, 12, FALSE) / VLOOKUP("LULUCF|SO2|Non-fatal heart attacks", US_national_yearly!$D:$AM, 10, FALSE), 1)</f>
        <v>1.5240268808529824E-5</v>
      </c>
      <c r="E13" s="7">
        <f>$B13 * IFERROR(VLOOKUP("LULUCF|SO2|Non-fatal heart attacks", US_national_yearly!$D:$AM, 13, FALSE) / VLOOKUP("LULUCF|SO2|Non-fatal heart attacks", US_national_yearly!$D:$AM, 10, FALSE), 1)</f>
        <v>1.5662856467563378E-5</v>
      </c>
      <c r="F13" s="7">
        <f>$B13 * IFERROR(VLOOKUP("LULUCF|SO2|Non-fatal heart attacks", US_national_yearly!$D:$AM, 14, FALSE) / VLOOKUP("LULUCF|SO2|Non-fatal heart attacks", US_national_yearly!$D:$AM, 10, FALSE), 1)</f>
        <v>1.6085444126596932E-5</v>
      </c>
      <c r="G13" s="7">
        <f>$B13 * IFERROR(VLOOKUP("LULUCF|SO2|Non-fatal heart attacks", US_national_yearly!$D:$AM, 15, FALSE) / VLOOKUP("LULUCF|SO2|Non-fatal heart attacks", US_national_yearly!$D:$AM, 10, FALSE), 1)</f>
        <v>1.6483983486465509E-5</v>
      </c>
      <c r="H13" s="7">
        <f>$B13 * IFERROR(VLOOKUP("LULUCF|SO2|Non-fatal heart attacks", US_national_yearly!$D:$AM, 16, FALSE) / VLOOKUP("LULUCF|SO2|Non-fatal heart attacks", US_national_yearly!$D:$AM, 10, FALSE), 1)</f>
        <v>1.6882522846334091E-5</v>
      </c>
      <c r="I13" s="7">
        <f>$B13 * IFERROR(VLOOKUP("LULUCF|SO2|Non-fatal heart attacks", US_national_yearly!$D:$AM, 17, FALSE) / VLOOKUP("LULUCF|SO2|Non-fatal heart attacks", US_national_yearly!$D:$AM, 10, FALSE), 1)</f>
        <v>1.7203222094717164E-5</v>
      </c>
      <c r="J13" s="7">
        <f>$B13 * IFERROR(VLOOKUP("LULUCF|SO2|Non-fatal heart attacks", US_national_yearly!$D:$AM, 18, FALSE) / VLOOKUP("LULUCF|SO2|Non-fatal heart attacks", US_national_yearly!$D:$AM, 10, FALSE), 1)</f>
        <v>1.752392134310024E-5</v>
      </c>
      <c r="K13" s="7">
        <f>$B13 * IFERROR(VLOOKUP("LULUCF|SO2|Non-fatal heart attacks", US_national_yearly!$D:$AM, 19, FALSE) / VLOOKUP("LULUCF|SO2|Non-fatal heart attacks", US_national_yearly!$D:$AM, 10, FALSE), 1)</f>
        <v>1.7844620591483314E-5</v>
      </c>
      <c r="L13" s="7">
        <f>$B13 * IFERROR(VLOOKUP("LULUCF|SO2|Non-fatal heart attacks", US_national_yearly!$D:$AM, 20, FALSE) / VLOOKUP("LULUCF|SO2|Non-fatal heart attacks", US_national_yearly!$D:$AM, 10, FALSE), 1)</f>
        <v>1.8165319839866394E-5</v>
      </c>
      <c r="M13" s="7">
        <f>$B13 * IFERROR(VLOOKUP("LULUCF|SO2|Non-fatal heart attacks", US_national_yearly!$D:$AM, 21, FALSE) / VLOOKUP("LULUCF|SO2|Non-fatal heart attacks", US_national_yearly!$D:$AM, 10, FALSE), 1)</f>
        <v>1.848601908824947E-5</v>
      </c>
      <c r="N13" s="7">
        <f>$B13 * IFERROR(VLOOKUP("LULUCF|SO2|Non-fatal heart attacks", US_national_yearly!$D:$AM, 22, FALSE) / VLOOKUP("LULUCF|SO2|Non-fatal heart attacks", US_national_yearly!$D:$AM, 10, FALSE), 1)</f>
        <v>1.8694252984785574E-5</v>
      </c>
      <c r="O13" s="7">
        <f>$B13 * IFERROR(VLOOKUP("LULUCF|SO2|Non-fatal heart attacks", US_national_yearly!$D:$AM, 23, FALSE) / VLOOKUP("LULUCF|SO2|Non-fatal heart attacks", US_national_yearly!$D:$AM, 10, FALSE), 1)</f>
        <v>1.8902486881321687E-5</v>
      </c>
      <c r="P13" s="7">
        <f>$B13 * IFERROR(VLOOKUP("LULUCF|SO2|Non-fatal heart attacks", US_national_yearly!$D:$AM, 24, FALSE) / VLOOKUP("LULUCF|SO2|Non-fatal heart attacks", US_national_yearly!$D:$AM, 10, FALSE), 1)</f>
        <v>1.9110720777857797E-5</v>
      </c>
      <c r="Q13" s="7">
        <f>$B13 * IFERROR(VLOOKUP("LULUCF|SO2|Non-fatal heart attacks", US_national_yearly!$D:$AM, 25, FALSE) / VLOOKUP("LULUCF|SO2|Non-fatal heart attacks", US_national_yearly!$D:$AM, 10, FALSE), 1)</f>
        <v>1.9318954674393904E-5</v>
      </c>
      <c r="R13" s="7">
        <f>$B13 * IFERROR(VLOOKUP("LULUCF|SO2|Non-fatal heart attacks", US_national_yearly!$D:$AM, 26, FALSE) / VLOOKUP("LULUCF|SO2|Non-fatal heart attacks", US_national_yearly!$D:$AM, 10, FALSE), 1)</f>
        <v>1.9527188570930014E-5</v>
      </c>
      <c r="S13" s="7">
        <f>$B13 * IFERROR(VLOOKUP("LULUCF|SO2|Non-fatal heart attacks", US_national_yearly!$D:$AM, 27, FALSE) / VLOOKUP("LULUCF|SO2|Non-fatal heart attacks", US_national_yearly!$D:$AM, 10, FALSE), 1)</f>
        <v>1.9635906317039776E-5</v>
      </c>
      <c r="T13" s="7">
        <f>$B13 * IFERROR(VLOOKUP("LULUCF|SO2|Non-fatal heart attacks", US_national_yearly!$D:$AM, 28, FALSE) / VLOOKUP("LULUCF|SO2|Non-fatal heart attacks", US_national_yearly!$D:$AM, 10, FALSE), 1)</f>
        <v>1.9744624063149542E-5</v>
      </c>
      <c r="U13" s="7">
        <f>$B13 * IFERROR(VLOOKUP("LULUCF|SO2|Non-fatal heart attacks", US_national_yearly!$D:$AM, 29, FALSE) / VLOOKUP("LULUCF|SO2|Non-fatal heart attacks", US_national_yearly!$D:$AM, 10, FALSE), 1)</f>
        <v>1.98533418092593E-5</v>
      </c>
      <c r="V13" s="7">
        <f>$B13 * IFERROR(VLOOKUP("LULUCF|SO2|Non-fatal heart attacks", US_national_yearly!$D:$AM, 30, FALSE) / VLOOKUP("LULUCF|SO2|Non-fatal heart attacks", US_national_yearly!$D:$AM, 10, FALSE), 1)</f>
        <v>1.9962059555369059E-5</v>
      </c>
      <c r="W13" s="7">
        <f>$B13 * IFERROR(VLOOKUP("LULUCF|SO2|Non-fatal heart attacks", US_national_yearly!$D:$AM, 31, FALSE) / VLOOKUP("LULUCF|SO2|Non-fatal heart attacks", US_national_yearly!$D:$AM, 10, FALSE), 1)</f>
        <v>2.0070777301478828E-5</v>
      </c>
      <c r="X13" s="7">
        <f>$B13 * IFERROR(VLOOKUP("LULUCF|SO2|Non-fatal heart attacks", US_national_yearly!$D:$AM, 32, FALSE) / VLOOKUP("LULUCF|SO2|Non-fatal heart attacks", US_national_yearly!$D:$AM, 10, FALSE), 1)</f>
        <v>2.0152849689831752E-5</v>
      </c>
      <c r="Y13" s="7">
        <f>$B13 * IFERROR(VLOOKUP("LULUCF|SO2|Non-fatal heart attacks", US_national_yearly!$D:$AM, 33, FALSE) / VLOOKUP("LULUCF|SO2|Non-fatal heart attacks", US_national_yearly!$D:$AM, 10, FALSE), 1)</f>
        <v>2.023492207818468E-5</v>
      </c>
      <c r="Z13" s="7">
        <f>$B13 * IFERROR(VLOOKUP("LULUCF|SO2|Non-fatal heart attacks", US_national_yearly!$D:$AM, 34, FALSE) / VLOOKUP("LULUCF|SO2|Non-fatal heart attacks", US_national_yearly!$D:$AM, 10, FALSE), 1)</f>
        <v>2.0316994466537605E-5</v>
      </c>
      <c r="AA13" s="7">
        <f>$B13 * IFERROR(VLOOKUP("LULUCF|SO2|Non-fatal heart attacks", US_national_yearly!$D:$AM, 35, FALSE) / VLOOKUP("LULUCF|SO2|Non-fatal heart attacks", US_national_yearly!$D:$AM, 10, FALSE), 1)</f>
        <v>2.0399066854890529E-5</v>
      </c>
      <c r="AB13" s="7">
        <f>$B13 * IFERROR(VLOOKUP("LULUCF|SO2|Non-fatal heart attacks", US_national_yearly!$D:$AM, 36, FALSE) / VLOOKUP("LULUCF|SO2|Non-fatal heart attacks", US_national_yearly!$D:$AM, 10, FALSE), 1)</f>
        <v>2.0481139243243457E-5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1.1946862440554127E-2</v>
      </c>
      <c r="C14" s="7">
        <f>$B14 * IFERROR(VLOOKUP("LULUCF|SO2|Minor restricted activity days", US_national_yearly!$D:$AM, 11, FALSE) / VLOOKUP("LULUCF|SO2|Minor restricted activity days", US_national_yearly!$D:$AM, 10, FALSE), 1)</f>
        <v>1.1976976500163923E-2</v>
      </c>
      <c r="D14" s="7">
        <f>$B14 * IFERROR(VLOOKUP("LULUCF|SO2|Minor restricted activity days", US_national_yearly!$D:$AM, 12, FALSE) / VLOOKUP("LULUCF|SO2|Minor restricted activity days", US_national_yearly!$D:$AM, 10, FALSE), 1)</f>
        <v>1.2007090559773715E-2</v>
      </c>
      <c r="E14" s="7">
        <f>$B14 * IFERROR(VLOOKUP("LULUCF|SO2|Minor restricted activity days", US_national_yearly!$D:$AM, 13, FALSE) / VLOOKUP("LULUCF|SO2|Minor restricted activity days", US_national_yearly!$D:$AM, 10, FALSE), 1)</f>
        <v>1.2037204619383509E-2</v>
      </c>
      <c r="F14" s="7">
        <f>$B14 * IFERROR(VLOOKUP("LULUCF|SO2|Minor restricted activity days", US_national_yearly!$D:$AM, 14, FALSE) / VLOOKUP("LULUCF|SO2|Minor restricted activity days", US_national_yearly!$D:$AM, 10, FALSE), 1)</f>
        <v>1.2067318678993301E-2</v>
      </c>
      <c r="G14" s="7">
        <f>$B14 * IFERROR(VLOOKUP("LULUCF|SO2|Minor restricted activity days", US_national_yearly!$D:$AM, 15, FALSE) / VLOOKUP("LULUCF|SO2|Minor restricted activity days", US_national_yearly!$D:$AM, 10, FALSE), 1)</f>
        <v>1.2111643616317183E-2</v>
      </c>
      <c r="H14" s="7">
        <f>$B14 * IFERROR(VLOOKUP("LULUCF|SO2|Minor restricted activity days", US_national_yearly!$D:$AM, 16, FALSE) / VLOOKUP("LULUCF|SO2|Minor restricted activity days", US_national_yearly!$D:$AM, 10, FALSE), 1)</f>
        <v>1.2155968553641063E-2</v>
      </c>
      <c r="I14" s="7">
        <f>$B14 * IFERROR(VLOOKUP("LULUCF|SO2|Minor restricted activity days", US_national_yearly!$D:$AM, 17, FALSE) / VLOOKUP("LULUCF|SO2|Minor restricted activity days", US_national_yearly!$D:$AM, 10, FALSE), 1)</f>
        <v>1.2231560602678715E-2</v>
      </c>
      <c r="J14" s="7">
        <f>$B14 * IFERROR(VLOOKUP("LULUCF|SO2|Minor restricted activity days", US_national_yearly!$D:$AM, 18, FALSE) / VLOOKUP("LULUCF|SO2|Minor restricted activity days", US_national_yearly!$D:$AM, 10, FALSE), 1)</f>
        <v>1.2307152651716367E-2</v>
      </c>
      <c r="K14" s="7">
        <f>$B14 * IFERROR(VLOOKUP("LULUCF|SO2|Minor restricted activity days", US_national_yearly!$D:$AM, 19, FALSE) / VLOOKUP("LULUCF|SO2|Minor restricted activity days", US_national_yearly!$D:$AM, 10, FALSE), 1)</f>
        <v>1.238274470075402E-2</v>
      </c>
      <c r="L14" s="7">
        <f>$B14 * IFERROR(VLOOKUP("LULUCF|SO2|Minor restricted activity days", US_national_yearly!$D:$AM, 20, FALSE) / VLOOKUP("LULUCF|SO2|Minor restricted activity days", US_national_yearly!$D:$AM, 10, FALSE), 1)</f>
        <v>1.2458336749791672E-2</v>
      </c>
      <c r="M14" s="7">
        <f>$B14 * IFERROR(VLOOKUP("LULUCF|SO2|Minor restricted activity days", US_national_yearly!$D:$AM, 21, FALSE) / VLOOKUP("LULUCF|SO2|Minor restricted activity days", US_national_yearly!$D:$AM, 10, FALSE), 1)</f>
        <v>1.2533928798829324E-2</v>
      </c>
      <c r="N14" s="7">
        <f>$B14 * IFERROR(VLOOKUP("LULUCF|SO2|Minor restricted activity days", US_national_yearly!$D:$AM, 22, FALSE) / VLOOKUP("LULUCF|SO2|Minor restricted activity days", US_national_yearly!$D:$AM, 10, FALSE), 1)</f>
        <v>1.2637326592489869E-2</v>
      </c>
      <c r="O14" s="7">
        <f>$B14 * IFERROR(VLOOKUP("LULUCF|SO2|Minor restricted activity days", US_national_yearly!$D:$AM, 23, FALSE) / VLOOKUP("LULUCF|SO2|Minor restricted activity days", US_national_yearly!$D:$AM, 10, FALSE), 1)</f>
        <v>1.2740724386150412E-2</v>
      </c>
      <c r="P14" s="7">
        <f>$B14 * IFERROR(VLOOKUP("LULUCF|SO2|Minor restricted activity days", US_national_yearly!$D:$AM, 24, FALSE) / VLOOKUP("LULUCF|SO2|Minor restricted activity days", US_national_yearly!$D:$AM, 10, FALSE), 1)</f>
        <v>1.2844122179810957E-2</v>
      </c>
      <c r="Q14" s="7">
        <f>$B14 * IFERROR(VLOOKUP("LULUCF|SO2|Minor restricted activity days", US_national_yearly!$D:$AM, 25, FALSE) / VLOOKUP("LULUCF|SO2|Minor restricted activity days", US_national_yearly!$D:$AM, 10, FALSE), 1)</f>
        <v>1.2947519973471501E-2</v>
      </c>
      <c r="R14" s="7">
        <f>$B14 * IFERROR(VLOOKUP("LULUCF|SO2|Minor restricted activity days", US_national_yearly!$D:$AM, 26, FALSE) / VLOOKUP("LULUCF|SO2|Minor restricted activity days", US_national_yearly!$D:$AM, 10, FALSE), 1)</f>
        <v>1.3050917767132044E-2</v>
      </c>
      <c r="S14" s="7">
        <f>$B14 * IFERROR(VLOOKUP("LULUCF|SO2|Minor restricted activity days", US_national_yearly!$D:$AM, 27, FALSE) / VLOOKUP("LULUCF|SO2|Minor restricted activity days", US_national_yearly!$D:$AM, 10, FALSE), 1)</f>
        <v>1.3156341937716859E-2</v>
      </c>
      <c r="T14" s="7">
        <f>$B14 * IFERROR(VLOOKUP("LULUCF|SO2|Minor restricted activity days", US_national_yearly!$D:$AM, 28, FALSE) / VLOOKUP("LULUCF|SO2|Minor restricted activity days", US_national_yearly!$D:$AM, 10, FALSE), 1)</f>
        <v>1.3261766108301673E-2</v>
      </c>
      <c r="U14" s="7">
        <f>$B14 * IFERROR(VLOOKUP("LULUCF|SO2|Minor restricted activity days", US_national_yearly!$D:$AM, 29, FALSE) / VLOOKUP("LULUCF|SO2|Minor restricted activity days", US_national_yearly!$D:$AM, 10, FALSE), 1)</f>
        <v>1.3367190278886488E-2</v>
      </c>
      <c r="V14" s="7">
        <f>$B14 * IFERROR(VLOOKUP("LULUCF|SO2|Minor restricted activity days", US_national_yearly!$D:$AM, 30, FALSE) / VLOOKUP("LULUCF|SO2|Minor restricted activity days", US_national_yearly!$D:$AM, 10, FALSE), 1)</f>
        <v>1.3472614449471301E-2</v>
      </c>
      <c r="W14" s="7">
        <f>$B14 * IFERROR(VLOOKUP("LULUCF|SO2|Minor restricted activity days", US_national_yearly!$D:$AM, 31, FALSE) / VLOOKUP("LULUCF|SO2|Minor restricted activity days", US_national_yearly!$D:$AM, 10, FALSE), 1)</f>
        <v>1.3578038620056118E-2</v>
      </c>
      <c r="X14" s="7">
        <f>$B14 * IFERROR(VLOOKUP("LULUCF|SO2|Minor restricted activity days", US_national_yearly!$D:$AM, 32, FALSE) / VLOOKUP("LULUCF|SO2|Minor restricted activity days", US_national_yearly!$D:$AM, 10, FALSE), 1)</f>
        <v>1.3670750776958087E-2</v>
      </c>
      <c r="Y14" s="7">
        <f>$B14 * IFERROR(VLOOKUP("LULUCF|SO2|Minor restricted activity days", US_national_yearly!$D:$AM, 33, FALSE) / VLOOKUP("LULUCF|SO2|Minor restricted activity days", US_national_yearly!$D:$AM, 10, FALSE), 1)</f>
        <v>1.3763462933860056E-2</v>
      </c>
      <c r="Z14" s="7">
        <f>$B14 * IFERROR(VLOOKUP("LULUCF|SO2|Minor restricted activity days", US_national_yearly!$D:$AM, 34, FALSE) / VLOOKUP("LULUCF|SO2|Minor restricted activity days", US_national_yearly!$D:$AM, 10, FALSE), 1)</f>
        <v>1.3856175090762028E-2</v>
      </c>
      <c r="AA14" s="7">
        <f>$B14 * IFERROR(VLOOKUP("LULUCF|SO2|Minor restricted activity days", US_national_yearly!$D:$AM, 35, FALSE) / VLOOKUP("LULUCF|SO2|Minor restricted activity days", US_national_yearly!$D:$AM, 10, FALSE), 1)</f>
        <v>1.3948887247663997E-2</v>
      </c>
      <c r="AB14" s="7">
        <f>$B14 * IFERROR(VLOOKUP("LULUCF|SO2|Minor restricted activity days", US_national_yearly!$D:$AM, 36, FALSE) / VLOOKUP("LULUCF|SO2|Minor restricted activity days", US_national_yearly!$D:$AM, 10, FALSE), 1)</f>
        <v>1.4041599404565969E-2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2.0394777334585361E-3</v>
      </c>
      <c r="C15" s="7">
        <f>$B15 * IFERROR(VLOOKUP("LULUCF|SO2|Work loss days", US_national_yearly!$D:$AM, 11, FALSE) / VLOOKUP("LULUCF|SO2|Work loss days", US_national_yearly!$D:$AM, 10, FALSE), 1)</f>
        <v>2.0460853171686282E-3</v>
      </c>
      <c r="D15" s="7">
        <f>$B15 * IFERROR(VLOOKUP("LULUCF|SO2|Work loss days", US_national_yearly!$D:$AM, 12, FALSE) / VLOOKUP("LULUCF|SO2|Work loss days", US_national_yearly!$D:$AM, 10, FALSE), 1)</f>
        <v>2.0526929008787206E-3</v>
      </c>
      <c r="E15" s="7">
        <f>$B15 * IFERROR(VLOOKUP("LULUCF|SO2|Work loss days", US_national_yearly!$D:$AM, 13, FALSE) / VLOOKUP("LULUCF|SO2|Work loss days", US_national_yearly!$D:$AM, 10, FALSE), 1)</f>
        <v>2.0593004845888127E-3</v>
      </c>
      <c r="F15" s="7">
        <f>$B15 * IFERROR(VLOOKUP("LULUCF|SO2|Work loss days", US_national_yearly!$D:$AM, 14, FALSE) / VLOOKUP("LULUCF|SO2|Work loss days", US_national_yearly!$D:$AM, 10, FALSE), 1)</f>
        <v>2.0659080682989047E-3</v>
      </c>
      <c r="G15" s="7">
        <f>$B15 * IFERROR(VLOOKUP("LULUCF|SO2|Work loss days", US_national_yearly!$D:$AM, 15, FALSE) / VLOOKUP("LULUCF|SO2|Work loss days", US_national_yearly!$D:$AM, 10, FALSE), 1)</f>
        <v>2.0745416849056821E-3</v>
      </c>
      <c r="H15" s="7">
        <f>$B15 * IFERROR(VLOOKUP("LULUCF|SO2|Work loss days", US_national_yearly!$D:$AM, 16, FALSE) / VLOOKUP("LULUCF|SO2|Work loss days", US_national_yearly!$D:$AM, 10, FALSE), 1)</f>
        <v>2.0831753015124596E-3</v>
      </c>
      <c r="I15" s="7">
        <f>$B15 * IFERROR(VLOOKUP("LULUCF|SO2|Work loss days", US_national_yearly!$D:$AM, 17, FALSE) / VLOOKUP("LULUCF|SO2|Work loss days", US_national_yearly!$D:$AM, 10, FALSE), 1)</f>
        <v>2.0958051236287592E-3</v>
      </c>
      <c r="J15" s="7">
        <f>$B15 * IFERROR(VLOOKUP("LULUCF|SO2|Work loss days", US_national_yearly!$D:$AM, 18, FALSE) / VLOOKUP("LULUCF|SO2|Work loss days", US_national_yearly!$D:$AM, 10, FALSE), 1)</f>
        <v>2.1084349457450584E-3</v>
      </c>
      <c r="K15" s="7">
        <f>$B15 * IFERROR(VLOOKUP("LULUCF|SO2|Work loss days", US_national_yearly!$D:$AM, 19, FALSE) / VLOOKUP("LULUCF|SO2|Work loss days", US_national_yearly!$D:$AM, 10, FALSE), 1)</f>
        <v>2.121064767861358E-3</v>
      </c>
      <c r="L15" s="7">
        <f>$B15 * IFERROR(VLOOKUP("LULUCF|SO2|Work loss days", US_national_yearly!$D:$AM, 20, FALSE) / VLOOKUP("LULUCF|SO2|Work loss days", US_national_yearly!$D:$AM, 10, FALSE), 1)</f>
        <v>2.1336945899776581E-3</v>
      </c>
      <c r="M15" s="7">
        <f>$B15 * IFERROR(VLOOKUP("LULUCF|SO2|Work loss days", US_national_yearly!$D:$AM, 21, FALSE) / VLOOKUP("LULUCF|SO2|Work loss days", US_national_yearly!$D:$AM, 10, FALSE), 1)</f>
        <v>2.1463244120939577E-3</v>
      </c>
      <c r="N15" s="7">
        <f>$B15 * IFERROR(VLOOKUP("LULUCF|SO2|Work loss days", US_national_yearly!$D:$AM, 22, FALSE) / VLOOKUP("LULUCF|SO2|Work loss days", US_national_yearly!$D:$AM, 10, FALSE), 1)</f>
        <v>2.1621601623578218E-3</v>
      </c>
      <c r="O15" s="7">
        <f>$B15 * IFERROR(VLOOKUP("LULUCF|SO2|Work loss days", US_national_yearly!$D:$AM, 23, FALSE) / VLOOKUP("LULUCF|SO2|Work loss days", US_national_yearly!$D:$AM, 10, FALSE), 1)</f>
        <v>2.1779959126216855E-3</v>
      </c>
      <c r="P15" s="7">
        <f>$B15 * IFERROR(VLOOKUP("LULUCF|SO2|Work loss days", US_national_yearly!$D:$AM, 24, FALSE) / VLOOKUP("LULUCF|SO2|Work loss days", US_national_yearly!$D:$AM, 10, FALSE), 1)</f>
        <v>2.1938316628855492E-3</v>
      </c>
      <c r="Q15" s="7">
        <f>$B15 * IFERROR(VLOOKUP("LULUCF|SO2|Work loss days", US_national_yearly!$D:$AM, 25, FALSE) / VLOOKUP("LULUCF|SO2|Work loss days", US_national_yearly!$D:$AM, 10, FALSE), 1)</f>
        <v>2.2096674131494133E-3</v>
      </c>
      <c r="R15" s="7">
        <f>$B15 * IFERROR(VLOOKUP("LULUCF|SO2|Work loss days", US_national_yearly!$D:$AM, 26, FALSE) / VLOOKUP("LULUCF|SO2|Work loss days", US_national_yearly!$D:$AM, 10, FALSE), 1)</f>
        <v>2.225503163413277E-3</v>
      </c>
      <c r="S15" s="7">
        <f>$B15 * IFERROR(VLOOKUP("LULUCF|SO2|Work loss days", US_national_yearly!$D:$AM, 27, FALSE) / VLOOKUP("LULUCF|SO2|Work loss days", US_national_yearly!$D:$AM, 10, FALSE), 1)</f>
        <v>2.2431995621233431E-3</v>
      </c>
      <c r="T15" s="7">
        <f>$B15 * IFERROR(VLOOKUP("LULUCF|SO2|Work loss days", US_national_yearly!$D:$AM, 28, FALSE) / VLOOKUP("LULUCF|SO2|Work loss days", US_national_yearly!$D:$AM, 10, FALSE), 1)</f>
        <v>2.26089596083341E-3</v>
      </c>
      <c r="U15" s="7">
        <f>$B15 * IFERROR(VLOOKUP("LULUCF|SO2|Work loss days", US_national_yearly!$D:$AM, 29, FALSE) / VLOOKUP("LULUCF|SO2|Work loss days", US_national_yearly!$D:$AM, 10, FALSE), 1)</f>
        <v>2.278592359543476E-3</v>
      </c>
      <c r="V15" s="7">
        <f>$B15 * IFERROR(VLOOKUP("LULUCF|SO2|Work loss days", US_national_yearly!$D:$AM, 30, FALSE) / VLOOKUP("LULUCF|SO2|Work loss days", US_national_yearly!$D:$AM, 10, FALSE), 1)</f>
        <v>2.296288758253542E-3</v>
      </c>
      <c r="W15" s="7">
        <f>$B15 * IFERROR(VLOOKUP("LULUCF|SO2|Work loss days", US_national_yearly!$D:$AM, 31, FALSE) / VLOOKUP("LULUCF|SO2|Work loss days", US_national_yearly!$D:$AM, 10, FALSE), 1)</f>
        <v>2.3139851569636085E-3</v>
      </c>
      <c r="X15" s="7">
        <f>$B15 * IFERROR(VLOOKUP("LULUCF|SO2|Work loss days", US_national_yearly!$D:$AM, 32, FALSE) / VLOOKUP("LULUCF|SO2|Work loss days", US_national_yearly!$D:$AM, 10, FALSE), 1)</f>
        <v>2.3298740837935455E-3</v>
      </c>
      <c r="Y15" s="7">
        <f>$B15 * IFERROR(VLOOKUP("LULUCF|SO2|Work loss days", US_national_yearly!$D:$AM, 33, FALSE) / VLOOKUP("LULUCF|SO2|Work loss days", US_national_yearly!$D:$AM, 10, FALSE), 1)</f>
        <v>2.3457630106234828E-3</v>
      </c>
      <c r="Z15" s="7">
        <f>$B15 * IFERROR(VLOOKUP("LULUCF|SO2|Work loss days", US_national_yearly!$D:$AM, 34, FALSE) / VLOOKUP("LULUCF|SO2|Work loss days", US_national_yearly!$D:$AM, 10, FALSE), 1)</f>
        <v>2.3616519374534202E-3</v>
      </c>
      <c r="AA15" s="7">
        <f>$B15 * IFERROR(VLOOKUP("LULUCF|SO2|Work loss days", US_national_yearly!$D:$AM, 35, FALSE) / VLOOKUP("LULUCF|SO2|Work loss days", US_national_yearly!$D:$AM, 10, FALSE), 1)</f>
        <v>2.3775408642833572E-3</v>
      </c>
      <c r="AB15" s="7">
        <f>$B15 * IFERROR(VLOOKUP("LULUCF|SO2|Work loss days", US_national_yearly!$D:$AM, 36, FALSE) / VLOOKUP("LULUCF|SO2|Work loss days", US_national_yearly!$D:$AM, 10, FALSE), 1)</f>
        <v>2.3934297911132945E-3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2.9239973363944238E-6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3.0124302130660503E-6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3.1008630897376768E-6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3.1892959664093033E-6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3.2777288430809307E-6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3.3624391302800931E-6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3.4471494174792568E-6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3.5197296025407013E-6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3.5923097876021463E-6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3.6648899726635913E-6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3.7374701577250363E-6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3.8100503427864805E-6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3.8588076941239984E-6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3.9075650454615159E-6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3.9563223967990333E-6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4.00507974813655E-6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4.0538370994740683E-6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4.0794799947509452E-6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4.1051228900278213E-6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4.1307657853046983E-6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4.1564086805815744E-6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4.1820515758584513E-6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4.1992664991471714E-6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4.2164814224358924E-6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4.2336963457246134E-6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4.2509112690133344E-6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4.2681261923020545E-6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2026-06-15T17:14:32Z</dcterms:modified>
</cp:coreProperties>
</file>