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Colorado\CO_Model\InputData\"/>
    </mc:Choice>
  </mc:AlternateContent>
  <xr:revisionPtr revIDLastSave="0" documentId="13_ncr:1_{239C63D9-BC88-4847-9E0C-4D0507C6CF52}" xr6:coauthVersionLast="45" xr6:coauthVersionMax="45" xr10:uidLastSave="{00000000-0000-0000-0000-000000000000}"/>
  <bookViews>
    <workbookView xWindow="-28920" yWindow="183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J819" i="1" s="1"/>
  <c r="G820" i="1"/>
  <c r="H820" i="1"/>
  <c r="I820" i="1" s="1"/>
  <c r="G821" i="1"/>
  <c r="H821" i="1"/>
  <c r="I821" i="1" s="1"/>
  <c r="J821" i="1" s="1"/>
  <c r="G822" i="1"/>
  <c r="H822" i="1"/>
  <c r="I822" i="1" s="1"/>
  <c r="G823" i="1"/>
  <c r="H823" i="1"/>
  <c r="I823" i="1" s="1"/>
  <c r="J823" i="1" s="1"/>
  <c r="G824" i="1"/>
  <c r="H824" i="1"/>
  <c r="I824" i="1" s="1"/>
  <c r="G825" i="1"/>
  <c r="H825" i="1"/>
  <c r="I825" i="1" s="1"/>
  <c r="J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J831" i="1" s="1"/>
  <c r="G832" i="1"/>
  <c r="H832" i="1"/>
  <c r="I832" i="1" s="1"/>
  <c r="G833" i="1"/>
  <c r="H833" i="1"/>
  <c r="I833" i="1" s="1"/>
  <c r="J833" i="1" s="1"/>
  <c r="G834" i="1"/>
  <c r="H834" i="1"/>
  <c r="I834" i="1" s="1"/>
  <c r="G835" i="1"/>
  <c r="H835" i="1"/>
  <c r="I835" i="1" s="1"/>
  <c r="J835" i="1" s="1"/>
  <c r="G836" i="1"/>
  <c r="H836" i="1"/>
  <c r="I836" i="1" s="1"/>
  <c r="G837" i="1"/>
  <c r="H837" i="1"/>
  <c r="I837" i="1" s="1"/>
  <c r="J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J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J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J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J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J897" i="1" s="1"/>
  <c r="G898" i="1"/>
  <c r="H898" i="1"/>
  <c r="I898" i="1" s="1"/>
  <c r="G899" i="1"/>
  <c r="H899" i="1"/>
  <c r="I899" i="1" s="1"/>
  <c r="J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J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J913" i="1" s="1"/>
  <c r="G914" i="1"/>
  <c r="H914" i="1"/>
  <c r="I914" i="1" s="1"/>
  <c r="G915" i="1"/>
  <c r="H915" i="1"/>
  <c r="I915" i="1" s="1"/>
  <c r="J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J919" i="1" s="1"/>
  <c r="G920" i="1"/>
  <c r="H920" i="1"/>
  <c r="I920" i="1" s="1"/>
  <c r="G921" i="1"/>
  <c r="H921" i="1"/>
  <c r="I921" i="1" s="1"/>
  <c r="J921" i="1" s="1"/>
  <c r="G922" i="1"/>
  <c r="H922" i="1"/>
  <c r="I922" i="1" s="1"/>
  <c r="G923" i="1"/>
  <c r="H923" i="1"/>
  <c r="I923" i="1" s="1"/>
  <c r="J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J931" i="1" s="1"/>
  <c r="G932" i="1"/>
  <c r="H932" i="1"/>
  <c r="I932" i="1" s="1"/>
  <c r="G933" i="1"/>
  <c r="H933" i="1"/>
  <c r="I933" i="1" s="1"/>
  <c r="J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J939" i="1" l="1"/>
  <c r="J935" i="1"/>
  <c r="J918" i="1"/>
  <c r="J927" i="1"/>
  <c r="J930" i="1"/>
  <c r="J926" i="1"/>
  <c r="J887" i="1"/>
  <c r="J883" i="1"/>
  <c r="J871" i="1"/>
  <c r="J867" i="1"/>
  <c r="J925" i="1"/>
  <c r="J902" i="1"/>
  <c r="J886" i="1"/>
  <c r="J870" i="1"/>
  <c r="J917" i="1"/>
  <c r="J914" i="1"/>
  <c r="J910" i="1"/>
  <c r="J906" i="1"/>
  <c r="J895" i="1"/>
  <c r="J891" i="1"/>
  <c r="J909" i="1"/>
  <c r="J905" i="1"/>
  <c r="J901" i="1"/>
  <c r="J898" i="1"/>
  <c r="J894" i="1"/>
  <c r="J890" i="1"/>
  <c r="J879" i="1"/>
  <c r="J875" i="1"/>
  <c r="J938" i="1"/>
  <c r="J941" i="1"/>
  <c r="J937" i="1"/>
  <c r="J934" i="1"/>
  <c r="J893" i="1"/>
  <c r="J885" i="1"/>
  <c r="J882" i="1"/>
  <c r="J878" i="1"/>
  <c r="J874" i="1"/>
  <c r="J929" i="1"/>
  <c r="J922" i="1"/>
  <c r="J911" i="1"/>
  <c r="J907" i="1"/>
  <c r="J877" i="1"/>
  <c r="J869" i="1"/>
  <c r="J866" i="1"/>
  <c r="J932" i="1"/>
  <c r="J916" i="1"/>
  <c r="J900" i="1"/>
  <c r="J884" i="1"/>
  <c r="J868" i="1"/>
  <c r="J861" i="1"/>
  <c r="J857" i="1"/>
  <c r="J853" i="1"/>
  <c r="J849" i="1"/>
  <c r="J845" i="1"/>
  <c r="J841" i="1"/>
  <c r="J829" i="1"/>
  <c r="J928" i="1"/>
  <c r="J912" i="1"/>
  <c r="J896" i="1"/>
  <c r="J880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940" i="1"/>
  <c r="J924" i="1"/>
  <c r="J908" i="1"/>
  <c r="J892" i="1"/>
  <c r="J876" i="1"/>
  <c r="J863" i="1"/>
  <c r="J859" i="1"/>
  <c r="J855" i="1"/>
  <c r="J851" i="1"/>
  <c r="J847" i="1"/>
  <c r="J843" i="1"/>
  <c r="J839" i="1"/>
  <c r="J827" i="1"/>
  <c r="J936" i="1"/>
  <c r="J920" i="1"/>
  <c r="J904" i="1"/>
  <c r="J888" i="1"/>
  <c r="J872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18" i="1"/>
  <c r="I618" i="1" s="1"/>
  <c r="H619" i="1"/>
  <c r="I619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J618" i="1" s="1"/>
  <c r="G619" i="1"/>
  <c r="J619" i="1" s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4" i="1"/>
  <c r="I574" i="1" s="1"/>
  <c r="J574" i="1" s="1"/>
  <c r="H576" i="1"/>
  <c r="I576" i="1" s="1"/>
  <c r="J576" i="1" s="1"/>
  <c r="H573" i="1"/>
  <c r="I573" i="1" s="1"/>
  <c r="J573" i="1" s="1"/>
  <c r="H572" i="1"/>
  <c r="I572" i="1" s="1"/>
  <c r="J572" i="1" s="1"/>
  <c r="H565" i="1"/>
  <c r="I565" i="1" s="1"/>
  <c r="J565" i="1" s="1"/>
  <c r="H564" i="1" l="1"/>
  <c r="I564" i="1" s="1"/>
  <c r="J564" i="1" s="1"/>
  <c r="H561" i="1"/>
  <c r="I561" i="1" s="1"/>
  <c r="J561" i="1" s="1"/>
  <c r="H562" i="1"/>
  <c r="I562" i="1" s="1"/>
  <c r="J562" i="1" s="1"/>
  <c r="H563" i="1"/>
  <c r="I563" i="1" s="1"/>
  <c r="J563" i="1" s="1"/>
  <c r="H560" i="1"/>
  <c r="I560" i="1" s="1"/>
  <c r="J560" i="1" s="1"/>
  <c r="H568" i="1" l="1"/>
  <c r="I568" i="1" s="1"/>
  <c r="J568" i="1" s="1"/>
  <c r="H567" i="1"/>
  <c r="I567" i="1" s="1"/>
  <c r="J567" i="1" s="1"/>
  <c r="H569" i="1"/>
  <c r="I569" i="1" s="1"/>
  <c r="J569" i="1" s="1"/>
  <c r="H570" i="1"/>
  <c r="I570" i="1" s="1"/>
  <c r="J570" i="1" s="1"/>
  <c r="H571" i="1"/>
  <c r="I571" i="1" s="1"/>
  <c r="J571" i="1" s="1"/>
  <c r="H566" i="1"/>
  <c r="I566" i="1" s="1"/>
  <c r="J566" i="1" s="1"/>
  <c r="H617" i="1" l="1"/>
  <c r="I617" i="1" s="1"/>
  <c r="J617" i="1" s="1"/>
  <c r="H613" i="1"/>
  <c r="I613" i="1" s="1"/>
  <c r="J613" i="1" s="1"/>
  <c r="H615" i="1"/>
  <c r="I615" i="1" s="1"/>
  <c r="J615" i="1" s="1"/>
  <c r="H612" i="1"/>
  <c r="I612" i="1" s="1"/>
  <c r="J612" i="1" s="1"/>
  <c r="H616" i="1"/>
  <c r="I616" i="1" s="1"/>
  <c r="J616" i="1" s="1"/>
  <c r="H614" i="1"/>
  <c r="I614" i="1" s="1"/>
  <c r="J614" i="1" s="1"/>
  <c r="H610" i="1" l="1"/>
  <c r="I610" i="1" s="1"/>
  <c r="J610" i="1" s="1"/>
  <c r="H601" i="1"/>
  <c r="I601" i="1" s="1"/>
  <c r="J601" i="1" s="1"/>
  <c r="H609" i="1"/>
  <c r="I609" i="1" s="1"/>
  <c r="J609" i="1" s="1"/>
  <c r="H607" i="1"/>
  <c r="I607" i="1" s="1"/>
  <c r="J607" i="1" s="1"/>
  <c r="H603" i="1"/>
  <c r="I603" i="1" s="1"/>
  <c r="J603" i="1" s="1"/>
  <c r="H604" i="1"/>
  <c r="I604" i="1" s="1"/>
  <c r="J604" i="1" s="1"/>
  <c r="H602" i="1"/>
  <c r="I602" i="1" s="1"/>
  <c r="J602" i="1" s="1"/>
  <c r="H605" i="1"/>
  <c r="I605" i="1" s="1"/>
  <c r="J605" i="1" s="1"/>
  <c r="H600" i="1"/>
  <c r="I600" i="1" s="1"/>
  <c r="J600" i="1" s="1"/>
  <c r="H608" i="1" l="1"/>
  <c r="I608" i="1" s="1"/>
  <c r="J608" i="1" s="1"/>
  <c r="H606" i="1"/>
  <c r="I606" i="1" s="1"/>
  <c r="J606" i="1" s="1"/>
  <c r="H611" i="1"/>
  <c r="I611" i="1" s="1"/>
  <c r="J611" i="1" s="1"/>
  <c r="H623" i="1" l="1"/>
  <c r="I623" i="1" s="1"/>
  <c r="J623" i="1" s="1"/>
  <c r="H625" i="1"/>
  <c r="I625" i="1" s="1"/>
  <c r="J625" i="1" s="1"/>
  <c r="H622" i="1"/>
  <c r="I622" i="1" s="1"/>
  <c r="J622" i="1" s="1"/>
  <c r="H624" i="1"/>
  <c r="I624" i="1" s="1"/>
  <c r="J624" i="1" s="1"/>
  <c r="H620" i="1"/>
  <c r="I620" i="1" s="1"/>
  <c r="J620" i="1" s="1"/>
  <c r="H629" i="1" l="1"/>
  <c r="I629" i="1" s="1"/>
  <c r="J629" i="1" s="1"/>
  <c r="H626" i="1"/>
  <c r="I626" i="1" s="1"/>
  <c r="J626" i="1" s="1"/>
  <c r="H628" i="1"/>
  <c r="I628" i="1" s="1"/>
  <c r="J628" i="1" s="1"/>
  <c r="H627" i="1"/>
  <c r="I627" i="1" s="1"/>
  <c r="J627" i="1" s="1"/>
  <c r="H621" i="1"/>
  <c r="I621" i="1"/>
  <c r="J621" i="1" s="1"/>
  <c r="C5" i="5"/>
  <c r="H632" i="1" s="1"/>
  <c r="I632" i="1" s="1"/>
  <c r="J632" i="1" s="1"/>
  <c r="C2" i="5"/>
  <c r="H631" i="1" s="1"/>
  <c r="I631" i="1" s="1"/>
  <c r="J631" i="1" s="1"/>
  <c r="C6" i="5"/>
  <c r="H635" i="1" s="1"/>
  <c r="I635" i="1" s="1"/>
  <c r="J635" i="1" s="1"/>
  <c r="C7" i="5"/>
  <c r="H634" i="1" s="1"/>
  <c r="I634" i="1" s="1"/>
  <c r="J634" i="1" s="1"/>
  <c r="C4" i="5"/>
  <c r="H633" i="1" s="1"/>
  <c r="I633" i="1" s="1"/>
  <c r="J633" i="1" s="1"/>
  <c r="C3" i="5"/>
  <c r="C18" i="5" s="1"/>
  <c r="H642" i="1" s="1"/>
  <c r="I642" i="1" s="1"/>
  <c r="J642" i="1" s="1"/>
  <c r="C11" i="5"/>
  <c r="C15" i="5" l="1"/>
  <c r="C10" i="5"/>
  <c r="H638" i="1" s="1"/>
  <c r="I638" i="1" s="1"/>
  <c r="J638" i="1" s="1"/>
  <c r="H630" i="1"/>
  <c r="I630" i="1" s="1"/>
  <c r="J630" i="1" s="1"/>
  <c r="C8" i="5"/>
  <c r="H637" i="1" s="1"/>
  <c r="I637" i="1" s="1"/>
  <c r="J637" i="1" s="1"/>
  <c r="C12" i="5"/>
  <c r="H639" i="1" s="1"/>
  <c r="I639" i="1" s="1"/>
  <c r="J639" i="1" s="1"/>
  <c r="C17" i="5"/>
  <c r="C13" i="5"/>
  <c r="C9" i="5"/>
  <c r="H636" i="1" s="1"/>
  <c r="I636" i="1" s="1"/>
  <c r="J636" i="1" s="1"/>
  <c r="C14" i="5"/>
  <c r="H640" i="1" s="1"/>
  <c r="I640" i="1" s="1"/>
  <c r="J640" i="1" s="1"/>
  <c r="C19" i="5"/>
  <c r="C16" i="5"/>
  <c r="H641" i="1" s="1"/>
  <c r="I641" i="1" s="1"/>
  <c r="J641" i="1" s="1"/>
</calcChain>
</file>

<file path=xl/sharedStrings.xml><?xml version="1.0" encoding="utf-8"?>
<sst xmlns="http://schemas.openxmlformats.org/spreadsheetml/2006/main" count="3598" uniqueCount="1219">
  <si>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</si>
  <si>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</si>
  <si>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</si>
  <si>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</si>
  <si>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</si>
  <si>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</si>
  <si>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</si>
  <si>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</si>
  <si>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</si>
  <si>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</si>
  <si>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</si>
  <si>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</si>
  <si>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</si>
  <si>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</si>
  <si>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</si>
  <si>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</si>
  <si>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</si>
  <si>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</si>
  <si>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</si>
  <si>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</si>
  <si>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</si>
  <si>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</si>
  <si>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</si>
  <si>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</si>
  <si>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</si>
  <si>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</si>
  <si>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</si>
  <si>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</si>
  <si>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</si>
  <si>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</si>
  <si>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</si>
  <si>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</si>
  <si>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</si>
  <si>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</si>
  <si>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</si>
  <si>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</si>
  <si>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</si>
  <si>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</si>
  <si>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</si>
  <si>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</si>
  <si>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</si>
  <si>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</si>
  <si>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</si>
  <si>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</si>
  <si>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</si>
  <si>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</si>
  <si>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</si>
  <si>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</si>
  <si>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</si>
  <si>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</si>
  <si>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</si>
  <si>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</si>
  <si>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</si>
  <si>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</si>
  <si>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</si>
  <si>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</si>
  <si>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</si>
  <si>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</si>
  <si>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</si>
  <si>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</si>
  <si>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</si>
  <si>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</si>
  <si>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</si>
  <si>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</si>
  <si>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</si>
  <si>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</si>
  <si>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</si>
  <si>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</si>
  <si>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</si>
  <si>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</si>
  <si>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</si>
  <si>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</si>
  <si>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</si>
  <si>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</si>
  <si>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</si>
  <si>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</si>
  <si>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</si>
  <si>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</si>
  <si>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</si>
  <si>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</si>
  <si>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</si>
  <si>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</si>
  <si>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</si>
  <si>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</si>
  <si>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</si>
  <si>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</si>
  <si>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</si>
  <si>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</si>
  <si>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</si>
  <si>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</si>
  <si>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</si>
  <si>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</si>
  <si>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</si>
  <si>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</si>
  <si>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</si>
  <si>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</si>
  <si>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</si>
  <si>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</si>
  <si>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</si>
  <si>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</si>
  <si>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</si>
  <si>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</si>
  <si>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</si>
  <si>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</si>
  <si>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</si>
  <si>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</si>
  <si>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</si>
  <si>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</si>
  <si>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</si>
  <si>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</si>
  <si>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</si>
  <si>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</si>
  <si>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</si>
  <si>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</si>
  <si>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</si>
  <si>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</si>
  <si>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</si>
  <si>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</si>
  <si>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</si>
  <si>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</si>
  <si>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</si>
  <si>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</si>
  <si>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</si>
  <si>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</si>
  <si>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</si>
  <si>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</si>
  <si>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</si>
  <si>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</si>
  <si>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</si>
  <si>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</si>
  <si>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</si>
  <si>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</si>
  <si>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</si>
  <si>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</si>
  <si>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</si>
  <si>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</si>
  <si>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</si>
  <si>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</si>
  <si>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</si>
  <si>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</si>
  <si>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</si>
  <si>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</si>
  <si>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</si>
  <si>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</si>
  <si>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</si>
  <si>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</si>
  <si>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</si>
  <si>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</si>
  <si>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</si>
  <si>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</si>
  <si>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</si>
  <si>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</si>
  <si>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</si>
  <si>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</si>
  <si>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</si>
  <si>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</si>
  <si>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</si>
  <si>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</si>
  <si>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</si>
  <si>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</si>
  <si>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</si>
  <si>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</si>
  <si>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</si>
  <si>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</si>
  <si>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</si>
  <si>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</si>
  <si>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</si>
  <si>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</si>
  <si>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</si>
  <si>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</si>
  <si>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</si>
  <si>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</si>
  <si>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</si>
  <si>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</si>
  <si>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</si>
  <si>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</si>
  <si>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</si>
  <si>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</si>
  <si>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</si>
  <si>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</si>
  <si>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</si>
  <si>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</si>
  <si>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</si>
  <si>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</si>
  <si>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</si>
  <si>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</si>
  <si>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</si>
  <si>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</si>
  <si>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</si>
  <si>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</si>
  <si>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</si>
  <si>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</si>
  <si>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</si>
  <si>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</si>
  <si>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</si>
  <si>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</si>
  <si>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</si>
  <si>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</si>
  <si>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</si>
  <si>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</si>
  <si>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</si>
  <si>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</si>
  <si>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</si>
  <si>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</si>
  <si>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</si>
  <si>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</si>
  <si>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</si>
  <si>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</si>
  <si>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</si>
  <si>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</si>
  <si>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</si>
  <si>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</si>
  <si>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</si>
  <si>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</si>
  <si>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</si>
  <si>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</si>
  <si>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</si>
  <si>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</si>
  <si>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</si>
  <si>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</si>
  <si>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</si>
  <si>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</si>
  <si>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</si>
  <si>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</si>
  <si>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</si>
  <si>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</si>
  <si>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</si>
  <si>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</si>
  <si>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</si>
  <si>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</si>
  <si>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</si>
  <si>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</si>
  <si>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</si>
  <si>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</si>
  <si>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</si>
  <si>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</si>
  <si>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</si>
  <si>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</si>
  <si>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</si>
  <si>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</si>
  <si>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</si>
  <si>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</si>
  <si>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</si>
  <si>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</si>
  <si>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</si>
  <si>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</si>
  <si>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</si>
  <si>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</si>
  <si>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</si>
  <si>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</si>
  <si>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</si>
  <si>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</si>
  <si>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</si>
  <si>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</si>
  <si>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</si>
  <si>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</si>
  <si>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</si>
  <si>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</si>
  <si>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</si>
  <si>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</si>
  <si>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</si>
  <si>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</si>
  <si>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</si>
  <si>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</si>
  <si>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</si>
  <si>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</si>
  <si>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</si>
  <si>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</si>
  <si>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</si>
  <si>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</si>
  <si>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</si>
  <si>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</si>
  <si>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</si>
  <si>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</si>
  <si>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</si>
  <si>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</si>
  <si>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</si>
  <si>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</si>
  <si>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</si>
  <si>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</si>
  <si>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</si>
  <si>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</si>
  <si>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</si>
  <si>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</si>
  <si>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</si>
  <si>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</si>
  <si>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</si>
  <si>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</si>
  <si>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</si>
  <si>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</si>
  <si>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</si>
  <si>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</si>
  <si>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</si>
  <si>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</si>
  <si>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</si>
  <si>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</si>
  <si>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</si>
  <si>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</si>
  <si>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</si>
  <si>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</si>
  <si>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</si>
  <si>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</si>
  <si>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</si>
  <si>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</si>
  <si>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</si>
  <si>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</si>
  <si>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</si>
  <si>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</si>
  <si>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</si>
  <si>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</si>
  <si>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</si>
  <si>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</si>
  <si>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</si>
  <si>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</si>
  <si>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</si>
  <si>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</si>
  <si>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</si>
  <si>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</si>
  <si>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</si>
  <si>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</si>
  <si>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</si>
  <si>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</si>
  <si>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</si>
  <si>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</si>
  <si>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</si>
  <si>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</si>
  <si>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</si>
  <si>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</si>
  <si>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</si>
  <si>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</si>
  <si>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</si>
  <si>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</si>
  <si>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</si>
  <si>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</si>
  <si>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</si>
  <si>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</si>
  <si>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</si>
  <si>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</si>
  <si>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</si>
  <si>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</si>
  <si>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</si>
  <si>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</si>
  <si>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</si>
  <si>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</si>
  <si>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</si>
  <si>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</si>
  <si>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</si>
  <si>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</si>
  <si>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</si>
  <si>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</si>
  <si>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</si>
  <si>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</si>
  <si>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</si>
  <si>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</si>
  <si>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</si>
  <si>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</si>
  <si>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</si>
  <si>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</si>
  <si>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</si>
  <si>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</si>
  <si>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</si>
  <si>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</si>
  <si>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</si>
  <si>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</si>
  <si>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</si>
  <si>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</si>
  <si>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</si>
  <si>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</si>
  <si>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</si>
  <si>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</si>
  <si>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</si>
  <si>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</si>
  <si>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</si>
  <si>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</si>
  <si>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</si>
  <si>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</si>
  <si>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</si>
  <si>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</si>
  <si>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</si>
  <si>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</si>
  <si>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</si>
  <si>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</si>
  <si>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</si>
  <si>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</si>
  <si>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</si>
  <si>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</si>
  <si>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</si>
  <si>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</si>
  <si>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</si>
  <si>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</si>
  <si>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</si>
  <si>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</si>
  <si>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</si>
  <si>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</si>
  <si>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</si>
  <si>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</si>
  <si>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</si>
  <si>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</si>
  <si>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</si>
  <si>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</si>
  <si>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</si>
  <si>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</si>
  <si>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</si>
  <si>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</si>
  <si>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</si>
  <si>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</si>
  <si>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</si>
  <si>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</si>
  <si>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</si>
  <si>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</si>
  <si>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</si>
  <si>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</si>
  <si>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</si>
  <si>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</si>
  <si>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</si>
  <si>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</si>
  <si>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</si>
  <si>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</si>
  <si>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</si>
  <si>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</si>
  <si>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</si>
  <si>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</si>
  <si>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</si>
  <si>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</si>
  <si>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</si>
  <si>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</si>
  <si>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</si>
  <si>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</si>
  <si>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</si>
  <si>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</si>
  <si>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</si>
  <si>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</si>
  <si>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</si>
  <si>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</si>
  <si>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</si>
  <si>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</si>
  <si>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</si>
  <si>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</si>
  <si>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</si>
  <si>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</si>
  <si>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</si>
  <si>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</si>
  <si>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</si>
  <si>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</si>
  <si>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</si>
  <si>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</si>
  <si>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</si>
  <si>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</si>
  <si>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</si>
  <si>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</si>
  <si>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</si>
  <si>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</si>
  <si>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</si>
  <si>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</si>
  <si>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</si>
  <si>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</si>
  <si>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</si>
  <si>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</si>
  <si>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</si>
  <si>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</si>
  <si>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</si>
  <si>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</si>
  <si>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</si>
  <si>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</si>
  <si>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</si>
  <si>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</si>
  <si>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</si>
  <si>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</si>
  <si>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</si>
  <si>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</si>
  <si>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</si>
  <si>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</si>
  <si>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</si>
  <si>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</si>
  <si>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</si>
  <si>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</si>
  <si>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</si>
  <si>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</si>
  <si>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</si>
  <si>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</si>
  <si>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</si>
  <si>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</si>
  <si>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</si>
  <si>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</si>
  <si>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</si>
  <si>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</si>
  <si>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</si>
  <si>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</si>
  <si>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</si>
  <si>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</si>
  <si>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</si>
  <si>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</si>
  <si>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</si>
  <si>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</si>
  <si>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</si>
  <si>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</si>
  <si>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</si>
  <si>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</si>
  <si>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</si>
  <si>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</si>
  <si>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</si>
  <si>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</si>
  <si>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</si>
  <si>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</si>
  <si>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</si>
  <si>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</si>
  <si>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</si>
  <si>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</si>
  <si>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</si>
  <si>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</si>
  <si>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</si>
  <si>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</si>
  <si>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</si>
  <si>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</si>
  <si>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</si>
  <si>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</si>
  <si>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</si>
  <si>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</si>
  <si>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</si>
  <si>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</si>
  <si>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</si>
  <si>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</si>
  <si>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</si>
  <si>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</si>
  <si>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</si>
  <si>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</si>
  <si>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</si>
  <si>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</si>
  <si>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</si>
  <si>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</si>
  <si>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</si>
  <si>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</si>
  <si>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</si>
  <si>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</si>
  <si>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</si>
  <si>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</si>
  <si>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</si>
  <si>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</si>
  <si>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</si>
  <si>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</si>
  <si>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</si>
  <si>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</si>
  <si>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</si>
  <si>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</si>
  <si>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</si>
  <si>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</si>
  <si>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</si>
  <si>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</si>
  <si>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</si>
  <si>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</si>
  <si>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</si>
  <si>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</si>
  <si>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</si>
  <si>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</si>
  <si>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</si>
  <si>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</si>
  <si>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</si>
  <si>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</si>
  <si>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</si>
  <si>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</si>
  <si>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</si>
  <si>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</si>
  <si>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</si>
  <si>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</si>
  <si>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</si>
  <si>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</si>
  <si>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</si>
  <si>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</si>
  <si>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</si>
  <si>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</si>
  <si>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</si>
  <si>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</si>
  <si>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</si>
  <si>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</si>
  <si>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</si>
  <si>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</si>
  <si>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</si>
  <si>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</si>
  <si>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</si>
  <si>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</si>
  <si>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</si>
  <si>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</si>
  <si>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</si>
  <si>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</si>
  <si>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</si>
  <si>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</si>
  <si>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</si>
  <si>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</si>
  <si>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</si>
  <si>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</si>
  <si>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</si>
  <si>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</si>
  <si>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</si>
  <si>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</si>
  <si>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</si>
  <si>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</si>
  <si>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</si>
  <si>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</si>
  <si>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</si>
  <si>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</si>
  <si>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</si>
  <si>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</si>
  <si>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</si>
  <si>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</si>
  <si>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</si>
  <si>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</si>
  <si>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</si>
  <si>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</si>
  <si>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</si>
  <si>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</si>
  <si>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</si>
  <si>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</si>
  <si>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</si>
  <si>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</si>
  <si>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</si>
  <si>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</si>
  <si>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</si>
  <si>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</si>
  <si>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</si>
  <si>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</si>
  <si>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</si>
  <si>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</si>
  <si>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</si>
  <si>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</si>
  <si>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</si>
  <si>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</si>
  <si>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</si>
  <si>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</si>
  <si>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</si>
  <si>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</si>
  <si>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</si>
  <si>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</si>
  <si>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</si>
  <si>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</si>
  <si>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</si>
  <si>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</si>
  <si>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</si>
  <si>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</si>
  <si>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</si>
  <si>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</si>
  <si>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</si>
  <si>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</si>
  <si>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</si>
  <si>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</si>
  <si>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</si>
  <si>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</si>
  <si>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</si>
  <si>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</si>
  <si>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</si>
  <si>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</si>
  <si>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</si>
  <si>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</si>
  <si>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</si>
  <si>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</si>
  <si>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</si>
  <si>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</si>
  <si>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</si>
  <si>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</si>
  <si>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</si>
  <si>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</si>
  <si>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</si>
  <si>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</si>
  <si>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</si>
  <si>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</si>
  <si>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</si>
  <si>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</si>
  <si>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</si>
  <si>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</si>
  <si>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</si>
  <si>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</si>
  <si>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</si>
  <si>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</si>
  <si>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</si>
  <si>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</si>
  <si>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</si>
  <si>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</si>
  <si>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</si>
  <si>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</si>
  <si>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</si>
  <si>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</si>
  <si>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</si>
  <si>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</si>
  <si>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</si>
  <si>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</si>
  <si>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</si>
  <si>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</si>
  <si>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</si>
  <si>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</si>
  <si>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</si>
  <si>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</si>
  <si>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</si>
  <si>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</si>
  <si>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</si>
  <si>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</si>
  <si>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</si>
  <si>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</si>
  <si>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</si>
  <si>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</si>
  <si>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</si>
  <si>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</si>
  <si>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</si>
  <si>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</si>
  <si>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</si>
  <si>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</si>
  <si>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</si>
  <si>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</si>
  <si>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</si>
  <si>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</si>
  <si>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</si>
  <si>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</si>
  <si>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</si>
  <si>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</si>
  <si>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</si>
  <si>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</si>
  <si>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</si>
  <si>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</si>
  <si>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</si>
  <si>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</si>
  <si>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</si>
  <si>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</si>
  <si>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</si>
  <si>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</si>
  <si>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</si>
  <si>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</si>
  <si>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</si>
  <si>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</si>
  <si>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</si>
  <si>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</si>
  <si>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</si>
  <si>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</si>
  <si>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</si>
  <si>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</si>
  <si>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</si>
  <si>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</si>
  <si>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</si>
  <si>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</si>
  <si>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</si>
  <si>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</si>
  <si>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</si>
  <si>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</si>
  <si>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</si>
  <si>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</si>
  <si>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</si>
  <si>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</si>
  <si>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</si>
  <si>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</si>
  <si>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</si>
  <si>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</si>
  <si>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</si>
  <si>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</si>
  <si>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</si>
  <si>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</si>
  <si>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</si>
  <si>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</si>
  <si>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</si>
  <si>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</si>
  <si>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</si>
  <si>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</si>
  <si>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</si>
  <si>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</si>
  <si>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</si>
  <si>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</si>
  <si>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</si>
  <si>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</si>
  <si>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</si>
  <si>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</si>
  <si>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</si>
  <si>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</si>
  <si>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</si>
  <si>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</si>
  <si>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</si>
  <si>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</si>
  <si>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</si>
  <si>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</si>
  <si>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</si>
  <si>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</si>
  <si>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</si>
  <si>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</si>
  <si>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</si>
  <si>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</si>
  <si>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</si>
  <si>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</si>
  <si>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</si>
  <si>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</si>
  <si>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</si>
  <si>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</si>
  <si>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</si>
  <si>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</si>
  <si>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</si>
  <si>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</si>
  <si>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</si>
  <si>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</si>
  <si>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</si>
  <si>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</si>
  <si>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</si>
  <si>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</si>
  <si>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</si>
  <si>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</si>
  <si>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</si>
  <si>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</si>
  <si>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</si>
  <si>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</si>
  <si>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</si>
  <si>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</si>
  <si>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</si>
  <si>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</si>
  <si>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</si>
  <si>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</si>
  <si>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</si>
  <si>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</si>
  <si>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</si>
  <si>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</si>
  <si>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</si>
  <si>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</si>
  <si>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</si>
  <si>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</si>
  <si>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</si>
  <si>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</si>
  <si>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</si>
  <si>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</si>
  <si>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</si>
  <si>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</si>
  <si>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</si>
  <si>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</si>
  <si>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</si>
  <si>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</si>
  <si>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</si>
  <si>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</si>
  <si>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</si>
  <si>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</si>
  <si>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</si>
  <si>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</si>
  <si>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</si>
  <si>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</si>
  <si>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</si>
  <si>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</si>
  <si>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</si>
  <si>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</si>
  <si>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</si>
  <si>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</si>
  <si>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</si>
  <si>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</si>
  <si>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</si>
  <si>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</si>
  <si>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</si>
  <si>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</si>
  <si>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</si>
  <si>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</si>
  <si>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</si>
  <si>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</si>
  <si>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</si>
  <si>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</si>
  <si>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</si>
  <si>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</si>
  <si>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</si>
  <si>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</si>
  <si>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</si>
  <si>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</si>
  <si>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</si>
  <si>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</si>
  <si>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</si>
  <si>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</si>
  <si>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</si>
  <si>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</si>
  <si>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</si>
  <si>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</si>
  <si>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</si>
  <si>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</si>
  <si>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</si>
  <si>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</si>
  <si>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</si>
  <si>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</si>
  <si>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</si>
  <si>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</si>
  <si>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</si>
  <si>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</si>
  <si>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</si>
  <si>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</si>
  <si>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</si>
  <si>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</si>
  <si>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</si>
  <si>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</si>
  <si>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</si>
  <si>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</si>
  <si>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</si>
  <si>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</si>
  <si>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</si>
  <si>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</si>
  <si>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</si>
  <si>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</si>
  <si>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</si>
  <si>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</si>
  <si>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</si>
  <si>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</si>
  <si>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</si>
  <si>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</si>
  <si>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</si>
  <si>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</si>
  <si>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</si>
  <si>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</si>
  <si>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</si>
  <si>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</si>
  <si>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</si>
  <si>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</si>
  <si>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</si>
  <si>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</si>
  <si>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</si>
  <si>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</si>
  <si>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</si>
  <si>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</si>
  <si>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</si>
  <si>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</si>
  <si>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</si>
  <si>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</si>
  <si>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</si>
  <si>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</si>
  <si>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</si>
  <si>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</si>
  <si>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</si>
  <si>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</si>
  <si>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</si>
  <si>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</si>
  <si>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</si>
  <si>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</si>
  <si>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</si>
  <si>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</si>
  <si>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</si>
  <si>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</si>
  <si>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</si>
  <si>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</si>
  <si>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</si>
  <si>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</si>
  <si>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</si>
  <si>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</si>
  <si>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</si>
  <si>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</si>
  <si>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</si>
  <si>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</si>
  <si>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</si>
  <si>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</si>
  <si>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</si>
  <si>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</si>
  <si>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</si>
  <si>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</si>
  <si>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</si>
  <si>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</si>
  <si>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</si>
  <si>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</si>
  <si>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</si>
  <si>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</si>
  <si>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</si>
  <si>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</si>
  <si>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</si>
  <si>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</si>
  <si>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</si>
  <si>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</si>
  <si>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</si>
  <si>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</si>
  <si>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</si>
  <si>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</si>
  <si>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</si>
  <si>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</si>
  <si>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</si>
  <si>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</si>
  <si>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</si>
  <si>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</si>
  <si>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</si>
  <si>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</si>
  <si>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</si>
  <si>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</si>
  <si>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</si>
  <si>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</si>
  <si>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</si>
  <si>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</si>
  <si>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</si>
  <si>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</si>
  <si>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</si>
  <si>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</si>
  <si>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</si>
  <si>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</si>
  <si>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</si>
  <si>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</si>
  <si>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</si>
  <si>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</si>
  <si>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</si>
  <si>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</si>
  <si>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</si>
  <si>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</si>
  <si>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</si>
  <si>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</si>
  <si>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</si>
  <si>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</si>
  <si>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</si>
  <si>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</si>
  <si>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</si>
  <si>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</si>
  <si>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</si>
  <si>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</si>
  <si>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</si>
  <si>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</si>
  <si>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</si>
  <si>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</si>
  <si>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</si>
  <si>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</si>
  <si>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</si>
  <si>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</si>
  <si>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</si>
  <si>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</si>
  <si>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</si>
  <si>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</si>
  <si>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</si>
  <si>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</si>
  <si>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</si>
  <si>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</si>
  <si>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</si>
  <si>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</si>
  <si>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</si>
  <si>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</si>
  <si>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</si>
  <si>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</si>
  <si>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</si>
  <si>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</si>
  <si>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</si>
  <si>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</si>
  <si>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</si>
  <si>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</si>
  <si>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</si>
  <si>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</si>
  <si>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</si>
  <si>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</si>
  <si>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</si>
  <si>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</si>
  <si>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</si>
  <si>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</si>
  <si>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</si>
  <si>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</si>
  <si>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</si>
  <si>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</si>
  <si>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</si>
  <si>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</si>
  <si>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</si>
  <si>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</si>
  <si>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</si>
  <si>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</si>
  <si>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</si>
  <si>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</si>
  <si>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</si>
  <si>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</si>
  <si>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</si>
  <si>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</si>
  <si>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</si>
  <si>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</si>
  <si>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</si>
  <si>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</si>
  <si>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</si>
  <si>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</si>
  <si>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</si>
  <si>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</si>
  <si>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</si>
  <si>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</si>
  <si>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</si>
  <si>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</si>
  <si>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</si>
  <si>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</si>
  <si>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</si>
  <si>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</si>
  <si>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</si>
  <si>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</si>
  <si>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</si>
  <si>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</si>
  <si>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</si>
  <si>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</si>
  <si>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</si>
  <si>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</si>
  <si>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</si>
  <si>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</si>
  <si>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</si>
  <si>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</si>
  <si>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</si>
  <si>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</si>
  <si>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</si>
  <si>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</si>
  <si>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</si>
  <si>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</si>
  <si>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</si>
  <si>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</si>
  <si>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</si>
  <si>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</si>
  <si>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</si>
  <si>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</si>
  <si>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</si>
  <si>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</si>
  <si>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</si>
  <si>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</si>
  <si>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</si>
  <si>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</si>
  <si>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</si>
  <si>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</si>
  <si>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</si>
  <si>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</si>
  <si>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</si>
  <si>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</si>
  <si>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</si>
  <si>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</si>
  <si>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</si>
  <si>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</si>
  <si>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</si>
  <si>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</si>
  <si>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</si>
  <si>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</si>
  <si>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</si>
  <si>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</si>
  <si>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</si>
  <si>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</si>
  <si>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</si>
  <si>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</si>
  <si>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</si>
  <si>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</si>
  <si>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</si>
  <si>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</si>
  <si>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</si>
  <si>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</si>
  <si>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</si>
  <si>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</si>
  <si>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</si>
  <si>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</si>
  <si>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</si>
  <si>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</si>
  <si>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</si>
  <si>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</si>
  <si>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</si>
  <si>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</si>
  <si>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</si>
  <si>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</si>
  <si>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</si>
  <si>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</si>
  <si>
    <t>cross-sec-tot</t>
  </si>
  <si>
    <t>acronym-key_us.xlsx</t>
  </si>
  <si>
    <t>.DS_Store</t>
  </si>
  <si>
    <t>cumulators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</si>
  <si>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</si>
  <si>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</si>
  <si>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</si>
  <si>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</si>
  <si>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</si>
  <si>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</si>
  <si>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</si>
  <si>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</si>
  <si>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</si>
  <si>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</si>
  <si>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</si>
  <si>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</si>
  <si>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</si>
  <si>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</si>
  <si>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</si>
  <si>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</si>
  <si>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</si>
  <si>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</si>
  <si>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</si>
  <si>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</si>
  <si>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</si>
  <si>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</si>
  <si>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</si>
  <si>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</si>
  <si>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FoISaGPbE</t>
  </si>
  <si>
    <t>FoISaGPbE-FoGPbE.csv</t>
  </si>
  <si>
    <t>Fraction of Inputs Supplied and Goods Purchased by Entity.xlsx</t>
  </si>
  <si>
    <t>P</t>
  </si>
  <si>
    <t>Population.xlsx</t>
  </si>
  <si>
    <t>SoBRCBbG</t>
  </si>
  <si>
    <t>Shr of Blgd Rtrft Cost Borne by Govt.xlsx</t>
  </si>
  <si>
    <t>SoBRCBbG.csv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</si>
  <si>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</si>
  <si>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</si>
  <si>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</si>
  <si>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</si>
  <si>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</si>
  <si>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</si>
  <si>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</si>
  <si>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</si>
  <si>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</si>
  <si>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</si>
  <si>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</si>
  <si>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</si>
  <si>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~$bau nonfuel revenue by industry.xlsx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</si>
  <si>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</si>
  <si>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</si>
  <si>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</si>
  <si>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</si>
  <si>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</si>
  <si>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</si>
  <si>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</si>
  <si>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</si>
  <si>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</si>
  <si>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</si>
  <si>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</si>
  <si>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</si>
  <si>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</si>
  <si>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</si>
  <si>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</si>
  <si>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</si>
  <si>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</si>
  <si>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HSR</t>
  </si>
  <si>
    <t>Household Savings Rate.xlsx</t>
  </si>
  <si>
    <t>HSR.csv</t>
  </si>
  <si>
    <t>SIOM</t>
  </si>
  <si>
    <t>SIOM.csv</t>
  </si>
  <si>
    <t>Standard Input Output Matrix.xlsx</t>
  </si>
  <si>
    <t>BIEfEE</t>
  </si>
  <si>
    <t>BIEfEE.csv</t>
  </si>
  <si>
    <t>Boolean Include Emissions from Exported Electricity.xlsx</t>
  </si>
  <si>
    <t>BAU Process Emis in CO2e1.xlsx</t>
  </si>
  <si>
    <t>FoPITY-policy-elements.csv</t>
  </si>
  <si>
    <t>Frac of Pol Impl This Yr - 2 - RMI.xlsx</t>
  </si>
  <si>
    <t>Frac of Pol Impl This Yr - 3 - 1.5.xlsx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</si>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</sst>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54.509626620369" createdVersion="6" refreshedVersion="6" minRefreshableVersion="3" recordCount="955" xr:uid="{00000000-000A-0000-FFFF-FFFF36000000}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RMI_validation" u="1"/>
        <s v="CSV Export Tool - Copy.xlsm" u="1"/>
        <s v="plcy-ctrl-ctr" u="1"/>
      </sharedItems>
    </cacheField>
    <cacheField name="Variable Folder" numFmtId="0">
      <sharedItems containsBlank="1" count="259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validationDashboard.csv" u="1"/>
        <s v="EVCCC" u="1"/>
        <s v="AGFA" u="1"/>
        <s v="FoNEtVwP" u="1"/>
        <s v="VQS" u="1"/>
        <s v="SCoHIbP" u="1"/>
        <s v="FoOMCtiL" u="1"/>
        <s v="ValidationWorkbook.twb" u="1"/>
        <s v="FoFEtiL" u="1"/>
        <s v="validationDashboard_USA.csv" u="1"/>
        <s v="CESTR" u="1"/>
        <s v="SYSoCCtaSC" u="1"/>
        <s v="EQS" u="1"/>
        <s v="VR" u="1"/>
        <s v="EVCLC" u="1"/>
        <s v="TLIM" u="1"/>
        <s v="BSoFPtiT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1030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.DS_Store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~$bau nonfuel revenue by industry.xlsx"/>
        <s v="BAU Process Emis in CO2e.xlsx"/>
        <s v="BAU Process Emis in CO2e1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rac of Goods Purchased by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RMI.xlsx"/>
        <s v="Frac of Pol Impl This Yr - 3 - 1.5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ICpUEfEBE-com-cooling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ELF-bldgcmpnts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rac of Pol Impl This Yr - 2 - VCE .xlsx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GRA-householdtaxes.csv" u="1"/>
        <s v="SCoHIbP-indst.csv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BSoFPtiT-carbontax.csv" u="1"/>
        <s v="BGrBSC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7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8"/>
    <x v="49"/>
  </r>
  <r>
    <x v="9"/>
    <x v="8"/>
    <x v="50"/>
  </r>
  <r>
    <x v="9"/>
    <x v="8"/>
    <x v="51"/>
  </r>
  <r>
    <x v="9"/>
    <x v="8"/>
    <x v="52"/>
  </r>
  <r>
    <x v="9"/>
    <x v="9"/>
    <x v="53"/>
  </r>
  <r>
    <x v="9"/>
    <x v="9"/>
    <x v="54"/>
  </r>
  <r>
    <x v="9"/>
    <x v="9"/>
    <x v="55"/>
  </r>
  <r>
    <x v="9"/>
    <x v="10"/>
    <x v="56"/>
  </r>
  <r>
    <x v="9"/>
    <x v="10"/>
    <x v="57"/>
  </r>
  <r>
    <x v="9"/>
    <x v="11"/>
    <x v="58"/>
  </r>
  <r>
    <x v="9"/>
    <x v="11"/>
    <x v="59"/>
  </r>
  <r>
    <x v="9"/>
    <x v="11"/>
    <x v="60"/>
  </r>
  <r>
    <x v="9"/>
    <x v="12"/>
    <x v="61"/>
  </r>
  <r>
    <x v="9"/>
    <x v="12"/>
    <x v="62"/>
  </r>
  <r>
    <x v="9"/>
    <x v="13"/>
    <x v="63"/>
  </r>
  <r>
    <x v="9"/>
    <x v="13"/>
    <x v="64"/>
  </r>
  <r>
    <x v="9"/>
    <x v="14"/>
    <x v="65"/>
  </r>
  <r>
    <x v="9"/>
    <x v="14"/>
    <x v="66"/>
  </r>
  <r>
    <x v="9"/>
    <x v="15"/>
    <x v="67"/>
  </r>
  <r>
    <x v="9"/>
    <x v="15"/>
    <x v="68"/>
  </r>
  <r>
    <x v="9"/>
    <x v="16"/>
    <x v="69"/>
  </r>
  <r>
    <x v="9"/>
    <x v="16"/>
    <x v="70"/>
  </r>
  <r>
    <x v="9"/>
    <x v="17"/>
    <x v="71"/>
  </r>
  <r>
    <x v="9"/>
    <x v="17"/>
    <x v="72"/>
  </r>
  <r>
    <x v="9"/>
    <x v="18"/>
    <x v="73"/>
  </r>
  <r>
    <x v="9"/>
    <x v="18"/>
    <x v="74"/>
  </r>
  <r>
    <x v="9"/>
    <x v="19"/>
    <x v="75"/>
  </r>
  <r>
    <x v="9"/>
    <x v="19"/>
    <x v="76"/>
  </r>
  <r>
    <x v="9"/>
    <x v="19"/>
    <x v="77"/>
  </r>
  <r>
    <x v="9"/>
    <x v="19"/>
    <x v="78"/>
  </r>
  <r>
    <x v="9"/>
    <x v="19"/>
    <x v="79"/>
  </r>
  <r>
    <x v="9"/>
    <x v="19"/>
    <x v="80"/>
  </r>
  <r>
    <x v="9"/>
    <x v="19"/>
    <x v="81"/>
  </r>
  <r>
    <x v="9"/>
    <x v="19"/>
    <x v="82"/>
  </r>
  <r>
    <x v="9"/>
    <x v="19"/>
    <x v="83"/>
  </r>
  <r>
    <x v="9"/>
    <x v="19"/>
    <x v="84"/>
  </r>
  <r>
    <x v="9"/>
    <x v="20"/>
    <x v="85"/>
  </r>
  <r>
    <x v="9"/>
    <x v="20"/>
    <x v="86"/>
  </r>
  <r>
    <x v="9"/>
    <x v="21"/>
    <x v="87"/>
  </r>
  <r>
    <x v="9"/>
    <x v="21"/>
    <x v="88"/>
  </r>
  <r>
    <x v="9"/>
    <x v="22"/>
    <x v="89"/>
  </r>
  <r>
    <x v="9"/>
    <x v="22"/>
    <x v="90"/>
  </r>
  <r>
    <x v="9"/>
    <x v="23"/>
    <x v="91"/>
  </r>
  <r>
    <x v="9"/>
    <x v="23"/>
    <x v="92"/>
  </r>
  <r>
    <x v="9"/>
    <x v="24"/>
    <x v="93"/>
  </r>
  <r>
    <x v="9"/>
    <x v="24"/>
    <x v="94"/>
  </r>
  <r>
    <x v="9"/>
    <x v="25"/>
    <x v="95"/>
  </r>
  <r>
    <x v="9"/>
    <x v="25"/>
    <x v="96"/>
  </r>
  <r>
    <x v="9"/>
    <x v="26"/>
    <x v="97"/>
  </r>
  <r>
    <x v="9"/>
    <x v="26"/>
    <x v="98"/>
  </r>
  <r>
    <x v="9"/>
    <x v="27"/>
    <x v="99"/>
  </r>
  <r>
    <x v="9"/>
    <x v="27"/>
    <x v="100"/>
  </r>
  <r>
    <x v="9"/>
    <x v="27"/>
    <x v="101"/>
  </r>
  <r>
    <x v="9"/>
    <x v="27"/>
    <x v="102"/>
  </r>
  <r>
    <x v="9"/>
    <x v="28"/>
    <x v="103"/>
  </r>
  <r>
    <x v="9"/>
    <x v="28"/>
    <x v="104"/>
  </r>
  <r>
    <x v="9"/>
    <x v="29"/>
    <x v="105"/>
  </r>
  <r>
    <x v="9"/>
    <x v="29"/>
    <x v="106"/>
  </r>
  <r>
    <x v="9"/>
    <x v="30"/>
    <x v="107"/>
  </r>
  <r>
    <x v="9"/>
    <x v="30"/>
    <x v="108"/>
  </r>
  <r>
    <x v="9"/>
    <x v="31"/>
    <x v="109"/>
  </r>
  <r>
    <x v="9"/>
    <x v="31"/>
    <x v="110"/>
  </r>
  <r>
    <x v="9"/>
    <x v="31"/>
    <x v="111"/>
  </r>
  <r>
    <x v="9"/>
    <x v="31"/>
    <x v="112"/>
  </r>
  <r>
    <x v="9"/>
    <x v="32"/>
    <x v="113"/>
  </r>
  <r>
    <x v="9"/>
    <x v="32"/>
    <x v="114"/>
  </r>
  <r>
    <x v="10"/>
    <x v="33"/>
    <x v="115"/>
  </r>
  <r>
    <x v="10"/>
    <x v="33"/>
    <x v="116"/>
  </r>
  <r>
    <x v="10"/>
    <x v="34"/>
    <x v="117"/>
  </r>
  <r>
    <x v="10"/>
    <x v="34"/>
    <x v="118"/>
  </r>
  <r>
    <x v="10"/>
    <x v="34"/>
    <x v="119"/>
  </r>
  <r>
    <x v="10"/>
    <x v="34"/>
    <x v="120"/>
  </r>
  <r>
    <x v="10"/>
    <x v="35"/>
    <x v="121"/>
  </r>
  <r>
    <x v="10"/>
    <x v="35"/>
    <x v="122"/>
  </r>
  <r>
    <x v="10"/>
    <x v="35"/>
    <x v="123"/>
  </r>
  <r>
    <x v="11"/>
    <x v="36"/>
    <x v="124"/>
  </r>
  <r>
    <x v="11"/>
    <x v="36"/>
    <x v="125"/>
  </r>
  <r>
    <x v="11"/>
    <x v="37"/>
    <x v="126"/>
  </r>
  <r>
    <x v="11"/>
    <x v="37"/>
    <x v="127"/>
  </r>
  <r>
    <x v="12"/>
    <x v="38"/>
    <x v="128"/>
  </r>
  <r>
    <x v="12"/>
    <x v="38"/>
    <x v="129"/>
  </r>
  <r>
    <x v="13"/>
    <x v="39"/>
    <x v="130"/>
  </r>
  <r>
    <x v="13"/>
    <x v="39"/>
    <x v="131"/>
  </r>
  <r>
    <x v="13"/>
    <x v="40"/>
    <x v="132"/>
  </r>
  <r>
    <x v="13"/>
    <x v="40"/>
    <x v="133"/>
  </r>
  <r>
    <x v="13"/>
    <x v="41"/>
    <x v="134"/>
  </r>
  <r>
    <x v="13"/>
    <x v="41"/>
    <x v="135"/>
  </r>
  <r>
    <x v="13"/>
    <x v="42"/>
    <x v="136"/>
  </r>
  <r>
    <x v="13"/>
    <x v="42"/>
    <x v="137"/>
  </r>
  <r>
    <x v="13"/>
    <x v="43"/>
    <x v="138"/>
  </r>
  <r>
    <x v="13"/>
    <x v="43"/>
    <x v="139"/>
  </r>
  <r>
    <x v="13"/>
    <x v="44"/>
    <x v="140"/>
  </r>
  <r>
    <x v="13"/>
    <x v="44"/>
    <x v="141"/>
  </r>
  <r>
    <x v="13"/>
    <x v="45"/>
    <x v="142"/>
  </r>
  <r>
    <x v="13"/>
    <x v="45"/>
    <x v="143"/>
  </r>
  <r>
    <x v="13"/>
    <x v="46"/>
    <x v="144"/>
  </r>
  <r>
    <x v="13"/>
    <x v="46"/>
    <x v="145"/>
  </r>
  <r>
    <x v="13"/>
    <x v="47"/>
    <x v="146"/>
  </r>
  <r>
    <x v="13"/>
    <x v="47"/>
    <x v="147"/>
  </r>
  <r>
    <x v="13"/>
    <x v="47"/>
    <x v="148"/>
  </r>
  <r>
    <x v="13"/>
    <x v="48"/>
    <x v="149"/>
  </r>
  <r>
    <x v="13"/>
    <x v="48"/>
    <x v="150"/>
  </r>
  <r>
    <x v="13"/>
    <x v="48"/>
    <x v="151"/>
  </r>
  <r>
    <x v="13"/>
    <x v="48"/>
    <x v="152"/>
  </r>
  <r>
    <x v="13"/>
    <x v="48"/>
    <x v="153"/>
  </r>
  <r>
    <x v="13"/>
    <x v="48"/>
    <x v="154"/>
  </r>
  <r>
    <x v="13"/>
    <x v="48"/>
    <x v="155"/>
  </r>
  <r>
    <x v="13"/>
    <x v="48"/>
    <x v="156"/>
  </r>
  <r>
    <x v="13"/>
    <x v="48"/>
    <x v="157"/>
  </r>
  <r>
    <x v="13"/>
    <x v="48"/>
    <x v="158"/>
  </r>
  <r>
    <x v="14"/>
    <x v="38"/>
    <x v="128"/>
  </r>
  <r>
    <x v="14"/>
    <x v="38"/>
    <x v="129"/>
  </r>
  <r>
    <x v="15"/>
    <x v="49"/>
    <x v="159"/>
  </r>
  <r>
    <x v="15"/>
    <x v="49"/>
    <x v="160"/>
  </r>
  <r>
    <x v="15"/>
    <x v="50"/>
    <x v="161"/>
  </r>
  <r>
    <x v="15"/>
    <x v="50"/>
    <x v="162"/>
  </r>
  <r>
    <x v="15"/>
    <x v="51"/>
    <x v="163"/>
  </r>
  <r>
    <x v="15"/>
    <x v="51"/>
    <x v="164"/>
  </r>
  <r>
    <x v="15"/>
    <x v="52"/>
    <x v="165"/>
  </r>
  <r>
    <x v="15"/>
    <x v="52"/>
    <x v="166"/>
  </r>
  <r>
    <x v="16"/>
    <x v="4"/>
    <x v="0"/>
  </r>
  <r>
    <x v="16"/>
    <x v="53"/>
    <x v="167"/>
  </r>
  <r>
    <x v="16"/>
    <x v="53"/>
    <x v="168"/>
  </r>
  <r>
    <x v="16"/>
    <x v="54"/>
    <x v="169"/>
  </r>
  <r>
    <x v="16"/>
    <x v="54"/>
    <x v="170"/>
  </r>
  <r>
    <x v="16"/>
    <x v="54"/>
    <x v="171"/>
  </r>
  <r>
    <x v="16"/>
    <x v="55"/>
    <x v="172"/>
  </r>
  <r>
    <x v="16"/>
    <x v="55"/>
    <x v="173"/>
  </r>
  <r>
    <x v="16"/>
    <x v="55"/>
    <x v="174"/>
  </r>
  <r>
    <x v="16"/>
    <x v="56"/>
    <x v="175"/>
  </r>
  <r>
    <x v="16"/>
    <x v="56"/>
    <x v="176"/>
  </r>
  <r>
    <x v="16"/>
    <x v="57"/>
    <x v="177"/>
  </r>
  <r>
    <x v="16"/>
    <x v="57"/>
    <x v="178"/>
  </r>
  <r>
    <x v="16"/>
    <x v="58"/>
    <x v="179"/>
  </r>
  <r>
    <x v="16"/>
    <x v="58"/>
    <x v="180"/>
  </r>
  <r>
    <x v="16"/>
    <x v="58"/>
    <x v="181"/>
  </r>
  <r>
    <x v="16"/>
    <x v="58"/>
    <x v="182"/>
  </r>
  <r>
    <x v="16"/>
    <x v="59"/>
    <x v="183"/>
  </r>
  <r>
    <x v="16"/>
    <x v="59"/>
    <x v="184"/>
  </r>
  <r>
    <x v="16"/>
    <x v="60"/>
    <x v="185"/>
  </r>
  <r>
    <x v="16"/>
    <x v="60"/>
    <x v="186"/>
  </r>
  <r>
    <x v="16"/>
    <x v="61"/>
    <x v="187"/>
  </r>
  <r>
    <x v="16"/>
    <x v="61"/>
    <x v="188"/>
  </r>
  <r>
    <x v="16"/>
    <x v="62"/>
    <x v="189"/>
  </r>
  <r>
    <x v="16"/>
    <x v="62"/>
    <x v="190"/>
  </r>
  <r>
    <x v="16"/>
    <x v="62"/>
    <x v="191"/>
  </r>
  <r>
    <x v="16"/>
    <x v="63"/>
    <x v="192"/>
  </r>
  <r>
    <x v="16"/>
    <x v="63"/>
    <x v="193"/>
  </r>
  <r>
    <x v="16"/>
    <x v="64"/>
    <x v="172"/>
  </r>
  <r>
    <x v="16"/>
    <x v="64"/>
    <x v="194"/>
  </r>
  <r>
    <x v="16"/>
    <x v="64"/>
    <x v="195"/>
  </r>
  <r>
    <x v="16"/>
    <x v="65"/>
    <x v="196"/>
  </r>
  <r>
    <x v="16"/>
    <x v="65"/>
    <x v="197"/>
  </r>
  <r>
    <x v="16"/>
    <x v="66"/>
    <x v="198"/>
  </r>
  <r>
    <x v="16"/>
    <x v="66"/>
    <x v="199"/>
  </r>
  <r>
    <x v="16"/>
    <x v="67"/>
    <x v="200"/>
  </r>
  <r>
    <x v="16"/>
    <x v="67"/>
    <x v="201"/>
  </r>
  <r>
    <x v="16"/>
    <x v="68"/>
    <x v="172"/>
  </r>
  <r>
    <x v="16"/>
    <x v="68"/>
    <x v="202"/>
  </r>
  <r>
    <x v="16"/>
    <x v="68"/>
    <x v="203"/>
  </r>
  <r>
    <x v="16"/>
    <x v="68"/>
    <x v="204"/>
  </r>
  <r>
    <x v="16"/>
    <x v="68"/>
    <x v="205"/>
  </r>
  <r>
    <x v="16"/>
    <x v="68"/>
    <x v="206"/>
  </r>
  <r>
    <x v="16"/>
    <x v="69"/>
    <x v="207"/>
  </r>
  <r>
    <x v="16"/>
    <x v="69"/>
    <x v="208"/>
  </r>
  <r>
    <x v="16"/>
    <x v="70"/>
    <x v="209"/>
  </r>
  <r>
    <x v="16"/>
    <x v="70"/>
    <x v="210"/>
  </r>
  <r>
    <x v="16"/>
    <x v="71"/>
    <x v="211"/>
  </r>
  <r>
    <x v="16"/>
    <x v="71"/>
    <x v="212"/>
  </r>
  <r>
    <x v="16"/>
    <x v="71"/>
    <x v="213"/>
  </r>
  <r>
    <x v="16"/>
    <x v="72"/>
    <x v="214"/>
  </r>
  <r>
    <x v="16"/>
    <x v="72"/>
    <x v="215"/>
  </r>
  <r>
    <x v="16"/>
    <x v="72"/>
    <x v="216"/>
  </r>
  <r>
    <x v="16"/>
    <x v="73"/>
    <x v="172"/>
  </r>
  <r>
    <x v="16"/>
    <x v="73"/>
    <x v="217"/>
  </r>
  <r>
    <x v="16"/>
    <x v="73"/>
    <x v="218"/>
  </r>
  <r>
    <x v="16"/>
    <x v="73"/>
    <x v="219"/>
  </r>
  <r>
    <x v="16"/>
    <x v="73"/>
    <x v="220"/>
  </r>
  <r>
    <x v="16"/>
    <x v="73"/>
    <x v="221"/>
  </r>
  <r>
    <x v="16"/>
    <x v="74"/>
    <x v="222"/>
  </r>
  <r>
    <x v="16"/>
    <x v="74"/>
    <x v="223"/>
  </r>
  <r>
    <x v="16"/>
    <x v="74"/>
    <x v="224"/>
  </r>
  <r>
    <x v="16"/>
    <x v="74"/>
    <x v="225"/>
  </r>
  <r>
    <x v="16"/>
    <x v="74"/>
    <x v="226"/>
  </r>
  <r>
    <x v="16"/>
    <x v="75"/>
    <x v="227"/>
  </r>
  <r>
    <x v="16"/>
    <x v="75"/>
    <x v="228"/>
  </r>
  <r>
    <x v="16"/>
    <x v="76"/>
    <x v="229"/>
  </r>
  <r>
    <x v="16"/>
    <x v="76"/>
    <x v="230"/>
  </r>
  <r>
    <x v="16"/>
    <x v="77"/>
    <x v="231"/>
  </r>
  <r>
    <x v="16"/>
    <x v="77"/>
    <x v="232"/>
  </r>
  <r>
    <x v="16"/>
    <x v="78"/>
    <x v="233"/>
  </r>
  <r>
    <x v="16"/>
    <x v="78"/>
    <x v="234"/>
  </r>
  <r>
    <x v="16"/>
    <x v="78"/>
    <x v="235"/>
  </r>
  <r>
    <x v="16"/>
    <x v="78"/>
    <x v="236"/>
  </r>
  <r>
    <x v="16"/>
    <x v="78"/>
    <x v="237"/>
  </r>
  <r>
    <x v="16"/>
    <x v="78"/>
    <x v="238"/>
  </r>
  <r>
    <x v="16"/>
    <x v="78"/>
    <x v="239"/>
  </r>
  <r>
    <x v="16"/>
    <x v="78"/>
    <x v="240"/>
  </r>
  <r>
    <x v="16"/>
    <x v="78"/>
    <x v="241"/>
  </r>
  <r>
    <x v="16"/>
    <x v="78"/>
    <x v="242"/>
  </r>
  <r>
    <x v="16"/>
    <x v="78"/>
    <x v="243"/>
  </r>
  <r>
    <x v="16"/>
    <x v="78"/>
    <x v="244"/>
  </r>
  <r>
    <x v="16"/>
    <x v="78"/>
    <x v="245"/>
  </r>
  <r>
    <x v="16"/>
    <x v="79"/>
    <x v="246"/>
  </r>
  <r>
    <x v="16"/>
    <x v="79"/>
    <x v="247"/>
  </r>
  <r>
    <x v="16"/>
    <x v="80"/>
    <x v="248"/>
  </r>
  <r>
    <x v="16"/>
    <x v="80"/>
    <x v="249"/>
  </r>
  <r>
    <x v="16"/>
    <x v="81"/>
    <x v="172"/>
  </r>
  <r>
    <x v="16"/>
    <x v="81"/>
    <x v="250"/>
  </r>
  <r>
    <x v="16"/>
    <x v="81"/>
    <x v="251"/>
  </r>
  <r>
    <x v="16"/>
    <x v="81"/>
    <x v="252"/>
  </r>
  <r>
    <x v="16"/>
    <x v="81"/>
    <x v="253"/>
  </r>
  <r>
    <x v="16"/>
    <x v="82"/>
    <x v="254"/>
  </r>
  <r>
    <x v="16"/>
    <x v="82"/>
    <x v="255"/>
  </r>
  <r>
    <x v="16"/>
    <x v="83"/>
    <x v="256"/>
  </r>
  <r>
    <x v="16"/>
    <x v="83"/>
    <x v="257"/>
  </r>
  <r>
    <x v="16"/>
    <x v="84"/>
    <x v="258"/>
  </r>
  <r>
    <x v="16"/>
    <x v="84"/>
    <x v="259"/>
  </r>
  <r>
    <x v="16"/>
    <x v="85"/>
    <x v="260"/>
  </r>
  <r>
    <x v="16"/>
    <x v="85"/>
    <x v="261"/>
  </r>
  <r>
    <x v="16"/>
    <x v="86"/>
    <x v="262"/>
  </r>
  <r>
    <x v="16"/>
    <x v="86"/>
    <x v="263"/>
  </r>
  <r>
    <x v="16"/>
    <x v="87"/>
    <x v="264"/>
  </r>
  <r>
    <x v="16"/>
    <x v="87"/>
    <x v="265"/>
  </r>
  <r>
    <x v="16"/>
    <x v="88"/>
    <x v="266"/>
  </r>
  <r>
    <x v="16"/>
    <x v="88"/>
    <x v="267"/>
  </r>
  <r>
    <x v="16"/>
    <x v="89"/>
    <x v="268"/>
  </r>
  <r>
    <x v="16"/>
    <x v="89"/>
    <x v="269"/>
  </r>
  <r>
    <x v="16"/>
    <x v="90"/>
    <x v="270"/>
  </r>
  <r>
    <x v="16"/>
    <x v="90"/>
    <x v="271"/>
  </r>
  <r>
    <x v="16"/>
    <x v="91"/>
    <x v="272"/>
  </r>
  <r>
    <x v="16"/>
    <x v="91"/>
    <x v="273"/>
  </r>
  <r>
    <x v="16"/>
    <x v="92"/>
    <x v="274"/>
  </r>
  <r>
    <x v="16"/>
    <x v="92"/>
    <x v="275"/>
  </r>
  <r>
    <x v="16"/>
    <x v="92"/>
    <x v="276"/>
  </r>
  <r>
    <x v="16"/>
    <x v="93"/>
    <x v="277"/>
  </r>
  <r>
    <x v="16"/>
    <x v="93"/>
    <x v="278"/>
  </r>
  <r>
    <x v="16"/>
    <x v="93"/>
    <x v="279"/>
  </r>
  <r>
    <x v="16"/>
    <x v="93"/>
    <x v="280"/>
  </r>
  <r>
    <x v="16"/>
    <x v="94"/>
    <x v="281"/>
  </r>
  <r>
    <x v="16"/>
    <x v="94"/>
    <x v="282"/>
  </r>
  <r>
    <x v="16"/>
    <x v="94"/>
    <x v="283"/>
  </r>
  <r>
    <x v="16"/>
    <x v="95"/>
    <x v="284"/>
  </r>
  <r>
    <x v="16"/>
    <x v="95"/>
    <x v="285"/>
  </r>
  <r>
    <x v="16"/>
    <x v="96"/>
    <x v="286"/>
  </r>
  <r>
    <x v="16"/>
    <x v="96"/>
    <x v="287"/>
  </r>
  <r>
    <x v="16"/>
    <x v="97"/>
    <x v="288"/>
  </r>
  <r>
    <x v="16"/>
    <x v="97"/>
    <x v="289"/>
  </r>
  <r>
    <x v="16"/>
    <x v="97"/>
    <x v="290"/>
  </r>
  <r>
    <x v="17"/>
    <x v="98"/>
    <x v="291"/>
  </r>
  <r>
    <x v="17"/>
    <x v="98"/>
    <x v="292"/>
  </r>
  <r>
    <x v="17"/>
    <x v="98"/>
    <x v="293"/>
  </r>
  <r>
    <x v="17"/>
    <x v="99"/>
    <x v="294"/>
  </r>
  <r>
    <x v="17"/>
    <x v="99"/>
    <x v="295"/>
  </r>
  <r>
    <x v="17"/>
    <x v="100"/>
    <x v="296"/>
  </r>
  <r>
    <x v="17"/>
    <x v="100"/>
    <x v="250"/>
  </r>
  <r>
    <x v="17"/>
    <x v="101"/>
    <x v="297"/>
  </r>
  <r>
    <x v="17"/>
    <x v="101"/>
    <x v="298"/>
  </r>
  <r>
    <x v="17"/>
    <x v="102"/>
    <x v="299"/>
  </r>
  <r>
    <x v="17"/>
    <x v="102"/>
    <x v="300"/>
  </r>
  <r>
    <x v="17"/>
    <x v="103"/>
    <x v="301"/>
  </r>
  <r>
    <x v="17"/>
    <x v="103"/>
    <x v="302"/>
  </r>
  <r>
    <x v="17"/>
    <x v="104"/>
    <x v="303"/>
  </r>
  <r>
    <x v="17"/>
    <x v="104"/>
    <x v="304"/>
  </r>
  <r>
    <x v="17"/>
    <x v="105"/>
    <x v="305"/>
  </r>
  <r>
    <x v="17"/>
    <x v="105"/>
    <x v="306"/>
  </r>
  <r>
    <x v="17"/>
    <x v="106"/>
    <x v="307"/>
  </r>
  <r>
    <x v="17"/>
    <x v="106"/>
    <x v="308"/>
  </r>
  <r>
    <x v="18"/>
    <x v="4"/>
    <x v="0"/>
  </r>
  <r>
    <x v="18"/>
    <x v="107"/>
    <x v="309"/>
  </r>
  <r>
    <x v="18"/>
    <x v="107"/>
    <x v="310"/>
  </r>
  <r>
    <x v="18"/>
    <x v="108"/>
    <x v="311"/>
  </r>
  <r>
    <x v="18"/>
    <x v="108"/>
    <x v="312"/>
  </r>
  <r>
    <x v="18"/>
    <x v="108"/>
    <x v="313"/>
  </r>
  <r>
    <x v="18"/>
    <x v="108"/>
    <x v="314"/>
  </r>
  <r>
    <x v="18"/>
    <x v="108"/>
    <x v="315"/>
  </r>
  <r>
    <x v="18"/>
    <x v="108"/>
    <x v="316"/>
  </r>
  <r>
    <x v="18"/>
    <x v="108"/>
    <x v="317"/>
  </r>
  <r>
    <x v="18"/>
    <x v="108"/>
    <x v="318"/>
  </r>
  <r>
    <x v="18"/>
    <x v="108"/>
    <x v="319"/>
  </r>
  <r>
    <x v="18"/>
    <x v="108"/>
    <x v="320"/>
  </r>
  <r>
    <x v="18"/>
    <x v="108"/>
    <x v="321"/>
  </r>
  <r>
    <x v="18"/>
    <x v="108"/>
    <x v="322"/>
  </r>
  <r>
    <x v="18"/>
    <x v="108"/>
    <x v="323"/>
  </r>
  <r>
    <x v="18"/>
    <x v="108"/>
    <x v="324"/>
  </r>
  <r>
    <x v="18"/>
    <x v="108"/>
    <x v="325"/>
  </r>
  <r>
    <x v="18"/>
    <x v="108"/>
    <x v="326"/>
  </r>
  <r>
    <x v="18"/>
    <x v="108"/>
    <x v="327"/>
  </r>
  <r>
    <x v="18"/>
    <x v="108"/>
    <x v="328"/>
  </r>
  <r>
    <x v="18"/>
    <x v="108"/>
    <x v="329"/>
  </r>
  <r>
    <x v="18"/>
    <x v="108"/>
    <x v="330"/>
  </r>
  <r>
    <x v="18"/>
    <x v="108"/>
    <x v="331"/>
  </r>
  <r>
    <x v="18"/>
    <x v="108"/>
    <x v="332"/>
  </r>
  <r>
    <x v="18"/>
    <x v="109"/>
    <x v="333"/>
  </r>
  <r>
    <x v="18"/>
    <x v="109"/>
    <x v="334"/>
  </r>
  <r>
    <x v="18"/>
    <x v="109"/>
    <x v="335"/>
  </r>
  <r>
    <x v="18"/>
    <x v="109"/>
    <x v="336"/>
  </r>
  <r>
    <x v="18"/>
    <x v="109"/>
    <x v="337"/>
  </r>
  <r>
    <x v="18"/>
    <x v="109"/>
    <x v="338"/>
  </r>
  <r>
    <x v="18"/>
    <x v="109"/>
    <x v="339"/>
  </r>
  <r>
    <x v="18"/>
    <x v="109"/>
    <x v="340"/>
  </r>
  <r>
    <x v="18"/>
    <x v="109"/>
    <x v="341"/>
  </r>
  <r>
    <x v="18"/>
    <x v="109"/>
    <x v="342"/>
  </r>
  <r>
    <x v="18"/>
    <x v="109"/>
    <x v="343"/>
  </r>
  <r>
    <x v="18"/>
    <x v="109"/>
    <x v="344"/>
  </r>
  <r>
    <x v="18"/>
    <x v="109"/>
    <x v="345"/>
  </r>
  <r>
    <x v="18"/>
    <x v="109"/>
    <x v="346"/>
  </r>
  <r>
    <x v="18"/>
    <x v="109"/>
    <x v="347"/>
  </r>
  <r>
    <x v="18"/>
    <x v="109"/>
    <x v="348"/>
  </r>
  <r>
    <x v="18"/>
    <x v="109"/>
    <x v="349"/>
  </r>
  <r>
    <x v="18"/>
    <x v="109"/>
    <x v="350"/>
  </r>
  <r>
    <x v="18"/>
    <x v="109"/>
    <x v="351"/>
  </r>
  <r>
    <x v="18"/>
    <x v="109"/>
    <x v="352"/>
  </r>
  <r>
    <x v="18"/>
    <x v="109"/>
    <x v="353"/>
  </r>
  <r>
    <x v="18"/>
    <x v="109"/>
    <x v="354"/>
  </r>
  <r>
    <x v="18"/>
    <x v="109"/>
    <x v="355"/>
  </r>
  <r>
    <x v="18"/>
    <x v="109"/>
    <x v="356"/>
  </r>
  <r>
    <x v="18"/>
    <x v="109"/>
    <x v="357"/>
  </r>
  <r>
    <x v="18"/>
    <x v="109"/>
    <x v="358"/>
  </r>
  <r>
    <x v="18"/>
    <x v="109"/>
    <x v="359"/>
  </r>
  <r>
    <x v="18"/>
    <x v="109"/>
    <x v="360"/>
  </r>
  <r>
    <x v="18"/>
    <x v="109"/>
    <x v="361"/>
  </r>
  <r>
    <x v="18"/>
    <x v="109"/>
    <x v="362"/>
  </r>
  <r>
    <x v="18"/>
    <x v="109"/>
    <x v="363"/>
  </r>
  <r>
    <x v="18"/>
    <x v="109"/>
    <x v="364"/>
  </r>
  <r>
    <x v="18"/>
    <x v="109"/>
    <x v="365"/>
  </r>
  <r>
    <x v="18"/>
    <x v="109"/>
    <x v="366"/>
  </r>
  <r>
    <x v="18"/>
    <x v="109"/>
    <x v="367"/>
  </r>
  <r>
    <x v="18"/>
    <x v="109"/>
    <x v="368"/>
  </r>
  <r>
    <x v="18"/>
    <x v="109"/>
    <x v="369"/>
  </r>
  <r>
    <x v="18"/>
    <x v="109"/>
    <x v="370"/>
  </r>
  <r>
    <x v="18"/>
    <x v="109"/>
    <x v="371"/>
  </r>
  <r>
    <x v="18"/>
    <x v="109"/>
    <x v="372"/>
  </r>
  <r>
    <x v="18"/>
    <x v="109"/>
    <x v="373"/>
  </r>
  <r>
    <x v="18"/>
    <x v="109"/>
    <x v="374"/>
  </r>
  <r>
    <x v="18"/>
    <x v="109"/>
    <x v="375"/>
  </r>
  <r>
    <x v="18"/>
    <x v="109"/>
    <x v="376"/>
  </r>
  <r>
    <x v="18"/>
    <x v="110"/>
    <x v="377"/>
  </r>
  <r>
    <x v="18"/>
    <x v="110"/>
    <x v="378"/>
  </r>
  <r>
    <x v="18"/>
    <x v="110"/>
    <x v="379"/>
  </r>
  <r>
    <x v="18"/>
    <x v="110"/>
    <x v="380"/>
  </r>
  <r>
    <x v="18"/>
    <x v="111"/>
    <x v="381"/>
  </r>
  <r>
    <x v="18"/>
    <x v="111"/>
    <x v="382"/>
  </r>
  <r>
    <x v="18"/>
    <x v="111"/>
    <x v="383"/>
  </r>
  <r>
    <x v="18"/>
    <x v="111"/>
    <x v="384"/>
  </r>
  <r>
    <x v="18"/>
    <x v="112"/>
    <x v="385"/>
  </r>
  <r>
    <x v="18"/>
    <x v="112"/>
    <x v="386"/>
  </r>
  <r>
    <x v="18"/>
    <x v="113"/>
    <x v="387"/>
  </r>
  <r>
    <x v="18"/>
    <x v="113"/>
    <x v="388"/>
  </r>
  <r>
    <x v="18"/>
    <x v="114"/>
    <x v="389"/>
  </r>
  <r>
    <x v="18"/>
    <x v="114"/>
    <x v="390"/>
  </r>
  <r>
    <x v="18"/>
    <x v="115"/>
    <x v="391"/>
  </r>
  <r>
    <x v="18"/>
    <x v="115"/>
    <x v="392"/>
  </r>
  <r>
    <x v="18"/>
    <x v="116"/>
    <x v="393"/>
  </r>
  <r>
    <x v="18"/>
    <x v="116"/>
    <x v="394"/>
  </r>
  <r>
    <x v="18"/>
    <x v="117"/>
    <x v="395"/>
  </r>
  <r>
    <x v="18"/>
    <x v="117"/>
    <x v="396"/>
  </r>
  <r>
    <x v="18"/>
    <x v="118"/>
    <x v="397"/>
  </r>
  <r>
    <x v="18"/>
    <x v="118"/>
    <x v="398"/>
  </r>
  <r>
    <x v="18"/>
    <x v="118"/>
    <x v="399"/>
  </r>
  <r>
    <x v="18"/>
    <x v="118"/>
    <x v="400"/>
  </r>
  <r>
    <x v="18"/>
    <x v="118"/>
    <x v="401"/>
  </r>
  <r>
    <x v="18"/>
    <x v="118"/>
    <x v="402"/>
  </r>
  <r>
    <x v="18"/>
    <x v="118"/>
    <x v="403"/>
  </r>
  <r>
    <x v="18"/>
    <x v="118"/>
    <x v="404"/>
  </r>
  <r>
    <x v="18"/>
    <x v="118"/>
    <x v="405"/>
  </r>
  <r>
    <x v="18"/>
    <x v="118"/>
    <x v="406"/>
  </r>
  <r>
    <x v="18"/>
    <x v="118"/>
    <x v="407"/>
  </r>
  <r>
    <x v="18"/>
    <x v="118"/>
    <x v="408"/>
  </r>
  <r>
    <x v="18"/>
    <x v="118"/>
    <x v="409"/>
  </r>
  <r>
    <x v="18"/>
    <x v="118"/>
    <x v="410"/>
  </r>
  <r>
    <x v="18"/>
    <x v="118"/>
    <x v="411"/>
  </r>
  <r>
    <x v="18"/>
    <x v="118"/>
    <x v="412"/>
  </r>
  <r>
    <x v="18"/>
    <x v="118"/>
    <x v="413"/>
  </r>
  <r>
    <x v="18"/>
    <x v="119"/>
    <x v="414"/>
  </r>
  <r>
    <x v="18"/>
    <x v="119"/>
    <x v="415"/>
  </r>
  <r>
    <x v="18"/>
    <x v="119"/>
    <x v="416"/>
  </r>
  <r>
    <x v="18"/>
    <x v="119"/>
    <x v="417"/>
  </r>
  <r>
    <x v="18"/>
    <x v="119"/>
    <x v="418"/>
  </r>
  <r>
    <x v="18"/>
    <x v="119"/>
    <x v="419"/>
  </r>
  <r>
    <x v="18"/>
    <x v="119"/>
    <x v="420"/>
  </r>
  <r>
    <x v="18"/>
    <x v="119"/>
    <x v="421"/>
  </r>
  <r>
    <x v="18"/>
    <x v="119"/>
    <x v="422"/>
  </r>
  <r>
    <x v="18"/>
    <x v="119"/>
    <x v="423"/>
  </r>
  <r>
    <x v="18"/>
    <x v="119"/>
    <x v="424"/>
  </r>
  <r>
    <x v="18"/>
    <x v="119"/>
    <x v="425"/>
  </r>
  <r>
    <x v="18"/>
    <x v="119"/>
    <x v="426"/>
  </r>
  <r>
    <x v="18"/>
    <x v="119"/>
    <x v="427"/>
  </r>
  <r>
    <x v="18"/>
    <x v="119"/>
    <x v="428"/>
  </r>
  <r>
    <x v="18"/>
    <x v="119"/>
    <x v="429"/>
  </r>
  <r>
    <x v="18"/>
    <x v="119"/>
    <x v="430"/>
  </r>
  <r>
    <x v="18"/>
    <x v="120"/>
    <x v="172"/>
  </r>
  <r>
    <x v="18"/>
    <x v="120"/>
    <x v="431"/>
  </r>
  <r>
    <x v="18"/>
    <x v="120"/>
    <x v="432"/>
  </r>
  <r>
    <x v="18"/>
    <x v="121"/>
    <x v="433"/>
  </r>
  <r>
    <x v="18"/>
    <x v="121"/>
    <x v="434"/>
  </r>
  <r>
    <x v="19"/>
    <x v="122"/>
    <x v="435"/>
  </r>
  <r>
    <x v="19"/>
    <x v="122"/>
    <x v="436"/>
  </r>
  <r>
    <x v="19"/>
    <x v="122"/>
    <x v="437"/>
  </r>
  <r>
    <x v="19"/>
    <x v="122"/>
    <x v="438"/>
  </r>
  <r>
    <x v="20"/>
    <x v="123"/>
    <x v="439"/>
  </r>
  <r>
    <x v="20"/>
    <x v="123"/>
    <x v="440"/>
  </r>
  <r>
    <x v="20"/>
    <x v="124"/>
    <x v="172"/>
  </r>
  <r>
    <x v="20"/>
    <x v="124"/>
    <x v="441"/>
  </r>
  <r>
    <x v="20"/>
    <x v="124"/>
    <x v="442"/>
  </r>
  <r>
    <x v="20"/>
    <x v="125"/>
    <x v="443"/>
  </r>
  <r>
    <x v="20"/>
    <x v="125"/>
    <x v="444"/>
  </r>
  <r>
    <x v="20"/>
    <x v="126"/>
    <x v="445"/>
  </r>
  <r>
    <x v="20"/>
    <x v="126"/>
    <x v="446"/>
  </r>
  <r>
    <x v="20"/>
    <x v="126"/>
    <x v="447"/>
  </r>
  <r>
    <x v="20"/>
    <x v="127"/>
    <x v="448"/>
  </r>
  <r>
    <x v="20"/>
    <x v="127"/>
    <x v="449"/>
  </r>
  <r>
    <x v="20"/>
    <x v="128"/>
    <x v="450"/>
  </r>
  <r>
    <x v="20"/>
    <x v="128"/>
    <x v="451"/>
  </r>
  <r>
    <x v="20"/>
    <x v="129"/>
    <x v="452"/>
  </r>
  <r>
    <x v="20"/>
    <x v="129"/>
    <x v="453"/>
  </r>
  <r>
    <x v="20"/>
    <x v="130"/>
    <x v="454"/>
  </r>
  <r>
    <x v="20"/>
    <x v="130"/>
    <x v="455"/>
  </r>
  <r>
    <x v="21"/>
    <x v="4"/>
    <x v="0"/>
  </r>
  <r>
    <x v="21"/>
    <x v="131"/>
    <x v="456"/>
  </r>
  <r>
    <x v="21"/>
    <x v="131"/>
    <x v="457"/>
  </r>
  <r>
    <x v="21"/>
    <x v="131"/>
    <x v="458"/>
  </r>
  <r>
    <x v="21"/>
    <x v="131"/>
    <x v="459"/>
  </r>
  <r>
    <x v="21"/>
    <x v="131"/>
    <x v="460"/>
  </r>
  <r>
    <x v="21"/>
    <x v="131"/>
    <x v="461"/>
  </r>
  <r>
    <x v="21"/>
    <x v="131"/>
    <x v="462"/>
  </r>
  <r>
    <x v="21"/>
    <x v="131"/>
    <x v="463"/>
  </r>
  <r>
    <x v="21"/>
    <x v="131"/>
    <x v="464"/>
  </r>
  <r>
    <x v="21"/>
    <x v="131"/>
    <x v="465"/>
  </r>
  <r>
    <x v="21"/>
    <x v="131"/>
    <x v="466"/>
  </r>
  <r>
    <x v="21"/>
    <x v="132"/>
    <x v="172"/>
  </r>
  <r>
    <x v="21"/>
    <x v="132"/>
    <x v="467"/>
  </r>
  <r>
    <x v="21"/>
    <x v="132"/>
    <x v="468"/>
  </r>
  <r>
    <x v="21"/>
    <x v="132"/>
    <x v="469"/>
  </r>
  <r>
    <x v="21"/>
    <x v="133"/>
    <x v="470"/>
  </r>
  <r>
    <x v="21"/>
    <x v="133"/>
    <x v="471"/>
  </r>
  <r>
    <x v="21"/>
    <x v="133"/>
    <x v="472"/>
  </r>
  <r>
    <x v="21"/>
    <x v="133"/>
    <x v="473"/>
  </r>
  <r>
    <x v="21"/>
    <x v="133"/>
    <x v="474"/>
  </r>
  <r>
    <x v="21"/>
    <x v="133"/>
    <x v="475"/>
  </r>
  <r>
    <x v="21"/>
    <x v="133"/>
    <x v="476"/>
  </r>
  <r>
    <x v="21"/>
    <x v="134"/>
    <x v="477"/>
  </r>
  <r>
    <x v="21"/>
    <x v="134"/>
    <x v="478"/>
  </r>
  <r>
    <x v="21"/>
    <x v="135"/>
    <x v="479"/>
  </r>
  <r>
    <x v="21"/>
    <x v="135"/>
    <x v="480"/>
  </r>
  <r>
    <x v="21"/>
    <x v="136"/>
    <x v="481"/>
  </r>
  <r>
    <x v="21"/>
    <x v="136"/>
    <x v="482"/>
  </r>
  <r>
    <x v="21"/>
    <x v="137"/>
    <x v="483"/>
  </r>
  <r>
    <x v="21"/>
    <x v="137"/>
    <x v="484"/>
  </r>
  <r>
    <x v="21"/>
    <x v="138"/>
    <x v="485"/>
  </r>
  <r>
    <x v="21"/>
    <x v="138"/>
    <x v="486"/>
  </r>
  <r>
    <x v="21"/>
    <x v="139"/>
    <x v="487"/>
  </r>
  <r>
    <x v="21"/>
    <x v="139"/>
    <x v="488"/>
  </r>
  <r>
    <x v="21"/>
    <x v="139"/>
    <x v="489"/>
  </r>
  <r>
    <x v="21"/>
    <x v="140"/>
    <x v="490"/>
  </r>
  <r>
    <x v="21"/>
    <x v="140"/>
    <x v="491"/>
  </r>
  <r>
    <x v="21"/>
    <x v="141"/>
    <x v="492"/>
  </r>
  <r>
    <x v="21"/>
    <x v="141"/>
    <x v="493"/>
  </r>
  <r>
    <x v="21"/>
    <x v="142"/>
    <x v="494"/>
  </r>
  <r>
    <x v="21"/>
    <x v="142"/>
    <x v="495"/>
  </r>
  <r>
    <x v="21"/>
    <x v="143"/>
    <x v="496"/>
  </r>
  <r>
    <x v="21"/>
    <x v="143"/>
    <x v="497"/>
  </r>
  <r>
    <x v="21"/>
    <x v="144"/>
    <x v="498"/>
  </r>
  <r>
    <x v="21"/>
    <x v="144"/>
    <x v="499"/>
  </r>
  <r>
    <x v="21"/>
    <x v="144"/>
    <x v="500"/>
  </r>
  <r>
    <x v="21"/>
    <x v="144"/>
    <x v="501"/>
  </r>
  <r>
    <x v="21"/>
    <x v="144"/>
    <x v="502"/>
  </r>
  <r>
    <x v="21"/>
    <x v="144"/>
    <x v="503"/>
  </r>
  <r>
    <x v="21"/>
    <x v="144"/>
    <x v="504"/>
  </r>
  <r>
    <x v="21"/>
    <x v="144"/>
    <x v="505"/>
  </r>
  <r>
    <x v="21"/>
    <x v="144"/>
    <x v="506"/>
  </r>
  <r>
    <x v="21"/>
    <x v="144"/>
    <x v="507"/>
  </r>
  <r>
    <x v="21"/>
    <x v="144"/>
    <x v="508"/>
  </r>
  <r>
    <x v="21"/>
    <x v="144"/>
    <x v="509"/>
  </r>
  <r>
    <x v="21"/>
    <x v="144"/>
    <x v="510"/>
  </r>
  <r>
    <x v="21"/>
    <x v="144"/>
    <x v="511"/>
  </r>
  <r>
    <x v="21"/>
    <x v="144"/>
    <x v="512"/>
  </r>
  <r>
    <x v="21"/>
    <x v="145"/>
    <x v="513"/>
  </r>
  <r>
    <x v="21"/>
    <x v="145"/>
    <x v="514"/>
  </r>
  <r>
    <x v="21"/>
    <x v="146"/>
    <x v="515"/>
  </r>
  <r>
    <x v="21"/>
    <x v="146"/>
    <x v="516"/>
  </r>
  <r>
    <x v="21"/>
    <x v="147"/>
    <x v="517"/>
  </r>
  <r>
    <x v="21"/>
    <x v="147"/>
    <x v="518"/>
  </r>
  <r>
    <x v="21"/>
    <x v="148"/>
    <x v="519"/>
  </r>
  <r>
    <x v="21"/>
    <x v="148"/>
    <x v="520"/>
  </r>
  <r>
    <x v="21"/>
    <x v="149"/>
    <x v="521"/>
  </r>
  <r>
    <x v="21"/>
    <x v="149"/>
    <x v="522"/>
  </r>
  <r>
    <x v="21"/>
    <x v="149"/>
    <x v="523"/>
  </r>
  <r>
    <x v="21"/>
    <x v="149"/>
    <x v="524"/>
  </r>
  <r>
    <x v="21"/>
    <x v="149"/>
    <x v="525"/>
  </r>
  <r>
    <x v="21"/>
    <x v="149"/>
    <x v="526"/>
  </r>
  <r>
    <x v="21"/>
    <x v="149"/>
    <x v="527"/>
  </r>
  <r>
    <x v="21"/>
    <x v="149"/>
    <x v="528"/>
  </r>
  <r>
    <x v="21"/>
    <x v="149"/>
    <x v="529"/>
  </r>
  <r>
    <x v="21"/>
    <x v="150"/>
    <x v="530"/>
  </r>
  <r>
    <x v="21"/>
    <x v="150"/>
    <x v="531"/>
  </r>
  <r>
    <x v="21"/>
    <x v="151"/>
    <x v="532"/>
  </r>
  <r>
    <x v="21"/>
    <x v="151"/>
    <x v="533"/>
  </r>
  <r>
    <x v="21"/>
    <x v="152"/>
    <x v="534"/>
  </r>
  <r>
    <x v="21"/>
    <x v="152"/>
    <x v="535"/>
  </r>
  <r>
    <x v="21"/>
    <x v="153"/>
    <x v="536"/>
  </r>
  <r>
    <x v="21"/>
    <x v="153"/>
    <x v="537"/>
  </r>
  <r>
    <x v="21"/>
    <x v="154"/>
    <x v="538"/>
  </r>
  <r>
    <x v="21"/>
    <x v="154"/>
    <x v="539"/>
  </r>
  <r>
    <x v="22"/>
    <x v="4"/>
    <x v="0"/>
  </r>
  <r>
    <x v="22"/>
    <x v="155"/>
    <x v="540"/>
  </r>
  <r>
    <x v="22"/>
    <x v="155"/>
    <x v="541"/>
  </r>
  <r>
    <x v="22"/>
    <x v="156"/>
    <x v="542"/>
  </r>
  <r>
    <x v="22"/>
    <x v="156"/>
    <x v="543"/>
  </r>
  <r>
    <x v="22"/>
    <x v="157"/>
    <x v="544"/>
  </r>
  <r>
    <x v="22"/>
    <x v="157"/>
    <x v="545"/>
  </r>
  <r>
    <x v="22"/>
    <x v="158"/>
    <x v="546"/>
  </r>
  <r>
    <x v="22"/>
    <x v="158"/>
    <x v="547"/>
  </r>
  <r>
    <x v="22"/>
    <x v="159"/>
    <x v="548"/>
  </r>
  <r>
    <x v="22"/>
    <x v="159"/>
    <x v="549"/>
  </r>
  <r>
    <x v="22"/>
    <x v="159"/>
    <x v="550"/>
  </r>
  <r>
    <x v="22"/>
    <x v="159"/>
    <x v="551"/>
  </r>
  <r>
    <x v="22"/>
    <x v="160"/>
    <x v="552"/>
  </r>
  <r>
    <x v="22"/>
    <x v="160"/>
    <x v="553"/>
  </r>
  <r>
    <x v="22"/>
    <x v="161"/>
    <x v="554"/>
  </r>
  <r>
    <x v="22"/>
    <x v="161"/>
    <x v="555"/>
  </r>
  <r>
    <x v="22"/>
    <x v="162"/>
    <x v="556"/>
  </r>
  <r>
    <x v="22"/>
    <x v="162"/>
    <x v="557"/>
  </r>
  <r>
    <x v="22"/>
    <x v="163"/>
    <x v="558"/>
  </r>
  <r>
    <x v="22"/>
    <x v="163"/>
    <x v="559"/>
  </r>
  <r>
    <x v="22"/>
    <x v="164"/>
    <x v="560"/>
  </r>
  <r>
    <x v="22"/>
    <x v="164"/>
    <x v="561"/>
  </r>
  <r>
    <x v="22"/>
    <x v="165"/>
    <x v="562"/>
  </r>
  <r>
    <x v="22"/>
    <x v="165"/>
    <x v="563"/>
  </r>
  <r>
    <x v="22"/>
    <x v="165"/>
    <x v="564"/>
  </r>
  <r>
    <x v="22"/>
    <x v="165"/>
    <x v="565"/>
  </r>
  <r>
    <x v="22"/>
    <x v="166"/>
    <x v="566"/>
  </r>
  <r>
    <x v="22"/>
    <x v="166"/>
    <x v="567"/>
  </r>
  <r>
    <x v="22"/>
    <x v="166"/>
    <x v="568"/>
  </r>
  <r>
    <x v="22"/>
    <x v="167"/>
    <x v="569"/>
  </r>
  <r>
    <x v="22"/>
    <x v="167"/>
    <x v="570"/>
  </r>
  <r>
    <x v="22"/>
    <x v="168"/>
    <x v="571"/>
  </r>
  <r>
    <x v="22"/>
    <x v="168"/>
    <x v="572"/>
  </r>
  <r>
    <x v="22"/>
    <x v="169"/>
    <x v="573"/>
  </r>
  <r>
    <x v="22"/>
    <x v="169"/>
    <x v="574"/>
  </r>
  <r>
    <x v="22"/>
    <x v="170"/>
    <x v="575"/>
  </r>
  <r>
    <x v="22"/>
    <x v="170"/>
    <x v="576"/>
  </r>
  <r>
    <x v="22"/>
    <x v="171"/>
    <x v="577"/>
  </r>
  <r>
    <x v="22"/>
    <x v="171"/>
    <x v="578"/>
  </r>
  <r>
    <x v="22"/>
    <x v="172"/>
    <x v="579"/>
  </r>
  <r>
    <x v="22"/>
    <x v="172"/>
    <x v="580"/>
  </r>
  <r>
    <x v="22"/>
    <x v="173"/>
    <x v="581"/>
  </r>
  <r>
    <x v="22"/>
    <x v="173"/>
    <x v="582"/>
  </r>
  <r>
    <x v="22"/>
    <x v="174"/>
    <x v="583"/>
  </r>
  <r>
    <x v="22"/>
    <x v="174"/>
    <x v="584"/>
  </r>
  <r>
    <x v="22"/>
    <x v="175"/>
    <x v="585"/>
  </r>
  <r>
    <x v="22"/>
    <x v="175"/>
    <x v="586"/>
  </r>
  <r>
    <x v="23"/>
    <x v="4"/>
    <x v="0"/>
  </r>
  <r>
    <x v="23"/>
    <x v="176"/>
    <x v="587"/>
  </r>
  <r>
    <x v="23"/>
    <x v="176"/>
    <x v="588"/>
  </r>
  <r>
    <x v="23"/>
    <x v="177"/>
    <x v="589"/>
  </r>
  <r>
    <x v="23"/>
    <x v="177"/>
    <x v="590"/>
  </r>
  <r>
    <x v="23"/>
    <x v="178"/>
    <x v="591"/>
  </r>
  <r>
    <x v="23"/>
    <x v="178"/>
    <x v="592"/>
  </r>
  <r>
    <x v="23"/>
    <x v="179"/>
    <x v="593"/>
  </r>
  <r>
    <x v="23"/>
    <x v="179"/>
    <x v="594"/>
  </r>
  <r>
    <x v="23"/>
    <x v="180"/>
    <x v="595"/>
  </r>
  <r>
    <x v="23"/>
    <x v="180"/>
    <x v="596"/>
  </r>
  <r>
    <x v="23"/>
    <x v="181"/>
    <x v="597"/>
  </r>
  <r>
    <x v="23"/>
    <x v="181"/>
    <x v="598"/>
  </r>
  <r>
    <x v="23"/>
    <x v="182"/>
    <x v="599"/>
  </r>
  <r>
    <x v="23"/>
    <x v="182"/>
    <x v="600"/>
  </r>
  <r>
    <x v="23"/>
    <x v="183"/>
    <x v="601"/>
  </r>
  <r>
    <x v="23"/>
    <x v="183"/>
    <x v="602"/>
  </r>
  <r>
    <x v="23"/>
    <x v="184"/>
    <x v="603"/>
  </r>
  <r>
    <x v="23"/>
    <x v="184"/>
    <x v="604"/>
  </r>
  <r>
    <x v="24"/>
    <x v="185"/>
    <x v="605"/>
  </r>
  <r>
    <x v="24"/>
    <x v="185"/>
    <x v="606"/>
  </r>
  <r>
    <x v="24"/>
    <x v="185"/>
    <x v="607"/>
  </r>
  <r>
    <x v="24"/>
    <x v="185"/>
    <x v="608"/>
  </r>
  <r>
    <x v="24"/>
    <x v="185"/>
    <x v="609"/>
  </r>
  <r>
    <x v="24"/>
    <x v="185"/>
    <x v="610"/>
  </r>
  <r>
    <x v="24"/>
    <x v="185"/>
    <x v="611"/>
  </r>
  <r>
    <x v="24"/>
    <x v="185"/>
    <x v="612"/>
  </r>
  <r>
    <x v="24"/>
    <x v="185"/>
    <x v="613"/>
  </r>
  <r>
    <x v="24"/>
    <x v="185"/>
    <x v="614"/>
  </r>
  <r>
    <x v="24"/>
    <x v="185"/>
    <x v="615"/>
  </r>
  <r>
    <x v="24"/>
    <x v="185"/>
    <x v="616"/>
  </r>
  <r>
    <x v="24"/>
    <x v="185"/>
    <x v="617"/>
  </r>
  <r>
    <x v="24"/>
    <x v="185"/>
    <x v="618"/>
  </r>
  <r>
    <x v="24"/>
    <x v="185"/>
    <x v="619"/>
  </r>
  <r>
    <x v="24"/>
    <x v="185"/>
    <x v="620"/>
  </r>
  <r>
    <x v="24"/>
    <x v="185"/>
    <x v="621"/>
  </r>
  <r>
    <x v="24"/>
    <x v="186"/>
    <x v="622"/>
  </r>
  <r>
    <x v="24"/>
    <x v="186"/>
    <x v="623"/>
  </r>
  <r>
    <x v="24"/>
    <x v="187"/>
    <x v="624"/>
  </r>
  <r>
    <x v="24"/>
    <x v="187"/>
    <x v="625"/>
  </r>
  <r>
    <x v="25"/>
    <x v="4"/>
    <x v="0"/>
  </r>
  <r>
    <x v="25"/>
    <x v="188"/>
    <x v="626"/>
  </r>
  <r>
    <x v="25"/>
    <x v="188"/>
    <x v="627"/>
  </r>
  <r>
    <x v="25"/>
    <x v="189"/>
    <x v="628"/>
  </r>
  <r>
    <x v="25"/>
    <x v="189"/>
    <x v="629"/>
  </r>
  <r>
    <x v="25"/>
    <x v="189"/>
    <x v="630"/>
  </r>
  <r>
    <x v="25"/>
    <x v="190"/>
    <x v="631"/>
  </r>
  <r>
    <x v="25"/>
    <x v="190"/>
    <x v="632"/>
  </r>
  <r>
    <x v="25"/>
    <x v="190"/>
    <x v="633"/>
  </r>
  <r>
    <x v="25"/>
    <x v="191"/>
    <x v="634"/>
  </r>
  <r>
    <x v="25"/>
    <x v="191"/>
    <x v="635"/>
  </r>
  <r>
    <x v="25"/>
    <x v="191"/>
    <x v="636"/>
  </r>
  <r>
    <x v="25"/>
    <x v="192"/>
    <x v="637"/>
  </r>
  <r>
    <x v="25"/>
    <x v="192"/>
    <x v="638"/>
  </r>
  <r>
    <x v="25"/>
    <x v="192"/>
    <x v="639"/>
  </r>
  <r>
    <x v="25"/>
    <x v="193"/>
    <x v="640"/>
  </r>
  <r>
    <x v="25"/>
    <x v="193"/>
    <x v="641"/>
  </r>
  <r>
    <x v="25"/>
    <x v="193"/>
    <x v="642"/>
  </r>
  <r>
    <x v="25"/>
    <x v="194"/>
    <x v="643"/>
  </r>
  <r>
    <x v="25"/>
    <x v="194"/>
    <x v="644"/>
  </r>
  <r>
    <x v="25"/>
    <x v="194"/>
    <x v="645"/>
  </r>
  <r>
    <x v="25"/>
    <x v="194"/>
    <x v="646"/>
  </r>
  <r>
    <x v="25"/>
    <x v="194"/>
    <x v="647"/>
  </r>
  <r>
    <x v="25"/>
    <x v="194"/>
    <x v="648"/>
  </r>
  <r>
    <x v="25"/>
    <x v="194"/>
    <x v="649"/>
  </r>
  <r>
    <x v="25"/>
    <x v="194"/>
    <x v="650"/>
  </r>
  <r>
    <x v="25"/>
    <x v="194"/>
    <x v="651"/>
  </r>
  <r>
    <x v="25"/>
    <x v="194"/>
    <x v="652"/>
  </r>
  <r>
    <x v="25"/>
    <x v="194"/>
    <x v="653"/>
  </r>
  <r>
    <x v="25"/>
    <x v="194"/>
    <x v="654"/>
  </r>
  <r>
    <x v="25"/>
    <x v="194"/>
    <x v="655"/>
  </r>
  <r>
    <x v="25"/>
    <x v="195"/>
    <x v="656"/>
  </r>
  <r>
    <x v="25"/>
    <x v="195"/>
    <x v="657"/>
  </r>
  <r>
    <x v="25"/>
    <x v="196"/>
    <x v="658"/>
  </r>
  <r>
    <x v="25"/>
    <x v="196"/>
    <x v="659"/>
  </r>
  <r>
    <x v="25"/>
    <x v="196"/>
    <x v="660"/>
  </r>
  <r>
    <x v="25"/>
    <x v="197"/>
    <x v="661"/>
  </r>
  <r>
    <x v="25"/>
    <x v="197"/>
    <x v="662"/>
  </r>
  <r>
    <x v="25"/>
    <x v="197"/>
    <x v="663"/>
  </r>
  <r>
    <x v="25"/>
    <x v="197"/>
    <x v="664"/>
  </r>
  <r>
    <x v="25"/>
    <x v="197"/>
    <x v="665"/>
  </r>
  <r>
    <x v="25"/>
    <x v="197"/>
    <x v="666"/>
  </r>
  <r>
    <x v="25"/>
    <x v="197"/>
    <x v="667"/>
  </r>
  <r>
    <x v="25"/>
    <x v="197"/>
    <x v="668"/>
  </r>
  <r>
    <x v="25"/>
    <x v="197"/>
    <x v="669"/>
  </r>
  <r>
    <x v="25"/>
    <x v="197"/>
    <x v="670"/>
  </r>
  <r>
    <x v="25"/>
    <x v="197"/>
    <x v="671"/>
  </r>
  <r>
    <x v="25"/>
    <x v="197"/>
    <x v="672"/>
  </r>
  <r>
    <x v="25"/>
    <x v="197"/>
    <x v="673"/>
  </r>
  <r>
    <x v="25"/>
    <x v="198"/>
    <x v="674"/>
  </r>
  <r>
    <x v="25"/>
    <x v="198"/>
    <x v="675"/>
  </r>
  <r>
    <x v="25"/>
    <x v="198"/>
    <x v="676"/>
  </r>
  <r>
    <x v="25"/>
    <x v="198"/>
    <x v="677"/>
  </r>
  <r>
    <x v="25"/>
    <x v="198"/>
    <x v="678"/>
  </r>
  <r>
    <x v="25"/>
    <x v="198"/>
    <x v="679"/>
  </r>
  <r>
    <x v="25"/>
    <x v="198"/>
    <x v="680"/>
  </r>
  <r>
    <x v="25"/>
    <x v="198"/>
    <x v="681"/>
  </r>
  <r>
    <x v="25"/>
    <x v="198"/>
    <x v="682"/>
  </r>
  <r>
    <x v="25"/>
    <x v="198"/>
    <x v="683"/>
  </r>
  <r>
    <x v="25"/>
    <x v="198"/>
    <x v="684"/>
  </r>
  <r>
    <x v="25"/>
    <x v="198"/>
    <x v="685"/>
  </r>
  <r>
    <x v="25"/>
    <x v="198"/>
    <x v="686"/>
  </r>
  <r>
    <x v="25"/>
    <x v="199"/>
    <x v="687"/>
  </r>
  <r>
    <x v="25"/>
    <x v="199"/>
    <x v="688"/>
  </r>
  <r>
    <x v="25"/>
    <x v="199"/>
    <x v="689"/>
  </r>
  <r>
    <x v="25"/>
    <x v="199"/>
    <x v="690"/>
  </r>
  <r>
    <x v="25"/>
    <x v="199"/>
    <x v="691"/>
  </r>
  <r>
    <x v="25"/>
    <x v="199"/>
    <x v="692"/>
  </r>
  <r>
    <x v="25"/>
    <x v="199"/>
    <x v="693"/>
  </r>
  <r>
    <x v="25"/>
    <x v="199"/>
    <x v="694"/>
  </r>
  <r>
    <x v="25"/>
    <x v="199"/>
    <x v="695"/>
  </r>
  <r>
    <x v="25"/>
    <x v="199"/>
    <x v="696"/>
  </r>
  <r>
    <x v="25"/>
    <x v="199"/>
    <x v="697"/>
  </r>
  <r>
    <x v="25"/>
    <x v="199"/>
    <x v="698"/>
  </r>
  <r>
    <x v="25"/>
    <x v="199"/>
    <x v="699"/>
  </r>
  <r>
    <x v="25"/>
    <x v="199"/>
    <x v="700"/>
  </r>
  <r>
    <x v="25"/>
    <x v="199"/>
    <x v="701"/>
  </r>
  <r>
    <x v="25"/>
    <x v="199"/>
    <x v="702"/>
  </r>
  <r>
    <x v="25"/>
    <x v="199"/>
    <x v="703"/>
  </r>
  <r>
    <x v="25"/>
    <x v="199"/>
    <x v="704"/>
  </r>
  <r>
    <x v="25"/>
    <x v="199"/>
    <x v="705"/>
  </r>
  <r>
    <x v="25"/>
    <x v="199"/>
    <x v="706"/>
  </r>
  <r>
    <x v="25"/>
    <x v="199"/>
    <x v="707"/>
  </r>
  <r>
    <x v="25"/>
    <x v="199"/>
    <x v="708"/>
  </r>
  <r>
    <x v="25"/>
    <x v="199"/>
    <x v="709"/>
  </r>
  <r>
    <x v="25"/>
    <x v="199"/>
    <x v="710"/>
  </r>
  <r>
    <x v="25"/>
    <x v="199"/>
    <x v="711"/>
  </r>
  <r>
    <x v="25"/>
    <x v="199"/>
    <x v="712"/>
  </r>
  <r>
    <x v="25"/>
    <x v="199"/>
    <x v="713"/>
  </r>
  <r>
    <x v="25"/>
    <x v="199"/>
    <x v="714"/>
  </r>
  <r>
    <x v="25"/>
    <x v="199"/>
    <x v="715"/>
  </r>
  <r>
    <x v="25"/>
    <x v="199"/>
    <x v="716"/>
  </r>
  <r>
    <x v="25"/>
    <x v="199"/>
    <x v="717"/>
  </r>
  <r>
    <x v="25"/>
    <x v="199"/>
    <x v="718"/>
  </r>
  <r>
    <x v="25"/>
    <x v="199"/>
    <x v="719"/>
  </r>
  <r>
    <x v="25"/>
    <x v="199"/>
    <x v="720"/>
  </r>
  <r>
    <x v="25"/>
    <x v="199"/>
    <x v="721"/>
  </r>
  <r>
    <x v="25"/>
    <x v="199"/>
    <x v="722"/>
  </r>
  <r>
    <x v="25"/>
    <x v="199"/>
    <x v="723"/>
  </r>
  <r>
    <x v="25"/>
    <x v="199"/>
    <x v="724"/>
  </r>
  <r>
    <x v="25"/>
    <x v="199"/>
    <x v="725"/>
  </r>
  <r>
    <x v="25"/>
    <x v="199"/>
    <x v="726"/>
  </r>
  <r>
    <x v="25"/>
    <x v="199"/>
    <x v="727"/>
  </r>
  <r>
    <x v="25"/>
    <x v="199"/>
    <x v="728"/>
  </r>
  <r>
    <x v="25"/>
    <x v="199"/>
    <x v="729"/>
  </r>
  <r>
    <x v="25"/>
    <x v="199"/>
    <x v="730"/>
  </r>
  <r>
    <x v="25"/>
    <x v="199"/>
    <x v="731"/>
  </r>
  <r>
    <x v="25"/>
    <x v="199"/>
    <x v="732"/>
  </r>
  <r>
    <x v="25"/>
    <x v="199"/>
    <x v="733"/>
  </r>
  <r>
    <x v="25"/>
    <x v="199"/>
    <x v="734"/>
  </r>
  <r>
    <x v="25"/>
    <x v="199"/>
    <x v="735"/>
  </r>
  <r>
    <x v="25"/>
    <x v="199"/>
    <x v="736"/>
  </r>
  <r>
    <x v="25"/>
    <x v="199"/>
    <x v="737"/>
  </r>
  <r>
    <x v="25"/>
    <x v="199"/>
    <x v="738"/>
  </r>
  <r>
    <x v="25"/>
    <x v="199"/>
    <x v="739"/>
  </r>
  <r>
    <x v="25"/>
    <x v="199"/>
    <x v="740"/>
  </r>
  <r>
    <x v="25"/>
    <x v="199"/>
    <x v="741"/>
  </r>
  <r>
    <x v="25"/>
    <x v="199"/>
    <x v="742"/>
  </r>
  <r>
    <x v="25"/>
    <x v="199"/>
    <x v="743"/>
  </r>
  <r>
    <x v="25"/>
    <x v="199"/>
    <x v="744"/>
  </r>
  <r>
    <x v="25"/>
    <x v="199"/>
    <x v="745"/>
  </r>
  <r>
    <x v="25"/>
    <x v="199"/>
    <x v="746"/>
  </r>
  <r>
    <x v="25"/>
    <x v="199"/>
    <x v="747"/>
  </r>
  <r>
    <x v="25"/>
    <x v="199"/>
    <x v="748"/>
  </r>
  <r>
    <x v="25"/>
    <x v="199"/>
    <x v="749"/>
  </r>
  <r>
    <x v="25"/>
    <x v="199"/>
    <x v="750"/>
  </r>
  <r>
    <x v="25"/>
    <x v="199"/>
    <x v="751"/>
  </r>
  <r>
    <x v="25"/>
    <x v="199"/>
    <x v="752"/>
  </r>
  <r>
    <x v="25"/>
    <x v="199"/>
    <x v="753"/>
  </r>
  <r>
    <x v="25"/>
    <x v="199"/>
    <x v="754"/>
  </r>
  <r>
    <x v="25"/>
    <x v="199"/>
    <x v="755"/>
  </r>
  <r>
    <x v="25"/>
    <x v="199"/>
    <x v="756"/>
  </r>
  <r>
    <x v="25"/>
    <x v="199"/>
    <x v="757"/>
  </r>
  <r>
    <x v="25"/>
    <x v="199"/>
    <x v="758"/>
  </r>
  <r>
    <x v="25"/>
    <x v="199"/>
    <x v="759"/>
  </r>
  <r>
    <x v="25"/>
    <x v="200"/>
    <x v="760"/>
  </r>
  <r>
    <x v="25"/>
    <x v="200"/>
    <x v="761"/>
  </r>
  <r>
    <x v="25"/>
    <x v="201"/>
    <x v="762"/>
  </r>
  <r>
    <x v="25"/>
    <x v="201"/>
    <x v="763"/>
  </r>
  <r>
    <x v="25"/>
    <x v="202"/>
    <x v="764"/>
  </r>
  <r>
    <x v="25"/>
    <x v="202"/>
    <x v="765"/>
  </r>
  <r>
    <x v="25"/>
    <x v="203"/>
    <x v="766"/>
  </r>
  <r>
    <x v="25"/>
    <x v="203"/>
    <x v="767"/>
  </r>
  <r>
    <x v="25"/>
    <x v="203"/>
    <x v="768"/>
  </r>
  <r>
    <x v="25"/>
    <x v="204"/>
    <x v="769"/>
  </r>
  <r>
    <x v="25"/>
    <x v="204"/>
    <x v="770"/>
  </r>
  <r>
    <x v="25"/>
    <x v="205"/>
    <x v="771"/>
  </r>
  <r>
    <x v="25"/>
    <x v="205"/>
    <x v="772"/>
  </r>
  <r>
    <x v="25"/>
    <x v="206"/>
    <x v="773"/>
  </r>
  <r>
    <x v="25"/>
    <x v="206"/>
    <x v="774"/>
  </r>
  <r>
    <x v="25"/>
    <x v="207"/>
    <x v="775"/>
  </r>
  <r>
    <x v="25"/>
    <x v="207"/>
    <x v="776"/>
  </r>
  <r>
    <x v="25"/>
    <x v="207"/>
    <x v="777"/>
  </r>
  <r>
    <x v="25"/>
    <x v="207"/>
    <x v="778"/>
  </r>
  <r>
    <x v="25"/>
    <x v="207"/>
    <x v="779"/>
  </r>
  <r>
    <x v="25"/>
    <x v="207"/>
    <x v="780"/>
  </r>
  <r>
    <x v="25"/>
    <x v="207"/>
    <x v="781"/>
  </r>
  <r>
    <x v="25"/>
    <x v="208"/>
    <x v="782"/>
  </r>
  <r>
    <x v="25"/>
    <x v="208"/>
    <x v="783"/>
  </r>
  <r>
    <x v="25"/>
    <x v="209"/>
    <x v="784"/>
  </r>
  <r>
    <x v="25"/>
    <x v="209"/>
    <x v="785"/>
  </r>
  <r>
    <x v="25"/>
    <x v="210"/>
    <x v="786"/>
  </r>
  <r>
    <x v="25"/>
    <x v="210"/>
    <x v="787"/>
  </r>
  <r>
    <x v="25"/>
    <x v="211"/>
    <x v="788"/>
  </r>
  <r>
    <x v="25"/>
    <x v="211"/>
    <x v="789"/>
  </r>
  <r>
    <x v="25"/>
    <x v="211"/>
    <x v="790"/>
  </r>
  <r>
    <x v="25"/>
    <x v="212"/>
    <x v="791"/>
  </r>
  <r>
    <x v="25"/>
    <x v="212"/>
    <x v="792"/>
  </r>
  <r>
    <x v="25"/>
    <x v="213"/>
    <x v="793"/>
  </r>
  <r>
    <x v="25"/>
    <x v="213"/>
    <x v="794"/>
  </r>
  <r>
    <x v="25"/>
    <x v="214"/>
    <x v="795"/>
  </r>
  <r>
    <x v="25"/>
    <x v="214"/>
    <x v="796"/>
  </r>
  <r>
    <x v="25"/>
    <x v="215"/>
    <x v="797"/>
  </r>
  <r>
    <x v="25"/>
    <x v="215"/>
    <x v="798"/>
  </r>
  <r>
    <x v="25"/>
    <x v="215"/>
    <x v="799"/>
  </r>
  <r>
    <x v="25"/>
    <x v="215"/>
    <x v="800"/>
  </r>
  <r>
    <x v="25"/>
    <x v="215"/>
    <x v="801"/>
  </r>
  <r>
    <x v="25"/>
    <x v="215"/>
    <x v="802"/>
  </r>
  <r>
    <x v="25"/>
    <x v="215"/>
    <x v="803"/>
  </r>
  <r>
    <x v="25"/>
    <x v="215"/>
    <x v="804"/>
  </r>
  <r>
    <x v="25"/>
    <x v="215"/>
    <x v="805"/>
  </r>
  <r>
    <x v="25"/>
    <x v="215"/>
    <x v="806"/>
  </r>
  <r>
    <x v="25"/>
    <x v="215"/>
    <x v="807"/>
  </r>
  <r>
    <x v="25"/>
    <x v="215"/>
    <x v="808"/>
  </r>
  <r>
    <x v="25"/>
    <x v="215"/>
    <x v="809"/>
  </r>
  <r>
    <x v="25"/>
    <x v="216"/>
    <x v="810"/>
  </r>
  <r>
    <x v="25"/>
    <x v="216"/>
    <x v="811"/>
  </r>
  <r>
    <x v="25"/>
    <x v="216"/>
    <x v="812"/>
  </r>
  <r>
    <x v="25"/>
    <x v="216"/>
    <x v="813"/>
  </r>
  <r>
    <x v="25"/>
    <x v="216"/>
    <x v="814"/>
  </r>
  <r>
    <x v="25"/>
    <x v="216"/>
    <x v="815"/>
  </r>
  <r>
    <x v="25"/>
    <x v="216"/>
    <x v="816"/>
  </r>
  <r>
    <x v="25"/>
    <x v="216"/>
    <x v="817"/>
  </r>
  <r>
    <x v="25"/>
    <x v="216"/>
    <x v="818"/>
  </r>
  <r>
    <x v="25"/>
    <x v="216"/>
    <x v="819"/>
  </r>
  <r>
    <x v="25"/>
    <x v="216"/>
    <x v="820"/>
  </r>
  <r>
    <x v="25"/>
    <x v="216"/>
    <x v="821"/>
  </r>
  <r>
    <x v="25"/>
    <x v="216"/>
    <x v="822"/>
  </r>
  <r>
    <x v="25"/>
    <x v="216"/>
    <x v="823"/>
  </r>
  <r>
    <x v="25"/>
    <x v="216"/>
    <x v="824"/>
  </r>
  <r>
    <x v="25"/>
    <x v="216"/>
    <x v="825"/>
  </r>
  <r>
    <x v="25"/>
    <x v="216"/>
    <x v="826"/>
  </r>
  <r>
    <x v="25"/>
    <x v="216"/>
    <x v="827"/>
  </r>
  <r>
    <x v="25"/>
    <x v="216"/>
    <x v="828"/>
  </r>
  <r>
    <x v="25"/>
    <x v="216"/>
    <x v="829"/>
  </r>
  <r>
    <x v="25"/>
    <x v="216"/>
    <x v="830"/>
  </r>
  <r>
    <x v="25"/>
    <x v="216"/>
    <x v="831"/>
  </r>
  <r>
    <x v="25"/>
    <x v="216"/>
    <x v="832"/>
  </r>
  <r>
    <x v="25"/>
    <x v="216"/>
    <x v="833"/>
  </r>
  <r>
    <x v="25"/>
    <x v="216"/>
    <x v="834"/>
  </r>
  <r>
    <x v="25"/>
    <x v="216"/>
    <x v="835"/>
  </r>
  <r>
    <x v="25"/>
    <x v="216"/>
    <x v="836"/>
  </r>
  <r>
    <x v="25"/>
    <x v="216"/>
    <x v="837"/>
  </r>
  <r>
    <x v="25"/>
    <x v="216"/>
    <x v="838"/>
  </r>
  <r>
    <x v="25"/>
    <x v="216"/>
    <x v="839"/>
  </r>
  <r>
    <x v="25"/>
    <x v="216"/>
    <x v="840"/>
  </r>
  <r>
    <x v="25"/>
    <x v="216"/>
    <x v="841"/>
  </r>
  <r>
    <x v="25"/>
    <x v="216"/>
    <x v="842"/>
  </r>
  <r>
    <x v="25"/>
    <x v="216"/>
    <x v="843"/>
  </r>
  <r>
    <x v="25"/>
    <x v="216"/>
    <x v="844"/>
  </r>
  <r>
    <x v="25"/>
    <x v="216"/>
    <x v="845"/>
  </r>
  <r>
    <x v="25"/>
    <x v="216"/>
    <x v="846"/>
  </r>
  <r>
    <x v="25"/>
    <x v="216"/>
    <x v="847"/>
  </r>
  <r>
    <x v="25"/>
    <x v="216"/>
    <x v="848"/>
  </r>
  <r>
    <x v="25"/>
    <x v="216"/>
    <x v="849"/>
  </r>
  <r>
    <x v="25"/>
    <x v="216"/>
    <x v="850"/>
  </r>
  <r>
    <x v="25"/>
    <x v="216"/>
    <x v="851"/>
  </r>
  <r>
    <x v="25"/>
    <x v="216"/>
    <x v="852"/>
  </r>
  <r>
    <x v="25"/>
    <x v="216"/>
    <x v="853"/>
  </r>
  <r>
    <x v="25"/>
    <x v="216"/>
    <x v="854"/>
  </r>
  <r>
    <x v="25"/>
    <x v="216"/>
    <x v="855"/>
  </r>
  <r>
    <x v="25"/>
    <x v="216"/>
    <x v="856"/>
  </r>
  <r>
    <x v="25"/>
    <x v="216"/>
    <x v="857"/>
  </r>
  <r>
    <x v="25"/>
    <x v="216"/>
    <x v="858"/>
  </r>
  <r>
    <x v="25"/>
    <x v="216"/>
    <x v="859"/>
  </r>
  <r>
    <x v="25"/>
    <x v="216"/>
    <x v="860"/>
  </r>
  <r>
    <x v="25"/>
    <x v="216"/>
    <x v="861"/>
  </r>
  <r>
    <x v="25"/>
    <x v="216"/>
    <x v="862"/>
  </r>
  <r>
    <x v="25"/>
    <x v="216"/>
    <x v="863"/>
  </r>
  <r>
    <x v="25"/>
    <x v="216"/>
    <x v="864"/>
  </r>
  <r>
    <x v="25"/>
    <x v="216"/>
    <x v="865"/>
  </r>
  <r>
    <x v="25"/>
    <x v="216"/>
    <x v="866"/>
  </r>
  <r>
    <x v="25"/>
    <x v="216"/>
    <x v="867"/>
  </r>
  <r>
    <x v="25"/>
    <x v="216"/>
    <x v="868"/>
  </r>
  <r>
    <x v="25"/>
    <x v="216"/>
    <x v="869"/>
  </r>
  <r>
    <x v="25"/>
    <x v="216"/>
    <x v="870"/>
  </r>
  <r>
    <x v="25"/>
    <x v="216"/>
    <x v="871"/>
  </r>
  <r>
    <x v="25"/>
    <x v="216"/>
    <x v="872"/>
  </r>
  <r>
    <x v="25"/>
    <x v="216"/>
    <x v="873"/>
  </r>
  <r>
    <x v="25"/>
    <x v="216"/>
    <x v="874"/>
  </r>
  <r>
    <x v="25"/>
    <x v="216"/>
    <x v="875"/>
  </r>
  <r>
    <x v="25"/>
    <x v="216"/>
    <x v="876"/>
  </r>
  <r>
    <x v="25"/>
    <x v="216"/>
    <x v="877"/>
  </r>
  <r>
    <x v="25"/>
    <x v="216"/>
    <x v="878"/>
  </r>
  <r>
    <x v="25"/>
    <x v="216"/>
    <x v="879"/>
  </r>
  <r>
    <x v="25"/>
    <x v="216"/>
    <x v="880"/>
  </r>
  <r>
    <x v="25"/>
    <x v="216"/>
    <x v="881"/>
  </r>
  <r>
    <x v="25"/>
    <x v="216"/>
    <x v="882"/>
  </r>
  <r>
    <x v="25"/>
    <x v="217"/>
    <x v="883"/>
  </r>
  <r>
    <x v="25"/>
    <x v="218"/>
    <x v="884"/>
  </r>
  <r>
    <x v="25"/>
    <x v="218"/>
    <x v="885"/>
  </r>
  <r>
    <x v="25"/>
    <x v="219"/>
    <x v="886"/>
  </r>
  <r>
    <x v="25"/>
    <x v="219"/>
    <x v="887"/>
  </r>
  <r>
    <x v="25"/>
    <x v="220"/>
    <x v="888"/>
  </r>
  <r>
    <x v="25"/>
    <x v="220"/>
    <x v="889"/>
  </r>
  <r>
    <x v="25"/>
    <x v="221"/>
    <x v="890"/>
  </r>
  <r>
    <x v="25"/>
    <x v="221"/>
    <x v="891"/>
  </r>
  <r>
    <x v="25"/>
    <x v="221"/>
    <x v="892"/>
  </r>
  <r>
    <x v="25"/>
    <x v="222"/>
    <x v="893"/>
  </r>
  <r>
    <x v="25"/>
    <x v="222"/>
    <x v="894"/>
  </r>
  <r>
    <x v="25"/>
    <x v="222"/>
    <x v="895"/>
  </r>
  <r>
    <x v="25"/>
    <x v="223"/>
    <x v="896"/>
  </r>
  <r>
    <x v="25"/>
    <x v="223"/>
    <x v="897"/>
  </r>
  <r>
    <x v="25"/>
    <x v="223"/>
    <x v="898"/>
  </r>
  <r>
    <x v="25"/>
    <x v="224"/>
    <x v="899"/>
  </r>
  <r>
    <x v="25"/>
    <x v="224"/>
    <x v="900"/>
  </r>
  <r>
    <x v="25"/>
    <x v="225"/>
    <x v="901"/>
  </r>
  <r>
    <x v="25"/>
    <x v="225"/>
    <x v="902"/>
  </r>
  <r>
    <x v="25"/>
    <x v="226"/>
    <x v="903"/>
  </r>
  <r>
    <x v="25"/>
    <x v="226"/>
    <x v="904"/>
  </r>
  <r>
    <x v="25"/>
    <x v="226"/>
    <x v="905"/>
  </r>
  <r>
    <x v="25"/>
    <x v="227"/>
    <x v="906"/>
  </r>
  <r>
    <x v="25"/>
    <x v="227"/>
    <x v="907"/>
  </r>
  <r>
    <x v="25"/>
    <x v="227"/>
    <x v="908"/>
  </r>
  <r>
    <x v="25"/>
    <x v="228"/>
    <x v="909"/>
  </r>
  <r>
    <x v="25"/>
    <x v="228"/>
    <x v="910"/>
  </r>
  <r>
    <x v="25"/>
    <x v="229"/>
    <x v="911"/>
  </r>
  <r>
    <x v="25"/>
    <x v="229"/>
    <x v="912"/>
  </r>
  <r>
    <x v="26"/>
    <x v="230"/>
    <x v="913"/>
  </r>
  <r>
    <x v="26"/>
    <x v="230"/>
    <x v="914"/>
  </r>
  <r>
    <x v="26"/>
    <x v="230"/>
    <x v="915"/>
  </r>
  <r>
    <x v="26"/>
    <x v="230"/>
    <x v="916"/>
  </r>
  <r>
    <x v="26"/>
    <x v="230"/>
    <x v="917"/>
  </r>
  <r>
    <x v="26"/>
    <x v="231"/>
    <x v="918"/>
  </r>
  <r>
    <x v="26"/>
    <x v="231"/>
    <x v="919"/>
  </r>
  <r>
    <x v="26"/>
    <x v="231"/>
    <x v="920"/>
  </r>
  <r>
    <x v="26"/>
    <x v="232"/>
    <x v="921"/>
  </r>
  <r>
    <x v="26"/>
    <x v="232"/>
    <x v="922"/>
  </r>
  <r>
    <x v="26"/>
    <x v="232"/>
    <x v="923"/>
  </r>
  <r>
    <x v="26"/>
    <x v="233"/>
    <x v="924"/>
  </r>
  <r>
    <x v="26"/>
    <x v="233"/>
    <x v="925"/>
  </r>
  <r>
    <x v="26"/>
    <x v="234"/>
    <x v="926"/>
  </r>
  <r>
    <x v="26"/>
    <x v="234"/>
    <x v="927"/>
  </r>
  <r>
    <x v="26"/>
    <x v="234"/>
    <x v="928"/>
  </r>
  <r>
    <x v="26"/>
    <x v="234"/>
    <x v="929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5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10"/>
        <item x="11"/>
        <item x="2"/>
        <item x="12"/>
        <item m="1" x="30"/>
        <item x="3"/>
        <item x="13"/>
        <item x="14"/>
        <item x="15"/>
        <item x="16"/>
        <item x="17"/>
        <item x="4"/>
        <item m="1" x="28"/>
        <item x="18"/>
        <item x="19"/>
        <item x="20"/>
        <item x="21"/>
        <item x="22"/>
        <item x="23"/>
        <item x="5"/>
        <item m="1" x="31"/>
        <item x="24"/>
        <item m="1" x="29"/>
        <item x="25"/>
        <item x="6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9">
        <item h="1" x="4"/>
        <item m="1" x="239"/>
        <item x="176"/>
        <item x="53"/>
        <item x="188"/>
        <item x="189"/>
        <item x="190"/>
        <item x="191"/>
        <item x="39"/>
        <item x="5"/>
        <item x="98"/>
        <item x="192"/>
        <item x="6"/>
        <item x="230"/>
        <item x="54"/>
        <item x="55"/>
        <item x="99"/>
        <item x="107"/>
        <item x="7"/>
        <item x="40"/>
        <item x="56"/>
        <item x="57"/>
        <item x="155"/>
        <item x="156"/>
        <item x="58"/>
        <item x="41"/>
        <item x="42"/>
        <item x="193"/>
        <item x="108"/>
        <item x="33"/>
        <item x="8"/>
        <item x="49"/>
        <item x="50"/>
        <item x="109"/>
        <item x="110"/>
        <item x="100"/>
        <item x="59"/>
        <item x="157"/>
        <item x="60"/>
        <item m="1" x="257"/>
        <item x="101"/>
        <item x="194"/>
        <item x="123"/>
        <item x="61"/>
        <item h="1" x="43"/>
        <item x="44"/>
        <item x="131"/>
        <item x="177"/>
        <item x="195"/>
        <item x="196"/>
        <item h="1" x="132"/>
        <item x="197"/>
        <item x="198"/>
        <item x="158"/>
        <item x="62"/>
        <item x="159"/>
        <item x="133"/>
        <item x="63"/>
        <item x="64"/>
        <item x="199"/>
        <item x="134"/>
        <item x="231"/>
        <item x="200"/>
        <item x="9"/>
        <item x="65"/>
        <item x="111"/>
        <item x="135"/>
        <item m="1" x="253"/>
        <item x="66"/>
        <item x="67"/>
        <item x="160"/>
        <item x="45"/>
        <item x="161"/>
        <item x="201"/>
        <item x="178"/>
        <item x="34"/>
        <item x="68"/>
        <item x="35"/>
        <item x="232"/>
        <item m="1" x="247"/>
        <item m="1" x="235"/>
        <item x="179"/>
        <item x="202"/>
        <item x="10"/>
        <item h="1" x="136"/>
        <item m="1" x="236"/>
        <item x="11"/>
        <item m="1" x="255"/>
        <item x="180"/>
        <item x="137"/>
        <item x="122"/>
        <item x="69"/>
        <item x="162"/>
        <item x="163"/>
        <item x="70"/>
        <item x="36"/>
        <item x="71"/>
        <item x="72"/>
        <item x="12"/>
        <item x="164"/>
        <item x="13"/>
        <item x="203"/>
        <item x="124"/>
        <item x="73"/>
        <item x="74"/>
        <item x="14"/>
        <item x="15"/>
        <item x="16"/>
        <item x="204"/>
        <item x="51"/>
        <item h="1" x="138"/>
        <item x="205"/>
        <item x="17"/>
        <item x="206"/>
        <item x="207"/>
        <item x="139"/>
        <item x="75"/>
        <item x="46"/>
        <item x="76"/>
        <item x="208"/>
        <item m="1" x="249"/>
        <item x="112"/>
        <item x="209"/>
        <item m="1" x="238"/>
        <item m="1" x="251"/>
        <item x="210"/>
        <item x="140"/>
        <item x="18"/>
        <item m="1" x="245"/>
        <item x="181"/>
        <item x="165"/>
        <item x="141"/>
        <item m="1" x="240"/>
        <item m="1" x="243"/>
        <item x="185"/>
        <item x="77"/>
        <item x="102"/>
        <item x="211"/>
        <item x="78"/>
        <item x="79"/>
        <item x="80"/>
        <item x="186"/>
        <item h="1" x="166"/>
        <item x="103"/>
        <item x="113"/>
        <item h="1" x="81"/>
        <item x="212"/>
        <item x="82"/>
        <item x="47"/>
        <item x="167"/>
        <item x="48"/>
        <item x="168"/>
        <item x="1"/>
        <item x="125"/>
        <item x="126"/>
        <item x="127"/>
        <item x="128"/>
        <item h="1" x="169"/>
        <item x="182"/>
        <item x="19"/>
        <item x="213"/>
        <item x="114"/>
        <item x="170"/>
        <item x="187"/>
        <item x="142"/>
        <item x="214"/>
        <item x="171"/>
        <item x="233"/>
        <item x="83"/>
        <item x="143"/>
        <item x="84"/>
        <item x="115"/>
        <item x="116"/>
        <item x="117"/>
        <item x="215"/>
        <item x="216"/>
        <item x="85"/>
        <item x="20"/>
        <item x="86"/>
        <item x="87"/>
        <item x="88"/>
        <item x="234"/>
        <item x="217"/>
        <item x="21"/>
        <item x="218"/>
        <item x="104"/>
        <item x="105"/>
        <item x="106"/>
        <item x="118"/>
        <item x="119"/>
        <item x="144"/>
        <item x="22"/>
        <item x="145"/>
        <item x="183"/>
        <item x="89"/>
        <item x="120"/>
        <item x="172"/>
        <item x="23"/>
        <item x="24"/>
        <item x="146"/>
        <item x="147"/>
        <item x="148"/>
        <item m="1" x="258"/>
        <item x="90"/>
        <item x="219"/>
        <item x="37"/>
        <item x="121"/>
        <item x="38"/>
        <item x="220"/>
        <item x="25"/>
        <item x="52"/>
        <item x="129"/>
        <item x="149"/>
        <item x="91"/>
        <item x="150"/>
        <item x="26"/>
        <item x="184"/>
        <item x="92"/>
        <item h="1" x="221"/>
        <item x="2"/>
        <item m="1" x="242"/>
        <item x="222"/>
        <item h="1" x="173"/>
        <item m="1" x="256"/>
        <item x="27"/>
        <item h="1" x="28"/>
        <item x="151"/>
        <item x="223"/>
        <item x="29"/>
        <item h="1" x="152"/>
        <item h="1" x="30"/>
        <item x="93"/>
        <item h="1" x="130"/>
        <item h="1" x="153"/>
        <item x="224"/>
        <item x="225"/>
        <item x="94"/>
        <item x="31"/>
        <item x="32"/>
        <item x="226"/>
        <item m="1" x="254"/>
        <item m="1" x="248"/>
        <item x="227"/>
        <item x="95"/>
        <item x="96"/>
        <item m="1" x="252"/>
        <item x="154"/>
        <item x="174"/>
        <item m="1" x="237"/>
        <item m="1" x="246"/>
        <item m="1" x="244"/>
        <item x="228"/>
        <item x="3"/>
        <item m="1" x="241"/>
        <item m="1" x="250"/>
        <item x="229"/>
        <item x="175"/>
        <item x="97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30">
        <item x="167"/>
        <item x="587"/>
        <item x="588"/>
        <item x="168"/>
        <item x="626"/>
        <item x="628"/>
        <item x="627"/>
        <item x="629"/>
        <item x="630"/>
        <item x="634"/>
        <item x="635"/>
        <item x="130"/>
        <item x="21"/>
        <item x="22"/>
        <item x="23"/>
        <item x="291"/>
        <item x="169"/>
        <item x="24"/>
        <item x="636"/>
        <item x="173"/>
        <item x="637"/>
        <item x="294"/>
        <item x="25"/>
        <item x="175"/>
        <item x="42"/>
        <item x="640"/>
        <item x="179"/>
        <item x="49"/>
        <item x="161"/>
        <item x="159"/>
        <item x="311"/>
        <item x="377"/>
        <item x="183"/>
        <item x="296"/>
        <item x="297"/>
        <item m="1" x="990"/>
        <item x="185"/>
        <item x="187"/>
        <item x="643"/>
        <item x="439"/>
        <item x="456"/>
        <item x="656"/>
        <item x="589"/>
        <item x="658"/>
        <item x="661"/>
        <item x="674"/>
        <item x="687"/>
        <item x="194"/>
        <item x="470"/>
        <item x="477"/>
        <item x="192"/>
        <item x="760"/>
        <item x="196"/>
        <item m="1" x="969"/>
        <item x="479"/>
        <item x="381"/>
        <item x="198"/>
        <item x="200"/>
        <item x="292"/>
        <item x="293"/>
        <item x="638"/>
        <item x="639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13"/>
        <item x="914"/>
        <item x="915"/>
        <item x="916"/>
        <item x="171"/>
        <item x="174"/>
        <item x="295"/>
        <item x="43"/>
        <item x="44"/>
        <item x="45"/>
        <item x="46"/>
        <item x="47"/>
        <item x="48"/>
        <item x="176"/>
        <item x="177"/>
        <item x="180"/>
        <item x="181"/>
        <item x="182"/>
        <item x="134"/>
        <item x="136"/>
        <item x="641"/>
        <item x="642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50"/>
        <item x="51"/>
        <item x="52"/>
        <item x="160"/>
        <item x="162"/>
        <item x="378"/>
        <item x="379"/>
        <item x="380"/>
        <item x="250"/>
        <item x="184"/>
        <item x="186"/>
        <item m="1" x="1021"/>
        <item x="298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440"/>
        <item x="188"/>
        <item x="140"/>
        <item x="457"/>
        <item x="458"/>
        <item x="459"/>
        <item x="460"/>
        <item x="461"/>
        <item x="462"/>
        <item x="463"/>
        <item x="464"/>
        <item x="465"/>
        <item x="466"/>
        <item x="590"/>
        <item x="53"/>
        <item x="657"/>
        <item x="659"/>
        <item x="660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131"/>
        <item x="178"/>
        <item x="135"/>
        <item x="137"/>
        <item x="141"/>
        <item x="189"/>
        <item x="142"/>
        <item x="762"/>
        <item x="190"/>
        <item x="191"/>
        <item x="472"/>
        <item x="473"/>
        <item x="474"/>
        <item x="475"/>
        <item x="476"/>
        <item x="193"/>
        <item x="195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478"/>
        <item m="1" x="946"/>
        <item x="761"/>
        <item x="54"/>
        <item x="55"/>
        <item x="197"/>
        <item x="382"/>
        <item x="383"/>
        <item x="384"/>
        <item x="480"/>
        <item m="1" x="1013"/>
        <item x="199"/>
        <item x="201"/>
        <item x="917"/>
        <item x="920"/>
        <item x="143"/>
        <item x="763"/>
        <item x="202"/>
        <item m="1" x="975"/>
        <item x="591"/>
        <item x="764"/>
        <item m="1" x="986"/>
        <item x="921"/>
        <item m="1" x="962"/>
        <item x="203"/>
        <item x="204"/>
        <item x="206"/>
        <item x="117"/>
        <item x="118"/>
        <item m="1" x="1027"/>
        <item m="1" x="934"/>
        <item x="119"/>
        <item x="922"/>
        <item x="923"/>
        <item m="1" x="1003"/>
        <item m="1" x="956"/>
        <item x="593"/>
        <item x="594"/>
        <item x="765"/>
        <item x="56"/>
        <item x="592"/>
        <item x="595"/>
        <item x="57"/>
        <item x="58"/>
        <item x="483"/>
        <item m="1" x="950"/>
        <item m="1" x="949"/>
        <item m="1" x="1024"/>
        <item m="1" x="1000"/>
        <item m="1" x="1029"/>
        <item m="1" x="953"/>
        <item x="596"/>
        <item x="484"/>
        <item x="207"/>
        <item x="208"/>
        <item x="211"/>
        <item x="214"/>
        <item x="124"/>
        <item x="209"/>
        <item x="61"/>
        <item x="210"/>
        <item x="125"/>
        <item x="212"/>
        <item x="215"/>
        <item x="216"/>
        <item x="213"/>
        <item x="62"/>
        <item x="63"/>
        <item x="766"/>
        <item x="767"/>
        <item x="769"/>
        <item x="773"/>
        <item x="163"/>
        <item x="441"/>
        <item x="217"/>
        <item x="219"/>
        <item x="65"/>
        <item x="67"/>
        <item x="69"/>
        <item x="771"/>
        <item x="775"/>
        <item x="487"/>
        <item x="71"/>
        <item x="782"/>
        <item x="221"/>
        <item x="442"/>
        <item x="64"/>
        <item x="768"/>
        <item m="1" x="931"/>
        <item x="66"/>
        <item x="68"/>
        <item x="70"/>
        <item x="770"/>
        <item x="164"/>
        <item x="772"/>
        <item x="72"/>
        <item x="774"/>
        <item x="776"/>
        <item x="777"/>
        <item x="778"/>
        <item x="779"/>
        <item x="780"/>
        <item x="781"/>
        <item x="488"/>
        <item x="489"/>
        <item x="783"/>
        <item m="1" x="989"/>
        <item x="385"/>
        <item m="1" x="985"/>
        <item m="1" x="979"/>
        <item m="1" x="935"/>
        <item m="1" x="965"/>
        <item x="386"/>
        <item x="622"/>
        <item x="233"/>
        <item x="246"/>
        <item x="490"/>
        <item x="73"/>
        <item m="1" x="991"/>
        <item x="597"/>
        <item x="492"/>
        <item m="1" x="1028"/>
        <item m="1" x="999"/>
        <item m="1" x="968"/>
        <item x="606"/>
        <item x="605"/>
        <item x="608"/>
        <item x="607"/>
        <item x="610"/>
        <item x="612"/>
        <item x="613"/>
        <item x="614"/>
        <item x="615"/>
        <item x="616"/>
        <item x="617"/>
        <item x="491"/>
        <item x="231"/>
        <item x="788"/>
        <item x="789"/>
        <item x="247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74"/>
        <item m="1" x="948"/>
        <item m="1" x="960"/>
        <item x="619"/>
        <item m="1" x="1011"/>
        <item x="232"/>
        <item x="598"/>
        <item x="493"/>
        <item m="1" x="1015"/>
        <item x="790"/>
        <item x="623"/>
        <item x="301"/>
        <item x="387"/>
        <item x="791"/>
        <item x="254"/>
        <item x="792"/>
        <item x="302"/>
        <item x="255"/>
        <item x="388"/>
        <item x="443"/>
        <item x="445"/>
        <item x="446"/>
        <item x="448"/>
        <item x="450"/>
        <item x="449"/>
        <item x="444"/>
        <item x="451"/>
        <item x="447"/>
        <item x="599"/>
        <item x="793"/>
        <item x="389"/>
        <item x="600"/>
        <item x="794"/>
        <item x="624"/>
        <item x="390"/>
        <item x="625"/>
        <item x="795"/>
        <item x="796"/>
        <item x="924"/>
        <item x="925"/>
        <item x="85"/>
        <item x="256"/>
        <item x="391"/>
        <item x="393"/>
        <item x="395"/>
        <item x="797"/>
        <item x="810"/>
        <item x="258"/>
        <item x="257"/>
        <item x="496"/>
        <item x="497"/>
        <item x="260"/>
        <item x="259"/>
        <item x="392"/>
        <item x="394"/>
        <item x="396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261"/>
        <item x="86"/>
        <item x="262"/>
        <item x="263"/>
        <item x="266"/>
        <item x="264"/>
        <item x="265"/>
        <item x="267"/>
        <item x="926"/>
        <item x="927"/>
        <item x="928"/>
        <item x="929"/>
        <item m="1" x="1022"/>
        <item x="87"/>
        <item x="884"/>
        <item x="303"/>
        <item x="305"/>
        <item x="307"/>
        <item x="270"/>
        <item x="397"/>
        <item x="398"/>
        <item x="399"/>
        <item x="400"/>
        <item x="401"/>
        <item x="402"/>
        <item x="403"/>
        <item x="404"/>
        <item x="405"/>
        <item x="406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07"/>
        <item x="408"/>
        <item x="409"/>
        <item x="410"/>
        <item x="411"/>
        <item x="412"/>
        <item m="1" x="938"/>
        <item m="1" x="954"/>
        <item m="1" x="1023"/>
        <item m="1" x="1026"/>
        <item m="1" x="1012"/>
        <item m="1" x="957"/>
        <item m="1" x="958"/>
        <item m="1" x="982"/>
        <item m="1" x="998"/>
        <item m="1" x="976"/>
        <item m="1" x="992"/>
        <item m="1" x="970"/>
        <item m="1" x="1016"/>
        <item m="1" x="964"/>
        <item x="885"/>
        <item x="88"/>
        <item x="304"/>
        <item x="306"/>
        <item x="308"/>
        <item x="89"/>
        <item x="513"/>
        <item x="431"/>
        <item x="886"/>
        <item x="90"/>
        <item x="514"/>
        <item x="601"/>
        <item x="268"/>
        <item x="432"/>
        <item x="269"/>
        <item x="413"/>
        <item x="430"/>
        <item x="883"/>
        <item x="91"/>
        <item x="519"/>
        <item x="517"/>
        <item x="515"/>
        <item x="602"/>
        <item x="93"/>
        <item x="92"/>
        <item x="94"/>
        <item x="516"/>
        <item x="518"/>
        <item x="520"/>
        <item x="271"/>
        <item x="887"/>
        <item x="530"/>
        <item x="95"/>
        <item x="603"/>
        <item x="96"/>
        <item x="165"/>
        <item x="452"/>
        <item x="521"/>
        <item x="272"/>
        <item x="166"/>
        <item x="453"/>
        <item x="522"/>
        <item x="523"/>
        <item x="524"/>
        <item x="525"/>
        <item x="526"/>
        <item x="527"/>
        <item x="528"/>
        <item x="529"/>
        <item x="273"/>
        <item x="531"/>
        <item x="604"/>
        <item x="274"/>
        <item x="275"/>
        <item x="276"/>
        <item x="17"/>
        <item m="1" x="1017"/>
        <item m="1" x="1018"/>
        <item m="1" x="995"/>
        <item m="1" x="940"/>
        <item m="1" x="974"/>
        <item x="893"/>
        <item x="894"/>
        <item x="899"/>
        <item x="896"/>
        <item x="105"/>
        <item m="1" x="973"/>
        <item m="1" x="996"/>
        <item x="106"/>
        <item x="18"/>
        <item m="1" x="981"/>
        <item x="900"/>
        <item x="901"/>
        <item x="281"/>
        <item x="903"/>
        <item x="906"/>
        <item m="1" x="933"/>
        <item x="895"/>
        <item m="1" x="945"/>
        <item m="1" x="947"/>
        <item x="902"/>
        <item x="282"/>
        <item x="283"/>
        <item x="904"/>
        <item x="905"/>
        <item m="1" x="961"/>
        <item m="1" x="966"/>
        <item x="907"/>
        <item x="908"/>
        <item x="284"/>
        <item x="286"/>
        <item x="538"/>
        <item x="539"/>
        <item x="285"/>
        <item x="287"/>
        <item x="19"/>
        <item x="909"/>
        <item x="910"/>
        <item x="911"/>
        <item m="1" x="1009"/>
        <item x="20"/>
        <item m="1" x="943"/>
        <item x="912"/>
        <item x="288"/>
        <item x="585"/>
        <item x="586"/>
        <item x="289"/>
        <item x="290"/>
        <item x="0"/>
        <item m="1" x="1004"/>
        <item m="1" x="942"/>
        <item m="1" x="980"/>
        <item x="609"/>
        <item m="1" x="997"/>
        <item m="1" x="983"/>
        <item x="544"/>
        <item x="545"/>
        <item m="1" x="988"/>
        <item m="1" x="937"/>
        <item x="227"/>
        <item x="228"/>
        <item x="248"/>
        <item x="249"/>
        <item x="435"/>
        <item x="436"/>
        <item x="437"/>
        <item x="438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897"/>
        <item x="898"/>
        <item x="918"/>
        <item x="919"/>
        <item x="115"/>
        <item x="116"/>
        <item x="121"/>
        <item x="122"/>
        <item x="123"/>
        <item x="144"/>
        <item x="145"/>
        <item x="146"/>
        <item x="147"/>
        <item x="148"/>
        <item m="1" x="987"/>
        <item m="1" x="930"/>
        <item x="631"/>
        <item x="632"/>
        <item x="633"/>
        <item m="1" x="944"/>
        <item m="1" x="955"/>
        <item m="1" x="993"/>
        <item m="1" x="939"/>
        <item m="1" x="1025"/>
        <item m="1" x="936"/>
        <item m="1" x="1014"/>
        <item x="229"/>
        <item x="230"/>
        <item m="1" x="96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9"/>
        <item x="110"/>
        <item x="111"/>
        <item x="112"/>
        <item x="113"/>
        <item x="114"/>
        <item x="120"/>
        <item x="126"/>
        <item x="127"/>
        <item x="132"/>
        <item x="133"/>
        <item x="128"/>
        <item x="129"/>
        <item x="170"/>
        <item x="218"/>
        <item x="220"/>
        <item x="277"/>
        <item x="278"/>
        <item x="279"/>
        <item x="280"/>
        <item m="1" x="952"/>
        <item x="253"/>
        <item x="299"/>
        <item x="300"/>
        <item x="433"/>
        <item x="434"/>
        <item x="494"/>
        <item x="495"/>
        <item m="1" x="1019"/>
        <item m="1" x="978"/>
        <item m="1" x="1006"/>
        <item x="540"/>
        <item x="541"/>
        <item x="542"/>
        <item x="543"/>
        <item x="546"/>
        <item x="547"/>
        <item x="552"/>
        <item x="553"/>
        <item x="554"/>
        <item x="555"/>
        <item x="556"/>
        <item x="557"/>
        <item x="558"/>
        <item x="559"/>
        <item x="560"/>
        <item x="561"/>
        <item x="569"/>
        <item x="570"/>
        <item x="571"/>
        <item x="572"/>
        <item x="577"/>
        <item x="578"/>
        <item m="1" x="941"/>
        <item m="1" x="977"/>
        <item x="583"/>
        <item x="584"/>
        <item x="784"/>
        <item x="785"/>
        <item x="888"/>
        <item x="889"/>
        <item x="26"/>
        <item x="59"/>
        <item x="60"/>
        <item x="149"/>
        <item m="1" x="1005"/>
        <item m="1" x="971"/>
        <item m="1" x="994"/>
        <item m="1" x="1010"/>
        <item m="1" x="972"/>
        <item x="205"/>
        <item x="222"/>
        <item x="223"/>
        <item x="224"/>
        <item x="225"/>
        <item x="226"/>
        <item x="309"/>
        <item x="310"/>
        <item x="333"/>
        <item m="1" x="1020"/>
        <item m="1" x="951"/>
        <item x="548"/>
        <item x="549"/>
        <item x="550"/>
        <item x="551"/>
        <item x="575"/>
        <item x="576"/>
        <item x="579"/>
        <item x="580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75"/>
        <item m="1" x="932"/>
        <item x="76"/>
        <item m="1" x="984"/>
        <item x="77"/>
        <item x="78"/>
        <item m="1" x="1007"/>
        <item x="79"/>
        <item m="1" x="1001"/>
        <item x="80"/>
        <item x="81"/>
        <item m="1" x="1008"/>
        <item x="82"/>
        <item m="1" x="1002"/>
        <item x="83"/>
        <item x="84"/>
        <item x="150"/>
        <item x="151"/>
        <item x="152"/>
        <item x="153"/>
        <item x="154"/>
        <item x="155"/>
        <item x="156"/>
        <item x="157"/>
        <item x="158"/>
        <item x="532"/>
        <item x="533"/>
        <item x="562"/>
        <item x="563"/>
        <item x="565"/>
        <item x="786"/>
        <item x="787"/>
        <item x="172"/>
        <item m="1" x="959"/>
        <item x="376"/>
        <item m="1" x="967"/>
        <item x="103"/>
        <item x="104"/>
        <item x="107"/>
        <item x="108"/>
        <item x="251"/>
        <item x="252"/>
        <item x="454"/>
        <item x="455"/>
        <item x="467"/>
        <item x="468"/>
        <item x="469"/>
        <item x="481"/>
        <item x="482"/>
        <item x="485"/>
        <item x="486"/>
        <item x="534"/>
        <item x="535"/>
        <item x="536"/>
        <item x="537"/>
        <item x="564"/>
        <item x="566"/>
        <item x="567"/>
        <item x="568"/>
        <item x="573"/>
        <item x="574"/>
        <item x="581"/>
        <item x="582"/>
        <item x="138"/>
        <item x="139"/>
        <item x="471"/>
        <item x="611"/>
        <item x="618"/>
        <item x="620"/>
        <item x="621"/>
        <item x="890"/>
        <item x="891"/>
        <item x="89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1">
    <i>
      <x v="3"/>
      <x v="152"/>
      <x v="804"/>
    </i>
    <i r="1">
      <x v="219"/>
      <x v="702"/>
    </i>
    <i r="1">
      <x v="252"/>
      <x v="728"/>
    </i>
    <i>
      <x v="4"/>
      <x v="9"/>
      <x v="17"/>
    </i>
    <i r="1">
      <x v="12"/>
      <x v="22"/>
    </i>
    <i r="1">
      <x v="18"/>
      <x v="24"/>
    </i>
    <i r="1">
      <x v="30"/>
      <x v="27"/>
    </i>
    <i r="1">
      <x v="63"/>
      <x v="159"/>
    </i>
    <i r="1">
      <x v="83"/>
      <x v="318"/>
    </i>
    <i r="1">
      <x v="86"/>
      <x v="319"/>
    </i>
    <i r="1">
      <x v="98"/>
      <x v="335"/>
    </i>
    <i r="1">
      <x v="100"/>
      <x v="362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8"/>
      <x v="698"/>
    </i>
    <i r="1">
      <x v="237"/>
      <x v="826"/>
    </i>
    <i r="1">
      <x v="238"/>
      <x v="830"/>
    </i>
    <i>
      <x v="5"/>
      <x v="29"/>
      <x v="779"/>
    </i>
    <i r="1">
      <x v="75"/>
      <x v="832"/>
    </i>
    <i r="1">
      <x v="77"/>
      <x v="781"/>
    </i>
    <i>
      <x v="6"/>
      <x v="95"/>
      <x v="333"/>
    </i>
    <i r="1">
      <x v="205"/>
      <x v="834"/>
    </i>
    <i>
      <x v="8"/>
      <x v="207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5"/>
      <x v="191"/>
    </i>
    <i r="1">
      <x v="71"/>
      <x v="193"/>
    </i>
    <i r="1">
      <x v="117"/>
      <x v="784"/>
    </i>
    <i r="1">
      <x v="148"/>
      <x v="786"/>
    </i>
    <i r="1">
      <x v="150"/>
      <x v="890"/>
    </i>
    <i>
      <x v="12"/>
      <x v="207"/>
      <x v="838"/>
    </i>
    <i>
      <x v="13"/>
      <x v="31"/>
      <x v="29"/>
    </i>
    <i r="1">
      <x v="32"/>
      <x v="28"/>
    </i>
    <i r="1">
      <x v="109"/>
      <x v="348"/>
    </i>
    <i r="1">
      <x v="210"/>
      <x v="668"/>
    </i>
    <i>
      <x v="14"/>
      <x v="3"/>
      <x/>
    </i>
    <i r="1">
      <x v="14"/>
      <x v="16"/>
    </i>
    <i r="1">
      <x v="15"/>
      <x v="19"/>
    </i>
    <i r="2">
      <x v="98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4"/>
      <x v="192"/>
    </i>
    <i r="1">
      <x v="57"/>
      <x v="50"/>
    </i>
    <i r="1">
      <x v="58"/>
      <x v="47"/>
    </i>
    <i r="2">
      <x v="989"/>
    </i>
    <i r="1">
      <x v="64"/>
      <x v="52"/>
    </i>
    <i r="1">
      <x v="68"/>
      <x v="56"/>
    </i>
    <i r="1">
      <x v="69"/>
      <x v="57"/>
    </i>
    <i r="1">
      <x v="76"/>
      <x v="293"/>
    </i>
    <i r="2">
      <x v="989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2">
      <x v="989"/>
    </i>
    <i r="1">
      <x v="104"/>
      <x v="901"/>
    </i>
    <i r="1">
      <x v="116"/>
      <x v="752"/>
    </i>
    <i r="1">
      <x v="118"/>
      <x v="801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7"/>
      <x v="445"/>
    </i>
    <i r="1">
      <x v="168"/>
      <x v="469"/>
    </i>
    <i r="1">
      <x v="170"/>
      <x v="475"/>
    </i>
    <i r="1">
      <x v="176"/>
      <x v="479"/>
    </i>
    <i r="1">
      <x v="178"/>
      <x v="571"/>
    </i>
    <i r="1">
      <x v="179"/>
      <x v="573"/>
    </i>
    <i r="1">
      <x v="180"/>
      <x v="572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6"/>
      <x v="706"/>
    </i>
    <i r="1">
      <x v="243"/>
      <x v="726"/>
    </i>
    <i r="1">
      <x v="244"/>
      <x v="727"/>
    </i>
    <i r="1">
      <x v="257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8"/>
      <x v="17"/>
      <x v="902"/>
    </i>
    <i r="1">
      <x v="28"/>
      <x v="30"/>
    </i>
    <i r="1">
      <x v="33"/>
      <x v="904"/>
    </i>
    <i r="2">
      <x v="991"/>
    </i>
    <i r="1">
      <x v="34"/>
      <x v="31"/>
    </i>
    <i r="1">
      <x v="65"/>
      <x v="55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1">
      <x v="189"/>
      <x v="649"/>
    </i>
    <i r="1">
      <x v="195"/>
      <x v="640"/>
    </i>
    <i r="2">
      <x v="989"/>
    </i>
    <i r="1">
      <x v="206"/>
      <x v="851"/>
    </i>
    <i>
      <x v="19"/>
      <x v="90"/>
      <x v="759"/>
    </i>
    <i>
      <x v="20"/>
      <x v="42"/>
      <x v="39"/>
    </i>
    <i r="1">
      <x v="102"/>
      <x v="361"/>
    </i>
    <i r="2">
      <x v="989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>
      <x v="21"/>
      <x v="46"/>
      <x v="40"/>
    </i>
    <i r="1">
      <x v="56"/>
      <x v="48"/>
    </i>
    <i r="2">
      <x v="1022"/>
    </i>
    <i r="1">
      <x v="60"/>
      <x v="49"/>
    </i>
    <i r="1">
      <x v="66"/>
      <x v="54"/>
    </i>
    <i r="1">
      <x v="89"/>
      <x v="320"/>
    </i>
    <i r="1">
      <x v="115"/>
      <x v="357"/>
    </i>
    <i r="1">
      <x v="126"/>
      <x v="411"/>
    </i>
    <i r="1">
      <x v="131"/>
      <x v="435"/>
    </i>
    <i r="1">
      <x v="164"/>
      <x v="852"/>
    </i>
    <i r="1">
      <x v="169"/>
      <x v="477"/>
    </i>
    <i r="1">
      <x v="190"/>
      <x v="774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1">
      <x v="214"/>
      <x v="664"/>
    </i>
    <i r="1">
      <x v="226"/>
      <x v="982"/>
    </i>
    <i r="1">
      <x v="246"/>
      <x v="725"/>
    </i>
    <i>
      <x v="22"/>
      <x v="22"/>
      <x v="857"/>
    </i>
    <i r="1">
      <x v="23"/>
      <x v="859"/>
    </i>
    <i r="1">
      <x v="37"/>
      <x v="748"/>
    </i>
    <i r="1">
      <x v="53"/>
      <x v="861"/>
    </i>
    <i r="1">
      <x v="55"/>
      <x v="907"/>
    </i>
    <i r="1">
      <x v="70"/>
      <x v="863"/>
    </i>
    <i r="1">
      <x v="72"/>
      <x v="865"/>
    </i>
    <i r="1">
      <x v="92"/>
      <x v="868"/>
    </i>
    <i r="1">
      <x v="93"/>
      <x v="870"/>
    </i>
    <i r="1">
      <x v="99"/>
      <x v="871"/>
    </i>
    <i r="1">
      <x v="130"/>
      <x v="986"/>
    </i>
    <i r="2">
      <x v="1012"/>
    </i>
    <i r="1">
      <x v="149"/>
      <x v="874"/>
    </i>
    <i r="1">
      <x v="151"/>
      <x v="876"/>
    </i>
    <i r="1">
      <x v="162"/>
      <x v="911"/>
    </i>
    <i r="1">
      <x v="166"/>
      <x v="877"/>
    </i>
    <i r="1">
      <x v="196"/>
      <x v="913"/>
    </i>
    <i r="1">
      <x v="247"/>
      <x v="881"/>
    </i>
    <i r="1">
      <x v="256"/>
      <x v="738"/>
    </i>
    <i>
      <x v="23"/>
      <x v="2"/>
      <x v="1"/>
    </i>
    <i r="1">
      <x v="47"/>
      <x v="42"/>
    </i>
    <i r="1">
      <x v="74"/>
      <x v="316"/>
    </i>
    <i r="1">
      <x v="81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1">
      <x v="216"/>
      <x v="666"/>
    </i>
    <i>
      <x v="26"/>
      <x v="134"/>
      <x v="431"/>
    </i>
    <i r="2">
      <x v="1025"/>
    </i>
    <i r="2">
      <x v="1026"/>
    </i>
    <i r="1">
      <x v="141"/>
      <x v="389"/>
    </i>
    <i r="1">
      <x v="163"/>
      <x v="461"/>
    </i>
    <i>
      <x v="28"/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1"/>
      <x v="363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182"/>
      <x v="650"/>
    </i>
    <i r="1">
      <x v="184"/>
      <x v="633"/>
    </i>
    <i r="1">
      <x v="204"/>
      <x v="641"/>
    </i>
    <i r="1">
      <x v="208"/>
      <x v="886"/>
    </i>
    <i r="1">
      <x v="221"/>
      <x v="710"/>
    </i>
    <i r="1">
      <x v="227"/>
      <x v="697"/>
    </i>
    <i r="1">
      <x v="234"/>
      <x v="696"/>
    </i>
    <i r="1">
      <x v="235"/>
      <x v="705"/>
    </i>
    <i r="1">
      <x v="239"/>
      <x v="707"/>
    </i>
    <i r="1">
      <x v="242"/>
      <x v="708"/>
    </i>
    <i r="1">
      <x v="251"/>
      <x v="730"/>
    </i>
    <i r="1">
      <x v="255"/>
      <x v="731"/>
    </i>
    <i>
      <x v="30"/>
      <x v="13"/>
      <x v="289"/>
    </i>
    <i r="1">
      <x v="61"/>
      <x v="290"/>
    </i>
    <i r="1">
      <x v="78"/>
      <x v="298"/>
    </i>
    <i r="1">
      <x v="167"/>
      <x v="466"/>
    </i>
    <i r="1">
      <x v="181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5"/>
  <sheetViews>
    <sheetView tabSelected="1" workbookViewId="0">
      <selection activeCell="D25" sqref="D25:D265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60.86328125" bestFit="1" customWidth="1"/>
    <col min="4" max="4" width="16.265625" customWidth="1"/>
  </cols>
  <sheetData>
    <row r="1" spans="1:1" x14ac:dyDescent="0.45">
      <c r="A1" s="2" t="s">
        <v>844</v>
      </c>
    </row>
    <row r="3" spans="1:1" x14ac:dyDescent="0.45">
      <c r="A3" s="2" t="s">
        <v>854</v>
      </c>
    </row>
    <row r="4" spans="1:1" x14ac:dyDescent="0.45">
      <c r="A4" t="s">
        <v>848</v>
      </c>
    </row>
    <row r="5" spans="1:1" x14ac:dyDescent="0.45">
      <c r="A5" t="s">
        <v>906</v>
      </c>
    </row>
    <row r="7" spans="1:1" x14ac:dyDescent="0.45">
      <c r="A7" t="s">
        <v>845</v>
      </c>
    </row>
    <row r="8" spans="1:1" x14ac:dyDescent="0.45">
      <c r="A8" t="s">
        <v>846</v>
      </c>
    </row>
    <row r="9" spans="1:1" x14ac:dyDescent="0.45">
      <c r="A9" t="s">
        <v>853</v>
      </c>
    </row>
    <row r="11" spans="1:1" x14ac:dyDescent="0.45">
      <c r="A11" t="s">
        <v>856</v>
      </c>
    </row>
    <row r="12" spans="1:1" x14ac:dyDescent="0.45">
      <c r="A12" t="s">
        <v>847</v>
      </c>
    </row>
    <row r="14" spans="1:1" x14ac:dyDescent="0.45">
      <c r="A14" s="2" t="s">
        <v>855</v>
      </c>
    </row>
    <row r="15" spans="1:1" x14ac:dyDescent="0.45">
      <c r="A15" t="s">
        <v>849</v>
      </c>
    </row>
    <row r="16" spans="1:1" x14ac:dyDescent="0.45">
      <c r="A16" t="s">
        <v>850</v>
      </c>
    </row>
    <row r="17" spans="1:4" x14ac:dyDescent="0.45">
      <c r="A17" t="s">
        <v>851</v>
      </c>
    </row>
    <row r="18" spans="1:4" x14ac:dyDescent="0.45">
      <c r="A18" t="s">
        <v>852</v>
      </c>
    </row>
    <row r="20" spans="1:4" x14ac:dyDescent="0.45">
      <c r="A20" t="s">
        <v>905</v>
      </c>
    </row>
    <row r="21" spans="1:4" x14ac:dyDescent="0.45">
      <c r="A21" t="s">
        <v>904</v>
      </c>
    </row>
    <row r="24" spans="1:4" x14ac:dyDescent="0.45">
      <c r="A24" s="1" t="s">
        <v>839</v>
      </c>
      <c r="B24" s="1" t="s">
        <v>840</v>
      </c>
      <c r="C24" s="1" t="s">
        <v>841</v>
      </c>
      <c r="D24" s="4" t="s">
        <v>842</v>
      </c>
    </row>
    <row r="25" spans="1:4" x14ac:dyDescent="0.45">
      <c r="A25" t="s">
        <v>3</v>
      </c>
      <c r="B25" t="s">
        <v>932</v>
      </c>
      <c r="C25" t="s">
        <v>933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10</v>
      </c>
      <c r="B28" t="s">
        <v>11</v>
      </c>
      <c r="C28" t="s">
        <v>15</v>
      </c>
      <c r="D28">
        <v>1</v>
      </c>
    </row>
    <row r="29" spans="1:4" x14ac:dyDescent="0.45">
      <c r="A29" t="s">
        <v>10</v>
      </c>
      <c r="B29" t="s">
        <v>16</v>
      </c>
      <c r="C29" t="s">
        <v>17</v>
      </c>
      <c r="D29">
        <v>1</v>
      </c>
    </row>
    <row r="30" spans="1:4" x14ac:dyDescent="0.45">
      <c r="A30" t="s">
        <v>10</v>
      </c>
      <c r="B30" t="s">
        <v>33</v>
      </c>
      <c r="C30" t="s">
        <v>34</v>
      </c>
      <c r="D30">
        <v>1</v>
      </c>
    </row>
    <row r="31" spans="1:4" x14ac:dyDescent="0.45">
      <c r="A31" t="s">
        <v>10</v>
      </c>
      <c r="B31" t="s">
        <v>41</v>
      </c>
      <c r="C31" t="s">
        <v>42</v>
      </c>
      <c r="D31">
        <v>1</v>
      </c>
    </row>
    <row r="32" spans="1:4" x14ac:dyDescent="0.45">
      <c r="A32" t="s">
        <v>10</v>
      </c>
      <c r="B32" t="s">
        <v>46</v>
      </c>
      <c r="C32" t="s">
        <v>47</v>
      </c>
      <c r="D32">
        <v>1</v>
      </c>
    </row>
    <row r="33" spans="1:4" x14ac:dyDescent="0.45">
      <c r="A33" t="s">
        <v>10</v>
      </c>
      <c r="B33" t="s">
        <v>50</v>
      </c>
      <c r="C33" t="s">
        <v>52</v>
      </c>
      <c r="D33">
        <v>1</v>
      </c>
    </row>
    <row r="34" spans="1:4" x14ac:dyDescent="0.45">
      <c r="A34" t="s">
        <v>10</v>
      </c>
      <c r="B34" t="s">
        <v>53</v>
      </c>
      <c r="C34" t="s">
        <v>54</v>
      </c>
      <c r="D34">
        <v>1</v>
      </c>
    </row>
    <row r="35" spans="1:4" x14ac:dyDescent="0.45">
      <c r="A35" t="s">
        <v>10</v>
      </c>
      <c r="B35" t="s">
        <v>55</v>
      </c>
      <c r="C35" t="s">
        <v>56</v>
      </c>
      <c r="D35">
        <v>1</v>
      </c>
    </row>
    <row r="36" spans="1:4" x14ac:dyDescent="0.45">
      <c r="A36" t="s">
        <v>10</v>
      </c>
      <c r="B36" t="s">
        <v>58</v>
      </c>
      <c r="C36" t="s">
        <v>60</v>
      </c>
      <c r="D36">
        <v>1</v>
      </c>
    </row>
    <row r="37" spans="1:4" x14ac:dyDescent="0.45">
      <c r="A37" t="s">
        <v>10</v>
      </c>
      <c r="B37" t="s">
        <v>61</v>
      </c>
      <c r="C37" t="s">
        <v>62</v>
      </c>
      <c r="D37">
        <v>1</v>
      </c>
    </row>
    <row r="38" spans="1:4" x14ac:dyDescent="0.45">
      <c r="A38" t="s">
        <v>10</v>
      </c>
      <c r="B38" t="s">
        <v>64</v>
      </c>
      <c r="C38" t="s">
        <v>65</v>
      </c>
      <c r="D38">
        <v>1</v>
      </c>
    </row>
    <row r="39" spans="1:4" x14ac:dyDescent="0.45">
      <c r="A39" t="s">
        <v>10</v>
      </c>
      <c r="B39" t="s">
        <v>67</v>
      </c>
      <c r="C39" t="s">
        <v>68</v>
      </c>
      <c r="D39">
        <v>1</v>
      </c>
    </row>
    <row r="40" spans="1:4" x14ac:dyDescent="0.45">
      <c r="A40" t="s">
        <v>10</v>
      </c>
      <c r="B40" t="s">
        <v>70</v>
      </c>
      <c r="C40" t="s">
        <v>71</v>
      </c>
      <c r="D40">
        <v>1</v>
      </c>
    </row>
    <row r="41" spans="1:4" x14ac:dyDescent="0.45">
      <c r="A41" t="s">
        <v>10</v>
      </c>
      <c r="B41" t="s">
        <v>73</v>
      </c>
      <c r="C41" t="s">
        <v>75</v>
      </c>
      <c r="D41">
        <v>1</v>
      </c>
    </row>
    <row r="42" spans="1:4" x14ac:dyDescent="0.45">
      <c r="A42" t="s">
        <v>10</v>
      </c>
      <c r="B42" t="s">
        <v>1106</v>
      </c>
      <c r="C42" t="s">
        <v>1116</v>
      </c>
      <c r="D42">
        <v>1</v>
      </c>
    </row>
    <row r="43" spans="1:4" x14ac:dyDescent="0.45">
      <c r="A43" t="s">
        <v>10</v>
      </c>
      <c r="B43" t="s">
        <v>76</v>
      </c>
      <c r="C43" t="s">
        <v>77</v>
      </c>
      <c r="D43">
        <v>1</v>
      </c>
    </row>
    <row r="44" spans="1:4" x14ac:dyDescent="0.45">
      <c r="A44" t="s">
        <v>10</v>
      </c>
      <c r="B44" t="s">
        <v>79</v>
      </c>
      <c r="C44" t="s">
        <v>81</v>
      </c>
      <c r="D44">
        <v>1</v>
      </c>
    </row>
    <row r="45" spans="1:4" x14ac:dyDescent="0.45">
      <c r="A45" t="s">
        <v>10</v>
      </c>
      <c r="B45" t="s">
        <v>82</v>
      </c>
      <c r="C45" t="s">
        <v>83</v>
      </c>
      <c r="D45">
        <v>1</v>
      </c>
    </row>
    <row r="46" spans="1:4" x14ac:dyDescent="0.45">
      <c r="A46" t="s">
        <v>10</v>
      </c>
      <c r="B46" t="s">
        <v>85</v>
      </c>
      <c r="C46" t="s">
        <v>86</v>
      </c>
      <c r="D46">
        <v>1</v>
      </c>
    </row>
    <row r="47" spans="1:4" x14ac:dyDescent="0.45">
      <c r="A47" t="s">
        <v>10</v>
      </c>
      <c r="B47" t="s">
        <v>88</v>
      </c>
      <c r="C47" t="s">
        <v>89</v>
      </c>
      <c r="D47">
        <v>1</v>
      </c>
    </row>
    <row r="48" spans="1:4" x14ac:dyDescent="0.45">
      <c r="A48" t="s">
        <v>10</v>
      </c>
      <c r="B48" t="s">
        <v>91</v>
      </c>
      <c r="C48" t="s">
        <v>93</v>
      </c>
      <c r="D48">
        <v>1</v>
      </c>
    </row>
    <row r="49" spans="1:4" x14ac:dyDescent="0.45">
      <c r="A49" t="s">
        <v>10</v>
      </c>
      <c r="B49" t="s">
        <v>949</v>
      </c>
      <c r="C49" t="s">
        <v>950</v>
      </c>
      <c r="D49">
        <v>1</v>
      </c>
    </row>
    <row r="50" spans="1:4" x14ac:dyDescent="0.45">
      <c r="A50" t="s">
        <v>10</v>
      </c>
      <c r="B50" t="s">
        <v>952</v>
      </c>
      <c r="C50" t="s">
        <v>953</v>
      </c>
      <c r="D50">
        <v>1</v>
      </c>
    </row>
    <row r="51" spans="1:4" x14ac:dyDescent="0.45">
      <c r="A51" t="s">
        <v>10</v>
      </c>
      <c r="B51" t="s">
        <v>94</v>
      </c>
      <c r="C51" t="s">
        <v>95</v>
      </c>
      <c r="D51">
        <v>1</v>
      </c>
    </row>
    <row r="52" spans="1:4" x14ac:dyDescent="0.45">
      <c r="A52" t="s">
        <v>10</v>
      </c>
      <c r="B52" t="s">
        <v>957</v>
      </c>
      <c r="C52" t="s">
        <v>958</v>
      </c>
      <c r="D52">
        <v>1</v>
      </c>
    </row>
    <row r="53" spans="1:4" x14ac:dyDescent="0.45">
      <c r="A53" t="s">
        <v>10</v>
      </c>
      <c r="B53" t="s">
        <v>962</v>
      </c>
      <c r="C53" t="s">
        <v>963</v>
      </c>
      <c r="D53">
        <v>1</v>
      </c>
    </row>
    <row r="54" spans="1:4" x14ac:dyDescent="0.45">
      <c r="A54" t="s">
        <v>97</v>
      </c>
      <c r="B54" t="s">
        <v>907</v>
      </c>
      <c r="C54" t="s">
        <v>908</v>
      </c>
      <c r="D54">
        <v>1</v>
      </c>
    </row>
    <row r="55" spans="1:4" x14ac:dyDescent="0.45">
      <c r="A55" t="s">
        <v>97</v>
      </c>
      <c r="B55" t="s">
        <v>98</v>
      </c>
      <c r="C55" t="s">
        <v>965</v>
      </c>
      <c r="D55">
        <v>1</v>
      </c>
    </row>
    <row r="56" spans="1:4" x14ac:dyDescent="0.45">
      <c r="A56" t="s">
        <v>97</v>
      </c>
      <c r="B56" t="s">
        <v>910</v>
      </c>
      <c r="C56" t="s">
        <v>911</v>
      </c>
      <c r="D56">
        <v>1</v>
      </c>
    </row>
    <row r="57" spans="1:4" x14ac:dyDescent="0.45">
      <c r="A57" t="s">
        <v>102</v>
      </c>
      <c r="B57" t="s">
        <v>103</v>
      </c>
      <c r="C57" t="s">
        <v>104</v>
      </c>
      <c r="D57">
        <v>1</v>
      </c>
    </row>
    <row r="58" spans="1:4" x14ac:dyDescent="0.45">
      <c r="A58" t="s">
        <v>102</v>
      </c>
      <c r="B58" t="s">
        <v>966</v>
      </c>
      <c r="C58" t="s">
        <v>968</v>
      </c>
      <c r="D58">
        <v>1</v>
      </c>
    </row>
    <row r="59" spans="1:4" x14ac:dyDescent="0.45">
      <c r="A59" t="s">
        <v>1136</v>
      </c>
      <c r="B59" t="s">
        <v>972</v>
      </c>
      <c r="C59" t="s">
        <v>974</v>
      </c>
      <c r="D59">
        <v>1</v>
      </c>
    </row>
    <row r="60" spans="1:4" x14ac:dyDescent="0.45">
      <c r="A60" t="s">
        <v>914</v>
      </c>
      <c r="B60" t="s">
        <v>474</v>
      </c>
      <c r="C60" t="s">
        <v>476</v>
      </c>
      <c r="D60">
        <v>1</v>
      </c>
    </row>
    <row r="61" spans="1:4" x14ac:dyDescent="0.45">
      <c r="A61" t="s">
        <v>914</v>
      </c>
      <c r="B61" t="s">
        <v>969</v>
      </c>
      <c r="C61" t="s">
        <v>971</v>
      </c>
      <c r="D61">
        <v>1</v>
      </c>
    </row>
    <row r="62" spans="1:4" x14ac:dyDescent="0.45">
      <c r="A62" t="s">
        <v>914</v>
      </c>
      <c r="B62" t="s">
        <v>477</v>
      </c>
      <c r="C62" t="s">
        <v>479</v>
      </c>
      <c r="D62">
        <v>1</v>
      </c>
    </row>
    <row r="63" spans="1:4" x14ac:dyDescent="0.45">
      <c r="A63" t="s">
        <v>914</v>
      </c>
      <c r="B63" t="s">
        <v>915</v>
      </c>
      <c r="C63" t="s">
        <v>916</v>
      </c>
      <c r="D63">
        <v>1</v>
      </c>
    </row>
    <row r="64" spans="1:4" x14ac:dyDescent="0.45">
      <c r="A64" t="s">
        <v>914</v>
      </c>
      <c r="B64" t="s">
        <v>481</v>
      </c>
      <c r="C64" t="s">
        <v>483</v>
      </c>
      <c r="D64">
        <v>1</v>
      </c>
    </row>
    <row r="65" spans="1:4" x14ac:dyDescent="0.45">
      <c r="A65" t="s">
        <v>914</v>
      </c>
      <c r="B65" t="s">
        <v>484</v>
      </c>
      <c r="C65" t="s">
        <v>485</v>
      </c>
      <c r="D65">
        <v>1</v>
      </c>
    </row>
    <row r="66" spans="1:4" x14ac:dyDescent="0.45">
      <c r="A66" t="s">
        <v>914</v>
      </c>
      <c r="B66" t="s">
        <v>917</v>
      </c>
      <c r="C66" t="s">
        <v>918</v>
      </c>
      <c r="D66">
        <v>1</v>
      </c>
    </row>
    <row r="67" spans="1:4" x14ac:dyDescent="0.45">
      <c r="A67" t="s">
        <v>914</v>
      </c>
      <c r="B67" t="s">
        <v>920</v>
      </c>
      <c r="C67" t="s">
        <v>921</v>
      </c>
      <c r="D67">
        <v>1</v>
      </c>
    </row>
    <row r="68" spans="1:4" x14ac:dyDescent="0.45">
      <c r="A68" t="s">
        <v>914</v>
      </c>
      <c r="B68" t="s">
        <v>1039</v>
      </c>
      <c r="C68" t="s">
        <v>1040</v>
      </c>
      <c r="D68">
        <v>1</v>
      </c>
    </row>
    <row r="69" spans="1:4" x14ac:dyDescent="0.45">
      <c r="A69" t="s">
        <v>1139</v>
      </c>
      <c r="B69" t="s">
        <v>972</v>
      </c>
      <c r="C69" t="s">
        <v>974</v>
      </c>
      <c r="D69">
        <v>1</v>
      </c>
    </row>
    <row r="70" spans="1:4" x14ac:dyDescent="0.45">
      <c r="A70" t="s">
        <v>106</v>
      </c>
      <c r="B70" t="s">
        <v>107</v>
      </c>
      <c r="C70" t="s">
        <v>108</v>
      </c>
      <c r="D70">
        <v>1</v>
      </c>
    </row>
    <row r="71" spans="1:4" x14ac:dyDescent="0.45">
      <c r="A71" t="s">
        <v>106</v>
      </c>
      <c r="B71" t="s">
        <v>110</v>
      </c>
      <c r="C71" t="s">
        <v>111</v>
      </c>
      <c r="D71">
        <v>1</v>
      </c>
    </row>
    <row r="72" spans="1:4" x14ac:dyDescent="0.45">
      <c r="A72" t="s">
        <v>106</v>
      </c>
      <c r="B72" t="s">
        <v>113</v>
      </c>
      <c r="C72" t="s">
        <v>114</v>
      </c>
      <c r="D72">
        <v>1</v>
      </c>
    </row>
    <row r="73" spans="1:4" x14ac:dyDescent="0.45">
      <c r="A73" t="s">
        <v>106</v>
      </c>
      <c r="B73" t="s">
        <v>116</v>
      </c>
      <c r="C73" t="s">
        <v>117</v>
      </c>
      <c r="D73">
        <v>1</v>
      </c>
    </row>
    <row r="74" spans="1:4" x14ac:dyDescent="0.45">
      <c r="A74" t="s">
        <v>119</v>
      </c>
      <c r="B74" t="s">
        <v>120</v>
      </c>
      <c r="C74" t="s">
        <v>121</v>
      </c>
      <c r="D74">
        <v>1</v>
      </c>
    </row>
    <row r="75" spans="1:4" x14ac:dyDescent="0.45">
      <c r="A75" t="s">
        <v>119</v>
      </c>
      <c r="B75" t="s">
        <v>123</v>
      </c>
      <c r="C75" t="s">
        <v>124</v>
      </c>
      <c r="D75">
        <v>1</v>
      </c>
    </row>
    <row r="76" spans="1:4" x14ac:dyDescent="0.45">
      <c r="A76" t="s">
        <v>119</v>
      </c>
      <c r="B76" t="s">
        <v>126</v>
      </c>
      <c r="C76" t="s">
        <v>127</v>
      </c>
      <c r="D76">
        <v>1</v>
      </c>
    </row>
    <row r="77" spans="1:4" x14ac:dyDescent="0.45">
      <c r="A77" t="s">
        <v>119</v>
      </c>
      <c r="B77" t="s">
        <v>126</v>
      </c>
      <c r="C77" t="s">
        <v>1138</v>
      </c>
      <c r="D77">
        <v>1</v>
      </c>
    </row>
    <row r="78" spans="1:4" x14ac:dyDescent="0.45">
      <c r="A78" t="s">
        <v>119</v>
      </c>
      <c r="B78" t="s">
        <v>129</v>
      </c>
      <c r="C78" t="s">
        <v>130</v>
      </c>
      <c r="D78">
        <v>1</v>
      </c>
    </row>
    <row r="79" spans="1:4" x14ac:dyDescent="0.45">
      <c r="A79" t="s">
        <v>119</v>
      </c>
      <c r="B79" t="s">
        <v>132</v>
      </c>
      <c r="C79" t="s">
        <v>134</v>
      </c>
      <c r="D79">
        <v>1</v>
      </c>
    </row>
    <row r="80" spans="1:4" x14ac:dyDescent="0.45">
      <c r="A80" t="s">
        <v>119</v>
      </c>
      <c r="B80" t="s">
        <v>135</v>
      </c>
      <c r="C80" t="s">
        <v>136</v>
      </c>
      <c r="D80">
        <v>1</v>
      </c>
    </row>
    <row r="81" spans="1:4" x14ac:dyDescent="0.45">
      <c r="A81" t="s">
        <v>119</v>
      </c>
      <c r="B81" t="s">
        <v>140</v>
      </c>
      <c r="C81" t="s">
        <v>141</v>
      </c>
      <c r="D81">
        <v>1</v>
      </c>
    </row>
    <row r="82" spans="1:4" x14ac:dyDescent="0.45">
      <c r="A82" t="s">
        <v>119</v>
      </c>
      <c r="B82" t="s">
        <v>143</v>
      </c>
      <c r="C82" t="s">
        <v>144</v>
      </c>
      <c r="D82">
        <v>1</v>
      </c>
    </row>
    <row r="83" spans="1:4" x14ac:dyDescent="0.45">
      <c r="A83" t="s">
        <v>119</v>
      </c>
      <c r="B83" t="s">
        <v>146</v>
      </c>
      <c r="C83" t="s">
        <v>147</v>
      </c>
      <c r="D83">
        <v>1</v>
      </c>
    </row>
    <row r="84" spans="1:4" x14ac:dyDescent="0.45">
      <c r="A84" t="s">
        <v>119</v>
      </c>
      <c r="B84" t="s">
        <v>149</v>
      </c>
      <c r="C84" t="s">
        <v>150</v>
      </c>
      <c r="D84">
        <v>1</v>
      </c>
    </row>
    <row r="85" spans="1:4" x14ac:dyDescent="0.45">
      <c r="A85" t="s">
        <v>119</v>
      </c>
      <c r="B85" t="s">
        <v>153</v>
      </c>
      <c r="C85" t="s">
        <v>154</v>
      </c>
      <c r="D85">
        <v>1</v>
      </c>
    </row>
    <row r="86" spans="1:4" x14ac:dyDescent="0.45">
      <c r="A86" t="s">
        <v>119</v>
      </c>
      <c r="B86" t="s">
        <v>156</v>
      </c>
      <c r="C86" t="s">
        <v>157</v>
      </c>
      <c r="D86">
        <v>1</v>
      </c>
    </row>
    <row r="87" spans="1:4" x14ac:dyDescent="0.45">
      <c r="A87" t="s">
        <v>119</v>
      </c>
      <c r="B87" t="s">
        <v>156</v>
      </c>
      <c r="C87" t="s">
        <v>1138</v>
      </c>
      <c r="D87">
        <v>1</v>
      </c>
    </row>
    <row r="88" spans="1:4" x14ac:dyDescent="0.45">
      <c r="A88" t="s">
        <v>119</v>
      </c>
      <c r="B88" t="s">
        <v>159</v>
      </c>
      <c r="C88" t="s">
        <v>160</v>
      </c>
      <c r="D88">
        <v>1</v>
      </c>
    </row>
    <row r="89" spans="1:4" x14ac:dyDescent="0.45">
      <c r="A89" t="s">
        <v>119</v>
      </c>
      <c r="B89" t="s">
        <v>162</v>
      </c>
      <c r="C89" t="s">
        <v>163</v>
      </c>
      <c r="D89">
        <v>1</v>
      </c>
    </row>
    <row r="90" spans="1:4" x14ac:dyDescent="0.45">
      <c r="A90" t="s">
        <v>119</v>
      </c>
      <c r="B90" t="s">
        <v>165</v>
      </c>
      <c r="C90" t="s">
        <v>166</v>
      </c>
      <c r="D90">
        <v>1</v>
      </c>
    </row>
    <row r="91" spans="1:4" x14ac:dyDescent="0.45">
      <c r="A91" t="s">
        <v>119</v>
      </c>
      <c r="B91" t="s">
        <v>168</v>
      </c>
      <c r="C91" t="s">
        <v>169</v>
      </c>
      <c r="D91">
        <v>1</v>
      </c>
    </row>
    <row r="92" spans="1:4" x14ac:dyDescent="0.45">
      <c r="A92" t="s">
        <v>119</v>
      </c>
      <c r="B92" t="s">
        <v>168</v>
      </c>
      <c r="C92" t="s">
        <v>1138</v>
      </c>
      <c r="D92">
        <v>1</v>
      </c>
    </row>
    <row r="93" spans="1:4" x14ac:dyDescent="0.45">
      <c r="A93" t="s">
        <v>119</v>
      </c>
      <c r="B93" t="s">
        <v>173</v>
      </c>
      <c r="C93" t="s">
        <v>175</v>
      </c>
      <c r="D93">
        <v>1</v>
      </c>
    </row>
    <row r="94" spans="1:4" x14ac:dyDescent="0.45">
      <c r="A94" t="s">
        <v>119</v>
      </c>
      <c r="B94" t="s">
        <v>176</v>
      </c>
      <c r="C94" t="s">
        <v>177</v>
      </c>
      <c r="D94">
        <v>1</v>
      </c>
    </row>
    <row r="95" spans="1:4" x14ac:dyDescent="0.45">
      <c r="A95" t="s">
        <v>119</v>
      </c>
      <c r="B95" t="s">
        <v>179</v>
      </c>
      <c r="C95" t="s">
        <v>180</v>
      </c>
      <c r="D95">
        <v>1</v>
      </c>
    </row>
    <row r="96" spans="1:4" x14ac:dyDescent="0.45">
      <c r="A96" t="s">
        <v>119</v>
      </c>
      <c r="B96" t="s">
        <v>183</v>
      </c>
      <c r="C96" t="s">
        <v>184</v>
      </c>
      <c r="D96">
        <v>1</v>
      </c>
    </row>
    <row r="97" spans="1:4" x14ac:dyDescent="0.45">
      <c r="A97" t="s">
        <v>119</v>
      </c>
      <c r="B97" t="s">
        <v>187</v>
      </c>
      <c r="C97" t="s">
        <v>190</v>
      </c>
      <c r="D97">
        <v>1</v>
      </c>
    </row>
    <row r="98" spans="1:4" x14ac:dyDescent="0.45">
      <c r="A98" t="s">
        <v>119</v>
      </c>
      <c r="B98" t="s">
        <v>187</v>
      </c>
      <c r="C98" t="s">
        <v>1138</v>
      </c>
      <c r="D98">
        <v>1</v>
      </c>
    </row>
    <row r="99" spans="1:4" x14ac:dyDescent="0.45">
      <c r="A99" t="s">
        <v>119</v>
      </c>
      <c r="B99" t="s">
        <v>1042</v>
      </c>
      <c r="C99" t="s">
        <v>1047</v>
      </c>
      <c r="D99">
        <v>1</v>
      </c>
    </row>
    <row r="100" spans="1:4" x14ac:dyDescent="0.45">
      <c r="A100" t="s">
        <v>119</v>
      </c>
      <c r="B100" t="s">
        <v>871</v>
      </c>
      <c r="C100" t="s">
        <v>872</v>
      </c>
      <c r="D100">
        <v>1</v>
      </c>
    </row>
    <row r="101" spans="1:4" x14ac:dyDescent="0.45">
      <c r="A101" t="s">
        <v>119</v>
      </c>
      <c r="B101" t="s">
        <v>929</v>
      </c>
      <c r="C101" t="s">
        <v>930</v>
      </c>
      <c r="D101">
        <v>1</v>
      </c>
    </row>
    <row r="102" spans="1:4" x14ac:dyDescent="0.45">
      <c r="A102" t="s">
        <v>119</v>
      </c>
      <c r="B102" t="s">
        <v>191</v>
      </c>
      <c r="C102" t="s">
        <v>193</v>
      </c>
      <c r="D102">
        <v>1</v>
      </c>
    </row>
    <row r="103" spans="1:4" x14ac:dyDescent="0.45">
      <c r="A103" t="s">
        <v>119</v>
      </c>
      <c r="B103" t="s">
        <v>194</v>
      </c>
      <c r="C103" t="s">
        <v>195</v>
      </c>
      <c r="D103">
        <v>1</v>
      </c>
    </row>
    <row r="104" spans="1:4" x14ac:dyDescent="0.45">
      <c r="A104" t="s">
        <v>119</v>
      </c>
      <c r="B104" t="s">
        <v>207</v>
      </c>
      <c r="C104" t="s">
        <v>208</v>
      </c>
      <c r="D104">
        <v>1</v>
      </c>
    </row>
    <row r="105" spans="1:4" x14ac:dyDescent="0.45">
      <c r="A105" t="s">
        <v>119</v>
      </c>
      <c r="B105" t="s">
        <v>874</v>
      </c>
      <c r="C105" t="s">
        <v>876</v>
      </c>
      <c r="D105">
        <v>1</v>
      </c>
    </row>
    <row r="106" spans="1:4" x14ac:dyDescent="0.45">
      <c r="A106" t="s">
        <v>119</v>
      </c>
      <c r="B106" t="s">
        <v>210</v>
      </c>
      <c r="C106" t="s">
        <v>212</v>
      </c>
      <c r="D106">
        <v>1</v>
      </c>
    </row>
    <row r="107" spans="1:4" x14ac:dyDescent="0.45">
      <c r="A107" t="s">
        <v>119</v>
      </c>
      <c r="B107" t="s">
        <v>213</v>
      </c>
      <c r="C107" t="s">
        <v>214</v>
      </c>
      <c r="D107">
        <v>1</v>
      </c>
    </row>
    <row r="108" spans="1:4" x14ac:dyDescent="0.45">
      <c r="A108" t="s">
        <v>119</v>
      </c>
      <c r="B108" t="s">
        <v>216</v>
      </c>
      <c r="C108" t="s">
        <v>217</v>
      </c>
      <c r="D108">
        <v>1</v>
      </c>
    </row>
    <row r="109" spans="1:4" x14ac:dyDescent="0.45">
      <c r="A109" t="s">
        <v>119</v>
      </c>
      <c r="B109" t="s">
        <v>219</v>
      </c>
      <c r="C109" t="s">
        <v>220</v>
      </c>
      <c r="D109">
        <v>1</v>
      </c>
    </row>
    <row r="110" spans="1:4" x14ac:dyDescent="0.45">
      <c r="A110" t="s">
        <v>119</v>
      </c>
      <c r="B110" t="s">
        <v>222</v>
      </c>
      <c r="C110" t="s">
        <v>224</v>
      </c>
      <c r="D110">
        <v>1</v>
      </c>
    </row>
    <row r="111" spans="1:4" x14ac:dyDescent="0.45">
      <c r="A111" t="s">
        <v>119</v>
      </c>
      <c r="B111" t="s">
        <v>225</v>
      </c>
      <c r="C111" t="s">
        <v>226</v>
      </c>
      <c r="D111">
        <v>1</v>
      </c>
    </row>
    <row r="112" spans="1:4" x14ac:dyDescent="0.45">
      <c r="A112" t="s">
        <v>119</v>
      </c>
      <c r="B112" t="s">
        <v>228</v>
      </c>
      <c r="C112" t="s">
        <v>229</v>
      </c>
      <c r="D112">
        <v>1</v>
      </c>
    </row>
    <row r="113" spans="1:4" x14ac:dyDescent="0.45">
      <c r="A113" t="s">
        <v>119</v>
      </c>
      <c r="B113" t="s">
        <v>231</v>
      </c>
      <c r="C113" t="s">
        <v>233</v>
      </c>
      <c r="D113">
        <v>1</v>
      </c>
    </row>
    <row r="114" spans="1:4" x14ac:dyDescent="0.45">
      <c r="A114" t="s">
        <v>119</v>
      </c>
      <c r="B114" t="s">
        <v>234</v>
      </c>
      <c r="C114" t="s">
        <v>235</v>
      </c>
      <c r="D114">
        <v>1</v>
      </c>
    </row>
    <row r="115" spans="1:4" x14ac:dyDescent="0.45">
      <c r="A115" t="s">
        <v>119</v>
      </c>
      <c r="B115" t="s">
        <v>237</v>
      </c>
      <c r="C115" t="s">
        <v>238</v>
      </c>
      <c r="D115">
        <v>1</v>
      </c>
    </row>
    <row r="116" spans="1:4" x14ac:dyDescent="0.45">
      <c r="A116" t="s">
        <v>119</v>
      </c>
      <c r="B116" t="s">
        <v>240</v>
      </c>
      <c r="C116" t="s">
        <v>241</v>
      </c>
      <c r="D116">
        <v>1</v>
      </c>
    </row>
    <row r="117" spans="1:4" x14ac:dyDescent="0.45">
      <c r="A117" t="s">
        <v>119</v>
      </c>
      <c r="B117" t="s">
        <v>978</v>
      </c>
      <c r="C117" t="s">
        <v>979</v>
      </c>
      <c r="D117">
        <v>1</v>
      </c>
    </row>
    <row r="118" spans="1:4" x14ac:dyDescent="0.45">
      <c r="A118" t="s">
        <v>119</v>
      </c>
      <c r="B118" t="s">
        <v>244</v>
      </c>
      <c r="C118" t="s">
        <v>245</v>
      </c>
      <c r="D118">
        <v>1</v>
      </c>
    </row>
    <row r="119" spans="1:4" x14ac:dyDescent="0.45">
      <c r="A119" t="s">
        <v>119</v>
      </c>
      <c r="B119" t="s">
        <v>248</v>
      </c>
      <c r="C119" t="s">
        <v>250</v>
      </c>
      <c r="D119">
        <v>1</v>
      </c>
    </row>
    <row r="120" spans="1:4" x14ac:dyDescent="0.45">
      <c r="A120" t="s">
        <v>119</v>
      </c>
      <c r="B120" t="s">
        <v>251</v>
      </c>
      <c r="C120" t="s">
        <v>253</v>
      </c>
      <c r="D120">
        <v>1</v>
      </c>
    </row>
    <row r="121" spans="1:4" x14ac:dyDescent="0.45">
      <c r="A121" t="s">
        <v>119</v>
      </c>
      <c r="B121" t="s">
        <v>254</v>
      </c>
      <c r="C121" t="s">
        <v>255</v>
      </c>
      <c r="D121">
        <v>1</v>
      </c>
    </row>
    <row r="122" spans="1:4" x14ac:dyDescent="0.45">
      <c r="A122" t="s">
        <v>258</v>
      </c>
      <c r="B122" t="s">
        <v>259</v>
      </c>
      <c r="C122" t="s">
        <v>260</v>
      </c>
      <c r="D122">
        <v>1</v>
      </c>
    </row>
    <row r="123" spans="1:4" x14ac:dyDescent="0.45">
      <c r="A123" t="s">
        <v>258</v>
      </c>
      <c r="B123" t="s">
        <v>263</v>
      </c>
      <c r="C123" t="s">
        <v>264</v>
      </c>
      <c r="D123">
        <v>1</v>
      </c>
    </row>
    <row r="124" spans="1:4" x14ac:dyDescent="0.45">
      <c r="A124" t="s">
        <v>258</v>
      </c>
      <c r="B124" t="s">
        <v>266</v>
      </c>
      <c r="C124" t="s">
        <v>267</v>
      </c>
      <c r="D124">
        <v>1</v>
      </c>
    </row>
    <row r="125" spans="1:4" x14ac:dyDescent="0.45">
      <c r="A125" t="s">
        <v>258</v>
      </c>
      <c r="B125" t="s">
        <v>269</v>
      </c>
      <c r="C125" t="s">
        <v>270</v>
      </c>
      <c r="D125">
        <v>1</v>
      </c>
    </row>
    <row r="126" spans="1:4" x14ac:dyDescent="0.45">
      <c r="A126" t="s">
        <v>258</v>
      </c>
      <c r="B126" t="s">
        <v>984</v>
      </c>
      <c r="C126" t="s">
        <v>986</v>
      </c>
      <c r="D126">
        <v>1</v>
      </c>
    </row>
    <row r="127" spans="1:4" x14ac:dyDescent="0.45">
      <c r="A127" t="s">
        <v>258</v>
      </c>
      <c r="B127" t="s">
        <v>272</v>
      </c>
      <c r="C127" t="s">
        <v>274</v>
      </c>
      <c r="D127">
        <v>1</v>
      </c>
    </row>
    <row r="128" spans="1:4" x14ac:dyDescent="0.45">
      <c r="A128" t="s">
        <v>258</v>
      </c>
      <c r="B128" t="s">
        <v>275</v>
      </c>
      <c r="C128" t="s">
        <v>277</v>
      </c>
      <c r="D128">
        <v>1</v>
      </c>
    </row>
    <row r="129" spans="1:4" x14ac:dyDescent="0.45">
      <c r="A129" t="s">
        <v>258</v>
      </c>
      <c r="B129" t="s">
        <v>278</v>
      </c>
      <c r="C129" t="s">
        <v>280</v>
      </c>
      <c r="D129">
        <v>1</v>
      </c>
    </row>
    <row r="130" spans="1:4" x14ac:dyDescent="0.45">
      <c r="A130" t="s">
        <v>258</v>
      </c>
      <c r="B130" t="s">
        <v>281</v>
      </c>
      <c r="C130" t="s">
        <v>283</v>
      </c>
      <c r="D130">
        <v>1</v>
      </c>
    </row>
    <row r="131" spans="1:4" x14ac:dyDescent="0.45">
      <c r="A131" t="s">
        <v>284</v>
      </c>
      <c r="B131" t="s">
        <v>1048</v>
      </c>
      <c r="C131" t="s">
        <v>1049</v>
      </c>
      <c r="D131">
        <v>1</v>
      </c>
    </row>
    <row r="132" spans="1:4" x14ac:dyDescent="0.45">
      <c r="A132" t="s">
        <v>284</v>
      </c>
      <c r="B132" t="s">
        <v>1140</v>
      </c>
      <c r="C132" t="s">
        <v>1141</v>
      </c>
      <c r="D132">
        <v>1</v>
      </c>
    </row>
    <row r="133" spans="1:4" x14ac:dyDescent="0.45">
      <c r="A133" t="s">
        <v>284</v>
      </c>
      <c r="B133" t="s">
        <v>1051</v>
      </c>
      <c r="C133" t="s">
        <v>1052</v>
      </c>
      <c r="D133">
        <v>1</v>
      </c>
    </row>
    <row r="134" spans="1:4" x14ac:dyDescent="0.45">
      <c r="A134" t="s">
        <v>284</v>
      </c>
      <c r="B134" t="s">
        <v>1051</v>
      </c>
      <c r="C134" t="s">
        <v>1163</v>
      </c>
      <c r="D134">
        <v>1</v>
      </c>
    </row>
    <row r="135" spans="1:4" x14ac:dyDescent="0.45">
      <c r="A135" t="s">
        <v>284</v>
      </c>
      <c r="B135" t="s">
        <v>285</v>
      </c>
      <c r="C135" t="s">
        <v>286</v>
      </c>
      <c r="D135">
        <v>1</v>
      </c>
    </row>
    <row r="136" spans="1:4" x14ac:dyDescent="0.45">
      <c r="A136" t="s">
        <v>284</v>
      </c>
      <c r="B136" t="s">
        <v>290</v>
      </c>
      <c r="C136" t="s">
        <v>291</v>
      </c>
      <c r="D136">
        <v>1</v>
      </c>
    </row>
    <row r="137" spans="1:4" x14ac:dyDescent="0.45">
      <c r="A137" t="s">
        <v>284</v>
      </c>
      <c r="B137" t="s">
        <v>295</v>
      </c>
      <c r="C137" t="s">
        <v>297</v>
      </c>
      <c r="D137">
        <v>1</v>
      </c>
    </row>
    <row r="138" spans="1:4" x14ac:dyDescent="0.45">
      <c r="A138" t="s">
        <v>284</v>
      </c>
      <c r="B138" t="s">
        <v>298</v>
      </c>
      <c r="C138" t="s">
        <v>300</v>
      </c>
      <c r="D138">
        <v>1</v>
      </c>
    </row>
    <row r="139" spans="1:4" x14ac:dyDescent="0.45">
      <c r="A139" t="s">
        <v>284</v>
      </c>
      <c r="B139" t="s">
        <v>301</v>
      </c>
      <c r="C139" t="s">
        <v>303</v>
      </c>
      <c r="D139">
        <v>1</v>
      </c>
    </row>
    <row r="140" spans="1:4" x14ac:dyDescent="0.45">
      <c r="A140" t="s">
        <v>284</v>
      </c>
      <c r="B140" t="s">
        <v>304</v>
      </c>
      <c r="C140" t="s">
        <v>305</v>
      </c>
      <c r="D140">
        <v>1</v>
      </c>
    </row>
    <row r="141" spans="1:4" x14ac:dyDescent="0.45">
      <c r="A141" t="s">
        <v>284</v>
      </c>
      <c r="B141" t="s">
        <v>307</v>
      </c>
      <c r="C141" t="s">
        <v>308</v>
      </c>
      <c r="D141">
        <v>1</v>
      </c>
    </row>
    <row r="142" spans="1:4" x14ac:dyDescent="0.45">
      <c r="A142" t="s">
        <v>284</v>
      </c>
      <c r="B142" t="s">
        <v>310</v>
      </c>
      <c r="C142" t="s">
        <v>311</v>
      </c>
      <c r="D142">
        <v>1</v>
      </c>
    </row>
    <row r="143" spans="1:4" x14ac:dyDescent="0.45">
      <c r="A143" t="s">
        <v>284</v>
      </c>
      <c r="B143" t="s">
        <v>313</v>
      </c>
      <c r="C143" t="s">
        <v>330</v>
      </c>
      <c r="D143">
        <v>1</v>
      </c>
    </row>
    <row r="144" spans="1:4" x14ac:dyDescent="0.45">
      <c r="A144" t="s">
        <v>284</v>
      </c>
      <c r="B144" t="s">
        <v>331</v>
      </c>
      <c r="C144" t="s">
        <v>348</v>
      </c>
      <c r="D144">
        <v>1</v>
      </c>
    </row>
    <row r="145" spans="1:4" x14ac:dyDescent="0.45">
      <c r="A145" t="s">
        <v>284</v>
      </c>
      <c r="B145" t="s">
        <v>349</v>
      </c>
      <c r="C145" t="s">
        <v>350</v>
      </c>
      <c r="D145">
        <v>1</v>
      </c>
    </row>
    <row r="146" spans="1:4" x14ac:dyDescent="0.45">
      <c r="A146" t="s">
        <v>284</v>
      </c>
      <c r="B146" t="s">
        <v>349</v>
      </c>
      <c r="C146" t="s">
        <v>1138</v>
      </c>
      <c r="D146">
        <v>1</v>
      </c>
    </row>
    <row r="147" spans="1:4" x14ac:dyDescent="0.45">
      <c r="A147" t="s">
        <v>284</v>
      </c>
      <c r="B147" t="s">
        <v>987</v>
      </c>
      <c r="C147" t="s">
        <v>989</v>
      </c>
      <c r="D147">
        <v>1</v>
      </c>
    </row>
    <row r="148" spans="1:4" x14ac:dyDescent="0.45">
      <c r="A148" t="s">
        <v>877</v>
      </c>
      <c r="B148" t="s">
        <v>878</v>
      </c>
      <c r="C148" t="s">
        <v>882</v>
      </c>
      <c r="D148">
        <v>1</v>
      </c>
    </row>
    <row r="149" spans="1:4" x14ac:dyDescent="0.45">
      <c r="A149" t="s">
        <v>352</v>
      </c>
      <c r="B149" t="s">
        <v>353</v>
      </c>
      <c r="C149" t="s">
        <v>354</v>
      </c>
      <c r="D149">
        <v>1</v>
      </c>
    </row>
    <row r="150" spans="1:4" x14ac:dyDescent="0.45">
      <c r="A150" t="s">
        <v>352</v>
      </c>
      <c r="B150" t="s">
        <v>356</v>
      </c>
      <c r="C150" t="s">
        <v>358</v>
      </c>
      <c r="D150">
        <v>1</v>
      </c>
    </row>
    <row r="151" spans="1:4" x14ac:dyDescent="0.45">
      <c r="A151" t="s">
        <v>352</v>
      </c>
      <c r="B151" t="s">
        <v>356</v>
      </c>
      <c r="C151" t="s">
        <v>1138</v>
      </c>
      <c r="D151">
        <v>1</v>
      </c>
    </row>
    <row r="152" spans="1:4" x14ac:dyDescent="0.45">
      <c r="A152" t="s">
        <v>352</v>
      </c>
      <c r="B152" t="s">
        <v>359</v>
      </c>
      <c r="C152" t="s">
        <v>361</v>
      </c>
      <c r="D152">
        <v>1</v>
      </c>
    </row>
    <row r="153" spans="1:4" x14ac:dyDescent="0.45">
      <c r="A153" t="s">
        <v>352</v>
      </c>
      <c r="B153" t="s">
        <v>362</v>
      </c>
      <c r="C153" t="s">
        <v>365</v>
      </c>
      <c r="D153">
        <v>1</v>
      </c>
    </row>
    <row r="154" spans="1:4" x14ac:dyDescent="0.45">
      <c r="A154" t="s">
        <v>352</v>
      </c>
      <c r="B154" t="s">
        <v>366</v>
      </c>
      <c r="C154" t="s">
        <v>368</v>
      </c>
      <c r="D154">
        <v>1</v>
      </c>
    </row>
    <row r="155" spans="1:4" x14ac:dyDescent="0.45">
      <c r="A155" t="s">
        <v>352</v>
      </c>
      <c r="B155" t="s">
        <v>369</v>
      </c>
      <c r="C155" t="s">
        <v>371</v>
      </c>
      <c r="D155">
        <v>1</v>
      </c>
    </row>
    <row r="156" spans="1:4" x14ac:dyDescent="0.45">
      <c r="A156" t="s">
        <v>352</v>
      </c>
      <c r="B156" t="s">
        <v>372</v>
      </c>
      <c r="C156" t="s">
        <v>373</v>
      </c>
      <c r="D156">
        <v>1</v>
      </c>
    </row>
    <row r="157" spans="1:4" x14ac:dyDescent="0.45">
      <c r="A157" t="s">
        <v>375</v>
      </c>
      <c r="B157" t="s">
        <v>376</v>
      </c>
      <c r="C157" t="s">
        <v>377</v>
      </c>
      <c r="D157">
        <v>1</v>
      </c>
    </row>
    <row r="158" spans="1:4" x14ac:dyDescent="0.45">
      <c r="A158" t="s">
        <v>375</v>
      </c>
      <c r="B158" t="s">
        <v>388</v>
      </c>
      <c r="C158" t="s">
        <v>389</v>
      </c>
      <c r="D158">
        <v>1</v>
      </c>
    </row>
    <row r="159" spans="1:4" x14ac:dyDescent="0.45">
      <c r="A159" t="s">
        <v>375</v>
      </c>
      <c r="B159" t="s">
        <v>388</v>
      </c>
      <c r="C159" t="s">
        <v>1211</v>
      </c>
      <c r="D159">
        <v>1</v>
      </c>
    </row>
    <row r="160" spans="1:4" x14ac:dyDescent="0.45">
      <c r="A160" t="s">
        <v>375</v>
      </c>
      <c r="B160" t="s">
        <v>395</v>
      </c>
      <c r="C160" t="s">
        <v>396</v>
      </c>
      <c r="D160">
        <v>1</v>
      </c>
    </row>
    <row r="161" spans="1:4" x14ac:dyDescent="0.45">
      <c r="A161" t="s">
        <v>375</v>
      </c>
      <c r="B161" t="s">
        <v>398</v>
      </c>
      <c r="C161" t="s">
        <v>399</v>
      </c>
      <c r="D161">
        <v>1</v>
      </c>
    </row>
    <row r="162" spans="1:4" x14ac:dyDescent="0.45">
      <c r="A162" t="s">
        <v>375</v>
      </c>
      <c r="B162" t="s">
        <v>401</v>
      </c>
      <c r="C162" t="s">
        <v>402</v>
      </c>
      <c r="D162">
        <v>1</v>
      </c>
    </row>
    <row r="163" spans="1:4" x14ac:dyDescent="0.45">
      <c r="A163" t="s">
        <v>375</v>
      </c>
      <c r="B163" t="s">
        <v>404</v>
      </c>
      <c r="C163" t="s">
        <v>405</v>
      </c>
      <c r="D163">
        <v>1</v>
      </c>
    </row>
    <row r="164" spans="1:4" x14ac:dyDescent="0.45">
      <c r="A164" t="s">
        <v>375</v>
      </c>
      <c r="B164" t="s">
        <v>408</v>
      </c>
      <c r="C164" t="s">
        <v>410</v>
      </c>
      <c r="D164">
        <v>1</v>
      </c>
    </row>
    <row r="165" spans="1:4" x14ac:dyDescent="0.45">
      <c r="A165" t="s">
        <v>375</v>
      </c>
      <c r="B165" t="s">
        <v>1164</v>
      </c>
      <c r="C165" t="s">
        <v>1166</v>
      </c>
      <c r="D165">
        <v>1</v>
      </c>
    </row>
    <row r="166" spans="1:4" x14ac:dyDescent="0.45">
      <c r="A166" t="s">
        <v>375</v>
      </c>
      <c r="B166" t="s">
        <v>990</v>
      </c>
      <c r="C166" t="s">
        <v>991</v>
      </c>
      <c r="D166">
        <v>1</v>
      </c>
    </row>
    <row r="167" spans="1:4" x14ac:dyDescent="0.45">
      <c r="A167" t="s">
        <v>375</v>
      </c>
      <c r="B167" t="s">
        <v>411</v>
      </c>
      <c r="C167" t="s">
        <v>412</v>
      </c>
      <c r="D167">
        <v>1</v>
      </c>
    </row>
    <row r="168" spans="1:4" x14ac:dyDescent="0.45">
      <c r="A168" s="7" t="s">
        <v>375</v>
      </c>
      <c r="B168" s="7" t="s">
        <v>414</v>
      </c>
      <c r="C168" t="s">
        <v>897</v>
      </c>
      <c r="D168">
        <v>1</v>
      </c>
    </row>
    <row r="169" spans="1:4" x14ac:dyDescent="0.45">
      <c r="A169" s="7" t="s">
        <v>375</v>
      </c>
      <c r="B169" t="s">
        <v>415</v>
      </c>
      <c r="C169" t="s">
        <v>416</v>
      </c>
      <c r="D169">
        <v>1</v>
      </c>
    </row>
    <row r="170" spans="1:4" x14ac:dyDescent="0.45">
      <c r="A170" s="7" t="s">
        <v>375</v>
      </c>
      <c r="B170" t="s">
        <v>418</v>
      </c>
      <c r="C170" t="s">
        <v>419</v>
      </c>
      <c r="D170">
        <v>1</v>
      </c>
    </row>
    <row r="171" spans="1:4" x14ac:dyDescent="0.45">
      <c r="A171" t="s">
        <v>375</v>
      </c>
      <c r="B171" t="s">
        <v>421</v>
      </c>
      <c r="C171" t="s">
        <v>422</v>
      </c>
      <c r="D171">
        <v>1</v>
      </c>
    </row>
    <row r="172" spans="1:4" x14ac:dyDescent="0.45">
      <c r="A172" t="s">
        <v>375</v>
      </c>
      <c r="B172" t="s">
        <v>424</v>
      </c>
      <c r="C172" t="s">
        <v>425</v>
      </c>
      <c r="D172">
        <v>1</v>
      </c>
    </row>
    <row r="173" spans="1:4" x14ac:dyDescent="0.45">
      <c r="A173" t="s">
        <v>375</v>
      </c>
      <c r="B173" t="s">
        <v>427</v>
      </c>
      <c r="C173" t="s">
        <v>428</v>
      </c>
      <c r="D173">
        <v>1</v>
      </c>
    </row>
    <row r="174" spans="1:4" x14ac:dyDescent="0.45">
      <c r="A174" t="s">
        <v>375</v>
      </c>
      <c r="B174" t="s">
        <v>437</v>
      </c>
      <c r="C174" t="s">
        <v>438</v>
      </c>
      <c r="D174">
        <v>1</v>
      </c>
    </row>
    <row r="175" spans="1:4" x14ac:dyDescent="0.45">
      <c r="A175" t="s">
        <v>375</v>
      </c>
      <c r="B175" t="s">
        <v>1126</v>
      </c>
      <c r="C175" t="s">
        <v>1127</v>
      </c>
      <c r="D175">
        <v>1</v>
      </c>
    </row>
    <row r="176" spans="1:4" x14ac:dyDescent="0.45">
      <c r="A176" t="s">
        <v>375</v>
      </c>
      <c r="B176" t="s">
        <v>440</v>
      </c>
      <c r="C176" t="s">
        <v>442</v>
      </c>
      <c r="D176">
        <v>1</v>
      </c>
    </row>
    <row r="177" spans="1:4" x14ac:dyDescent="0.45">
      <c r="A177" t="s">
        <v>993</v>
      </c>
      <c r="B177" t="s">
        <v>994</v>
      </c>
      <c r="C177" t="s">
        <v>995</v>
      </c>
      <c r="D177">
        <v>1</v>
      </c>
    </row>
    <row r="178" spans="1:4" x14ac:dyDescent="0.45">
      <c r="A178" t="s">
        <v>993</v>
      </c>
      <c r="B178" t="s">
        <v>997</v>
      </c>
      <c r="C178" t="s">
        <v>998</v>
      </c>
      <c r="D178">
        <v>1</v>
      </c>
    </row>
    <row r="179" spans="1:4" x14ac:dyDescent="0.45">
      <c r="A179" t="s">
        <v>993</v>
      </c>
      <c r="B179" t="s">
        <v>868</v>
      </c>
      <c r="C179" t="s">
        <v>869</v>
      </c>
      <c r="D179">
        <v>1</v>
      </c>
    </row>
    <row r="180" spans="1:4" x14ac:dyDescent="0.45">
      <c r="A180" t="s">
        <v>993</v>
      </c>
      <c r="B180" t="s">
        <v>1000</v>
      </c>
      <c r="C180" t="s">
        <v>1001</v>
      </c>
      <c r="D180">
        <v>1</v>
      </c>
    </row>
    <row r="181" spans="1:4" x14ac:dyDescent="0.45">
      <c r="A181" t="s">
        <v>993</v>
      </c>
      <c r="B181" t="s">
        <v>1053</v>
      </c>
      <c r="C181" t="s">
        <v>1054</v>
      </c>
      <c r="D181">
        <v>1</v>
      </c>
    </row>
    <row r="182" spans="1:4" x14ac:dyDescent="0.45">
      <c r="A182" t="s">
        <v>993</v>
      </c>
      <c r="B182" t="s">
        <v>1003</v>
      </c>
      <c r="C182" t="s">
        <v>1004</v>
      </c>
      <c r="D182">
        <v>1</v>
      </c>
    </row>
    <row r="183" spans="1:4" x14ac:dyDescent="0.45">
      <c r="A183" t="s">
        <v>993</v>
      </c>
      <c r="B183" t="s">
        <v>1006</v>
      </c>
      <c r="C183" t="s">
        <v>1007</v>
      </c>
      <c r="D183">
        <v>1</v>
      </c>
    </row>
    <row r="184" spans="1:4" x14ac:dyDescent="0.45">
      <c r="A184" t="s">
        <v>993</v>
      </c>
      <c r="B184" t="s">
        <v>1009</v>
      </c>
      <c r="C184" t="s">
        <v>1011</v>
      </c>
      <c r="D184">
        <v>1</v>
      </c>
    </row>
    <row r="185" spans="1:4" x14ac:dyDescent="0.45">
      <c r="A185" t="s">
        <v>993</v>
      </c>
      <c r="B185" t="s">
        <v>1012</v>
      </c>
      <c r="C185" t="s">
        <v>1014</v>
      </c>
      <c r="D185">
        <v>1</v>
      </c>
    </row>
    <row r="186" spans="1:4" x14ac:dyDescent="0.45">
      <c r="A186" t="s">
        <v>993</v>
      </c>
      <c r="B186" t="s">
        <v>1015</v>
      </c>
      <c r="C186" t="s">
        <v>1016</v>
      </c>
      <c r="D186">
        <v>1</v>
      </c>
    </row>
    <row r="187" spans="1:4" x14ac:dyDescent="0.45">
      <c r="A187" t="s">
        <v>993</v>
      </c>
      <c r="B187" t="s">
        <v>1129</v>
      </c>
      <c r="C187" t="s">
        <v>1132</v>
      </c>
      <c r="D187">
        <v>1</v>
      </c>
    </row>
    <row r="188" spans="1:4" x14ac:dyDescent="0.45">
      <c r="A188" t="s">
        <v>993</v>
      </c>
      <c r="B188" t="s">
        <v>1129</v>
      </c>
      <c r="C188" t="s">
        <v>1197</v>
      </c>
      <c r="D188">
        <v>1</v>
      </c>
    </row>
    <row r="189" spans="1:4" x14ac:dyDescent="0.45">
      <c r="A189" t="s">
        <v>993</v>
      </c>
      <c r="B189" t="s">
        <v>1018</v>
      </c>
      <c r="C189" t="s">
        <v>1020</v>
      </c>
      <c r="D189">
        <v>1</v>
      </c>
    </row>
    <row r="190" spans="1:4" x14ac:dyDescent="0.45">
      <c r="A190" t="s">
        <v>993</v>
      </c>
      <c r="B190" t="s">
        <v>1021</v>
      </c>
      <c r="C190" t="s">
        <v>1023</v>
      </c>
      <c r="D190">
        <v>1</v>
      </c>
    </row>
    <row r="191" spans="1:4" x14ac:dyDescent="0.45">
      <c r="A191" t="s">
        <v>993</v>
      </c>
      <c r="B191" t="s">
        <v>1058</v>
      </c>
      <c r="C191" t="s">
        <v>1059</v>
      </c>
      <c r="D191">
        <v>1</v>
      </c>
    </row>
    <row r="192" spans="1:4" x14ac:dyDescent="0.45">
      <c r="A192" t="s">
        <v>993</v>
      </c>
      <c r="B192" t="s">
        <v>1024</v>
      </c>
      <c r="C192" t="s">
        <v>1025</v>
      </c>
      <c r="D192">
        <v>1</v>
      </c>
    </row>
    <row r="193" spans="1:4" x14ac:dyDescent="0.45">
      <c r="A193" t="s">
        <v>993</v>
      </c>
      <c r="B193" t="s">
        <v>1061</v>
      </c>
      <c r="C193" t="s">
        <v>1062</v>
      </c>
      <c r="D193">
        <v>1</v>
      </c>
    </row>
    <row r="194" spans="1:4" x14ac:dyDescent="0.45">
      <c r="A194" t="s">
        <v>993</v>
      </c>
      <c r="B194" t="s">
        <v>1027</v>
      </c>
      <c r="C194" t="s">
        <v>1028</v>
      </c>
      <c r="D194">
        <v>1</v>
      </c>
    </row>
    <row r="195" spans="1:4" x14ac:dyDescent="0.45">
      <c r="A195" t="s">
        <v>993</v>
      </c>
      <c r="B195" t="s">
        <v>443</v>
      </c>
      <c r="C195" t="s">
        <v>445</v>
      </c>
      <c r="D195">
        <v>1</v>
      </c>
    </row>
    <row r="196" spans="1:4" x14ac:dyDescent="0.45">
      <c r="A196" t="s">
        <v>446</v>
      </c>
      <c r="B196" t="s">
        <v>447</v>
      </c>
      <c r="C196" t="s">
        <v>448</v>
      </c>
      <c r="D196">
        <v>1</v>
      </c>
    </row>
    <row r="197" spans="1:4" x14ac:dyDescent="0.45">
      <c r="A197" t="s">
        <v>446</v>
      </c>
      <c r="B197" t="s">
        <v>450</v>
      </c>
      <c r="C197" t="s">
        <v>451</v>
      </c>
      <c r="D197">
        <v>1</v>
      </c>
    </row>
    <row r="198" spans="1:4" x14ac:dyDescent="0.45">
      <c r="A198" t="s">
        <v>446</v>
      </c>
      <c r="B198" t="s">
        <v>453</v>
      </c>
      <c r="C198" t="s">
        <v>455</v>
      </c>
      <c r="D198">
        <v>1</v>
      </c>
    </row>
    <row r="199" spans="1:4" x14ac:dyDescent="0.45">
      <c r="A199" t="s">
        <v>446</v>
      </c>
      <c r="B199" t="s">
        <v>456</v>
      </c>
      <c r="C199" t="s">
        <v>457</v>
      </c>
      <c r="D199">
        <v>1</v>
      </c>
    </row>
    <row r="200" spans="1:4" x14ac:dyDescent="0.45">
      <c r="A200" t="s">
        <v>446</v>
      </c>
      <c r="B200" t="s">
        <v>459</v>
      </c>
      <c r="C200" t="s">
        <v>460</v>
      </c>
      <c r="D200">
        <v>1</v>
      </c>
    </row>
    <row r="201" spans="1:4" x14ac:dyDescent="0.45">
      <c r="A201" t="s">
        <v>446</v>
      </c>
      <c r="B201" t="s">
        <v>462</v>
      </c>
      <c r="C201" t="s">
        <v>464</v>
      </c>
      <c r="D201">
        <v>1</v>
      </c>
    </row>
    <row r="202" spans="1:4" x14ac:dyDescent="0.45">
      <c r="A202" t="s">
        <v>446</v>
      </c>
      <c r="B202" t="s">
        <v>465</v>
      </c>
      <c r="C202" t="s">
        <v>467</v>
      </c>
      <c r="D202">
        <v>1</v>
      </c>
    </row>
    <row r="203" spans="1:4" x14ac:dyDescent="0.45">
      <c r="A203" t="s">
        <v>446</v>
      </c>
      <c r="B203" t="s">
        <v>468</v>
      </c>
      <c r="C203" t="s">
        <v>470</v>
      </c>
      <c r="D203">
        <v>1</v>
      </c>
    </row>
    <row r="204" spans="1:4" x14ac:dyDescent="0.45">
      <c r="A204" t="s">
        <v>446</v>
      </c>
      <c r="B204" t="s">
        <v>471</v>
      </c>
      <c r="C204" t="s">
        <v>472</v>
      </c>
      <c r="D204">
        <v>1</v>
      </c>
    </row>
    <row r="205" spans="1:4" x14ac:dyDescent="0.45">
      <c r="A205" s="7" t="s">
        <v>487</v>
      </c>
      <c r="B205" s="7" t="s">
        <v>488</v>
      </c>
      <c r="C205" s="7" t="s">
        <v>500</v>
      </c>
      <c r="D205">
        <v>1</v>
      </c>
    </row>
    <row r="206" spans="1:4" x14ac:dyDescent="0.45">
      <c r="A206" s="7" t="s">
        <v>487</v>
      </c>
      <c r="B206" s="7" t="s">
        <v>488</v>
      </c>
      <c r="C206" t="s">
        <v>1213</v>
      </c>
      <c r="D206">
        <v>1</v>
      </c>
    </row>
    <row r="207" spans="1:4" x14ac:dyDescent="0.45">
      <c r="A207" s="7" t="s">
        <v>487</v>
      </c>
      <c r="B207" s="7" t="s">
        <v>488</v>
      </c>
      <c r="C207" t="s">
        <v>1214</v>
      </c>
      <c r="D207">
        <v>1</v>
      </c>
    </row>
    <row r="208" spans="1:4" x14ac:dyDescent="0.45">
      <c r="A208" t="s">
        <v>487</v>
      </c>
      <c r="B208" t="s">
        <v>501</v>
      </c>
      <c r="C208" t="s">
        <v>502</v>
      </c>
      <c r="D208">
        <v>1</v>
      </c>
    </row>
    <row r="209" spans="1:4" x14ac:dyDescent="0.45">
      <c r="A209" t="s">
        <v>487</v>
      </c>
      <c r="B209" t="s">
        <v>504</v>
      </c>
      <c r="C209" t="s">
        <v>505</v>
      </c>
      <c r="D209">
        <v>1</v>
      </c>
    </row>
    <row r="210" spans="1:4" x14ac:dyDescent="0.45">
      <c r="A210" t="s">
        <v>507</v>
      </c>
      <c r="B210" t="s">
        <v>508</v>
      </c>
      <c r="C210" t="s">
        <v>509</v>
      </c>
      <c r="D210">
        <v>1</v>
      </c>
    </row>
    <row r="211" spans="1:4" x14ac:dyDescent="0.45">
      <c r="A211" t="s">
        <v>507</v>
      </c>
      <c r="B211" t="s">
        <v>511</v>
      </c>
      <c r="C211" t="s">
        <v>512</v>
      </c>
      <c r="D211">
        <v>1</v>
      </c>
    </row>
    <row r="212" spans="1:4" x14ac:dyDescent="0.45">
      <c r="A212" t="s">
        <v>507</v>
      </c>
      <c r="B212" t="s">
        <v>924</v>
      </c>
      <c r="C212" t="s">
        <v>925</v>
      </c>
      <c r="D212">
        <v>1</v>
      </c>
    </row>
    <row r="213" spans="1:4" x14ac:dyDescent="0.45">
      <c r="A213" t="s">
        <v>507</v>
      </c>
      <c r="B213" t="s">
        <v>515</v>
      </c>
      <c r="C213" t="s">
        <v>518</v>
      </c>
      <c r="D213">
        <v>1</v>
      </c>
    </row>
    <row r="214" spans="1:4" x14ac:dyDescent="0.45">
      <c r="A214" t="s">
        <v>507</v>
      </c>
      <c r="B214" t="s">
        <v>519</v>
      </c>
      <c r="C214" t="s">
        <v>520</v>
      </c>
      <c r="D214">
        <v>1</v>
      </c>
    </row>
    <row r="215" spans="1:4" x14ac:dyDescent="0.45">
      <c r="A215" t="s">
        <v>507</v>
      </c>
      <c r="B215" t="s">
        <v>523</v>
      </c>
      <c r="C215" t="s">
        <v>524</v>
      </c>
      <c r="D215">
        <v>1</v>
      </c>
    </row>
    <row r="216" spans="1:4" x14ac:dyDescent="0.45">
      <c r="A216" t="s">
        <v>507</v>
      </c>
      <c r="B216" t="s">
        <v>527</v>
      </c>
      <c r="C216" t="s">
        <v>528</v>
      </c>
      <c r="D216">
        <v>1</v>
      </c>
    </row>
    <row r="217" spans="1:4" x14ac:dyDescent="0.45">
      <c r="A217" t="s">
        <v>507</v>
      </c>
      <c r="B217" t="s">
        <v>541</v>
      </c>
      <c r="C217" t="s">
        <v>542</v>
      </c>
      <c r="D217">
        <v>1</v>
      </c>
    </row>
    <row r="218" spans="1:4" x14ac:dyDescent="0.45">
      <c r="A218" t="s">
        <v>507</v>
      </c>
      <c r="B218" t="s">
        <v>544</v>
      </c>
      <c r="C218" t="s">
        <v>545</v>
      </c>
      <c r="D218">
        <v>1</v>
      </c>
    </row>
    <row r="219" spans="1:4" x14ac:dyDescent="0.45">
      <c r="A219" t="s">
        <v>507</v>
      </c>
      <c r="B219" t="s">
        <v>548</v>
      </c>
      <c r="C219" t="s">
        <v>549</v>
      </c>
      <c r="D219">
        <v>1</v>
      </c>
    </row>
    <row r="220" spans="1:4" x14ac:dyDescent="0.45">
      <c r="A220" t="s">
        <v>507</v>
      </c>
      <c r="B220" t="s">
        <v>562</v>
      </c>
      <c r="C220" t="s">
        <v>563</v>
      </c>
      <c r="D220">
        <v>1</v>
      </c>
    </row>
    <row r="221" spans="1:4" x14ac:dyDescent="0.45">
      <c r="A221" t="s">
        <v>507</v>
      </c>
      <c r="B221" t="s">
        <v>576</v>
      </c>
      <c r="C221" t="s">
        <v>577</v>
      </c>
      <c r="D221">
        <v>1</v>
      </c>
    </row>
    <row r="222" spans="1:4" x14ac:dyDescent="0.45">
      <c r="A222" t="s">
        <v>507</v>
      </c>
      <c r="B222" t="s">
        <v>650</v>
      </c>
      <c r="C222" t="s">
        <v>651</v>
      </c>
      <c r="D222">
        <v>1</v>
      </c>
    </row>
    <row r="223" spans="1:4" x14ac:dyDescent="0.45">
      <c r="A223" t="s">
        <v>507</v>
      </c>
      <c r="B223" t="s">
        <v>653</v>
      </c>
      <c r="C223" t="s">
        <v>654</v>
      </c>
      <c r="D223">
        <v>1</v>
      </c>
    </row>
    <row r="224" spans="1:4" x14ac:dyDescent="0.45">
      <c r="A224" t="s">
        <v>507</v>
      </c>
      <c r="B224" t="s">
        <v>656</v>
      </c>
      <c r="C224" t="s">
        <v>657</v>
      </c>
      <c r="D224">
        <v>1</v>
      </c>
    </row>
    <row r="225" spans="1:4" x14ac:dyDescent="0.45">
      <c r="A225" t="s">
        <v>507</v>
      </c>
      <c r="B225" t="s">
        <v>659</v>
      </c>
      <c r="C225" t="s">
        <v>662</v>
      </c>
      <c r="D225">
        <v>1</v>
      </c>
    </row>
    <row r="226" spans="1:4" x14ac:dyDescent="0.45">
      <c r="A226" t="s">
        <v>507</v>
      </c>
      <c r="B226" t="s">
        <v>663</v>
      </c>
      <c r="C226" t="s">
        <v>664</v>
      </c>
      <c r="D226">
        <v>1</v>
      </c>
    </row>
    <row r="227" spans="1:4" x14ac:dyDescent="0.45">
      <c r="A227" t="s">
        <v>507</v>
      </c>
      <c r="B227" t="s">
        <v>666</v>
      </c>
      <c r="C227" t="s">
        <v>667</v>
      </c>
      <c r="D227">
        <v>1</v>
      </c>
    </row>
    <row r="228" spans="1:4" x14ac:dyDescent="0.45">
      <c r="A228" t="s">
        <v>507</v>
      </c>
      <c r="B228" t="s">
        <v>669</v>
      </c>
      <c r="C228" t="s">
        <v>670</v>
      </c>
      <c r="D228">
        <v>1</v>
      </c>
    </row>
    <row r="229" spans="1:4" x14ac:dyDescent="0.45">
      <c r="A229" t="s">
        <v>507</v>
      </c>
      <c r="B229" t="s">
        <v>672</v>
      </c>
      <c r="C229" t="s">
        <v>673</v>
      </c>
      <c r="D229">
        <v>1</v>
      </c>
    </row>
    <row r="230" spans="1:4" x14ac:dyDescent="0.45">
      <c r="A230" t="s">
        <v>507</v>
      </c>
      <c r="B230" t="s">
        <v>680</v>
      </c>
      <c r="C230" t="s">
        <v>681</v>
      </c>
      <c r="D230">
        <v>1</v>
      </c>
    </row>
    <row r="231" spans="1:4" x14ac:dyDescent="0.45">
      <c r="A231" t="s">
        <v>507</v>
      </c>
      <c r="B231" t="s">
        <v>1030</v>
      </c>
      <c r="C231" t="s">
        <v>1031</v>
      </c>
      <c r="D231">
        <v>1</v>
      </c>
    </row>
    <row r="232" spans="1:4" x14ac:dyDescent="0.45">
      <c r="A232" t="s">
        <v>507</v>
      </c>
      <c r="B232" t="s">
        <v>1133</v>
      </c>
      <c r="C232" t="s">
        <v>1134</v>
      </c>
      <c r="D232">
        <v>1</v>
      </c>
    </row>
    <row r="233" spans="1:4" x14ac:dyDescent="0.45">
      <c r="A233" t="s">
        <v>507</v>
      </c>
      <c r="B233" t="s">
        <v>683</v>
      </c>
      <c r="C233" t="s">
        <v>686</v>
      </c>
      <c r="D233">
        <v>1</v>
      </c>
    </row>
    <row r="234" spans="1:4" x14ac:dyDescent="0.45">
      <c r="A234" t="s">
        <v>507</v>
      </c>
      <c r="B234" t="s">
        <v>687</v>
      </c>
      <c r="C234" t="s">
        <v>689</v>
      </c>
      <c r="D234">
        <v>1</v>
      </c>
    </row>
    <row r="235" spans="1:4" x14ac:dyDescent="0.45">
      <c r="A235" t="s">
        <v>507</v>
      </c>
      <c r="B235" t="s">
        <v>690</v>
      </c>
      <c r="C235" t="s">
        <v>692</v>
      </c>
      <c r="D235">
        <v>1</v>
      </c>
    </row>
    <row r="236" spans="1:4" x14ac:dyDescent="0.45">
      <c r="A236" t="s">
        <v>507</v>
      </c>
      <c r="B236" t="s">
        <v>693</v>
      </c>
      <c r="C236" t="s">
        <v>694</v>
      </c>
      <c r="D236">
        <v>1</v>
      </c>
    </row>
    <row r="237" spans="1:4" x14ac:dyDescent="0.45">
      <c r="A237" t="s">
        <v>507</v>
      </c>
      <c r="B237" t="s">
        <v>696</v>
      </c>
      <c r="C237" t="s">
        <v>697</v>
      </c>
      <c r="D237">
        <v>1</v>
      </c>
    </row>
    <row r="238" spans="1:4" x14ac:dyDescent="0.45">
      <c r="A238" t="s">
        <v>507</v>
      </c>
      <c r="B238" t="s">
        <v>710</v>
      </c>
      <c r="C238" t="s">
        <v>711</v>
      </c>
      <c r="D238">
        <v>1</v>
      </c>
    </row>
    <row r="239" spans="1:4" x14ac:dyDescent="0.45">
      <c r="A239" t="s">
        <v>507</v>
      </c>
      <c r="B239" t="s">
        <v>1167</v>
      </c>
      <c r="C239" t="s">
        <v>1168</v>
      </c>
      <c r="D239">
        <v>1</v>
      </c>
    </row>
    <row r="240" spans="1:4" x14ac:dyDescent="0.45">
      <c r="A240" t="s">
        <v>507</v>
      </c>
      <c r="B240" t="s">
        <v>784</v>
      </c>
      <c r="C240" t="s">
        <v>786</v>
      </c>
      <c r="D240">
        <v>1</v>
      </c>
    </row>
    <row r="241" spans="1:4" x14ac:dyDescent="0.45">
      <c r="A241" t="s">
        <v>507</v>
      </c>
      <c r="B241" t="s">
        <v>787</v>
      </c>
      <c r="C241" t="s">
        <v>788</v>
      </c>
      <c r="D241">
        <v>1</v>
      </c>
    </row>
    <row r="242" spans="1:4" x14ac:dyDescent="0.45">
      <c r="A242" t="s">
        <v>507</v>
      </c>
      <c r="B242" t="s">
        <v>1033</v>
      </c>
      <c r="C242" t="s">
        <v>1035</v>
      </c>
      <c r="D242">
        <v>1</v>
      </c>
    </row>
    <row r="243" spans="1:4" x14ac:dyDescent="0.45">
      <c r="A243" t="s">
        <v>507</v>
      </c>
      <c r="B243" t="s">
        <v>790</v>
      </c>
      <c r="C243" t="s">
        <v>793</v>
      </c>
      <c r="D243">
        <v>1</v>
      </c>
    </row>
    <row r="244" spans="1:4" x14ac:dyDescent="0.45">
      <c r="A244" t="s">
        <v>507</v>
      </c>
      <c r="B244" t="s">
        <v>794</v>
      </c>
      <c r="C244" t="s">
        <v>795</v>
      </c>
      <c r="D244">
        <v>1</v>
      </c>
    </row>
    <row r="245" spans="1:4" x14ac:dyDescent="0.45">
      <c r="A245" t="s">
        <v>507</v>
      </c>
      <c r="B245" t="s">
        <v>796</v>
      </c>
      <c r="C245" t="s">
        <v>797</v>
      </c>
      <c r="D245">
        <v>1</v>
      </c>
    </row>
    <row r="246" spans="1:4" x14ac:dyDescent="0.45">
      <c r="A246" t="s">
        <v>507</v>
      </c>
      <c r="B246" t="s">
        <v>799</v>
      </c>
      <c r="C246" t="s">
        <v>800</v>
      </c>
      <c r="D246">
        <v>1</v>
      </c>
    </row>
    <row r="247" spans="1:4" x14ac:dyDescent="0.45">
      <c r="A247" t="s">
        <v>507</v>
      </c>
      <c r="B247" t="s">
        <v>802</v>
      </c>
      <c r="C247" t="s">
        <v>803</v>
      </c>
      <c r="D247">
        <v>1</v>
      </c>
    </row>
    <row r="248" spans="1:4" x14ac:dyDescent="0.45">
      <c r="A248" t="s">
        <v>507</v>
      </c>
      <c r="B248" t="s">
        <v>806</v>
      </c>
      <c r="C248" t="s">
        <v>807</v>
      </c>
      <c r="D248">
        <v>1</v>
      </c>
    </row>
    <row r="249" spans="1:4" x14ac:dyDescent="0.45">
      <c r="A249" t="s">
        <v>507</v>
      </c>
      <c r="B249" t="s">
        <v>810</v>
      </c>
      <c r="C249" t="s">
        <v>812</v>
      </c>
      <c r="D249">
        <v>1</v>
      </c>
    </row>
    <row r="250" spans="1:4" x14ac:dyDescent="0.45">
      <c r="A250" t="s">
        <v>507</v>
      </c>
      <c r="B250" t="s">
        <v>813</v>
      </c>
      <c r="C250" t="s">
        <v>814</v>
      </c>
      <c r="D250">
        <v>1</v>
      </c>
    </row>
    <row r="251" spans="1:4" x14ac:dyDescent="0.45">
      <c r="A251" t="s">
        <v>816</v>
      </c>
      <c r="B251" t="s">
        <v>817</v>
      </c>
      <c r="C251" t="s">
        <v>822</v>
      </c>
      <c r="D251">
        <v>1</v>
      </c>
    </row>
    <row r="252" spans="1:4" x14ac:dyDescent="0.45">
      <c r="A252" t="s">
        <v>816</v>
      </c>
      <c r="B252" t="s">
        <v>823</v>
      </c>
      <c r="C252" t="s">
        <v>824</v>
      </c>
      <c r="D252">
        <v>1</v>
      </c>
    </row>
    <row r="253" spans="1:4" x14ac:dyDescent="0.45">
      <c r="A253" t="s">
        <v>816</v>
      </c>
      <c r="B253" t="s">
        <v>825</v>
      </c>
      <c r="C253" t="s">
        <v>826</v>
      </c>
      <c r="D253">
        <v>1</v>
      </c>
    </row>
    <row r="254" spans="1:4" x14ac:dyDescent="0.45">
      <c r="A254" t="s">
        <v>816</v>
      </c>
      <c r="B254" t="s">
        <v>829</v>
      </c>
      <c r="C254" t="s">
        <v>830</v>
      </c>
      <c r="D254">
        <v>1</v>
      </c>
    </row>
    <row r="255" spans="1:4" x14ac:dyDescent="0.45">
      <c r="A255" t="s">
        <v>816</v>
      </c>
      <c r="B255" t="s">
        <v>832</v>
      </c>
      <c r="C255" t="s">
        <v>836</v>
      </c>
      <c r="D255">
        <v>1</v>
      </c>
    </row>
    <row r="256" spans="1:4" x14ac:dyDescent="0.45">
      <c r="D256">
        <v>0</v>
      </c>
    </row>
    <row r="257" spans="4:4" x14ac:dyDescent="0.45">
      <c r="D257">
        <v>0</v>
      </c>
    </row>
    <row r="258" spans="4:4" x14ac:dyDescent="0.45">
      <c r="D258">
        <v>0</v>
      </c>
    </row>
    <row r="259" spans="4:4" x14ac:dyDescent="0.45">
      <c r="D259">
        <v>0</v>
      </c>
    </row>
    <row r="260" spans="4:4" x14ac:dyDescent="0.45">
      <c r="D260">
        <v>0</v>
      </c>
    </row>
    <row r="261" spans="4:4" x14ac:dyDescent="0.45">
      <c r="D261">
        <v>0</v>
      </c>
    </row>
    <row r="262" spans="4:4" x14ac:dyDescent="0.45">
      <c r="D262">
        <v>0</v>
      </c>
    </row>
    <row r="263" spans="4:4" x14ac:dyDescent="0.45">
      <c r="D263">
        <v>0</v>
      </c>
    </row>
    <row r="264" spans="4:4" x14ac:dyDescent="0.45">
      <c r="D264">
        <v>0</v>
      </c>
    </row>
    <row r="265" spans="4:4" x14ac:dyDescent="0.45">
      <c r="D265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55"/>
  <sheetViews>
    <sheetView workbookViewId="0">
      <selection activeCell="M937" sqref="M937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839</v>
      </c>
      <c r="B1" t="s">
        <v>840</v>
      </c>
      <c r="C1" t="s">
        <v>841</v>
      </c>
      <c r="G1" t="s">
        <v>837</v>
      </c>
      <c r="H1" t="s">
        <v>838</v>
      </c>
      <c r="I1" s="3" t="s">
        <v>843</v>
      </c>
      <c r="J1" t="s">
        <v>842</v>
      </c>
    </row>
    <row r="2" spans="1:10" x14ac:dyDescent="0.45">
      <c r="A2" t="s">
        <v>0</v>
      </c>
    </row>
    <row r="3" spans="1:10" x14ac:dyDescent="0.45">
      <c r="A3" t="s">
        <v>1137</v>
      </c>
    </row>
    <row r="4" spans="1:10" x14ac:dyDescent="0.45">
      <c r="A4" t="s">
        <v>1</v>
      </c>
    </row>
    <row r="5" spans="1:10" x14ac:dyDescent="0.45">
      <c r="A5" t="s">
        <v>866</v>
      </c>
    </row>
    <row r="6" spans="1:10" x14ac:dyDescent="0.45">
      <c r="A6" t="s">
        <v>902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928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867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3</v>
      </c>
      <c r="B10" t="s">
        <v>932</v>
      </c>
      <c r="C10" t="s">
        <v>933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45">
      <c r="A11" t="s">
        <v>3</v>
      </c>
      <c r="B11" t="s">
        <v>932</v>
      </c>
      <c r="C11" t="s">
        <v>934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3</v>
      </c>
      <c r="B12" t="s">
        <v>932</v>
      </c>
      <c r="C12" t="s">
        <v>935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932</v>
      </c>
      <c r="C13" t="s">
        <v>936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932</v>
      </c>
      <c r="C14" t="s">
        <v>937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932</v>
      </c>
      <c r="C15" t="s">
        <v>938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932</v>
      </c>
      <c r="C16" t="s">
        <v>939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932</v>
      </c>
      <c r="C17" t="s">
        <v>940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932</v>
      </c>
      <c r="C18" t="s">
        <v>941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932</v>
      </c>
      <c r="C19" t="s">
        <v>942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932</v>
      </c>
      <c r="C20" t="s">
        <v>943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932</v>
      </c>
      <c r="C21" t="s">
        <v>944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932</v>
      </c>
      <c r="C22" t="s">
        <v>945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932</v>
      </c>
      <c r="C23" t="s">
        <v>946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932</v>
      </c>
      <c r="C24" t="s">
        <v>947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932</v>
      </c>
      <c r="C25" t="s">
        <v>948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4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4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10</v>
      </c>
      <c r="B30" t="s">
        <v>1138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/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4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4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45">
      <c r="A36" t="s">
        <v>10</v>
      </c>
      <c r="B36" t="s">
        <v>16</v>
      </c>
      <c r="C36" t="s">
        <v>1036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4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4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10</v>
      </c>
      <c r="B63" t="s">
        <v>46</v>
      </c>
      <c r="C63" t="s">
        <v>47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0</v>
      </c>
    </row>
    <row r="64" spans="1:10" x14ac:dyDescent="0.45">
      <c r="A64" t="s">
        <v>10</v>
      </c>
      <c r="B64" t="s">
        <v>46</v>
      </c>
      <c r="C64" t="s">
        <v>48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10</v>
      </c>
      <c r="B65" t="s">
        <v>46</v>
      </c>
      <c r="C65" t="s">
        <v>49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45">
      <c r="A66" t="s">
        <v>10</v>
      </c>
      <c r="B66" t="s">
        <v>50</v>
      </c>
      <c r="C66" t="s">
        <v>51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45">
      <c r="A67" t="s">
        <v>10</v>
      </c>
      <c r="B67" t="s">
        <v>50</v>
      </c>
      <c r="C67" t="s">
        <v>52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45">
      <c r="A68" t="s">
        <v>10</v>
      </c>
      <c r="B68" t="s">
        <v>53</v>
      </c>
      <c r="C68" t="s">
        <v>54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10</v>
      </c>
      <c r="B69" t="s">
        <v>53</v>
      </c>
      <c r="C69" t="s">
        <v>1037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10</v>
      </c>
      <c r="B70" t="s">
        <v>53</v>
      </c>
      <c r="C70" t="s">
        <v>1038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45">
      <c r="A71" t="s">
        <v>10</v>
      </c>
      <c r="B71" t="s">
        <v>55</v>
      </c>
      <c r="C71" t="s">
        <v>56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45">
      <c r="A72" t="s">
        <v>10</v>
      </c>
      <c r="B72" t="s">
        <v>55</v>
      </c>
      <c r="C72" t="s">
        <v>57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45">
      <c r="A73" t="s">
        <v>10</v>
      </c>
      <c r="B73" t="s">
        <v>58</v>
      </c>
      <c r="C73" t="s">
        <v>59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Embedded Carbon in Components per Currency Unit.xlsx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10</v>
      </c>
      <c r="B74" t="s">
        <v>58</v>
      </c>
      <c r="C74" t="s">
        <v>60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10</v>
      </c>
      <c r="B75" t="s">
        <v>61</v>
      </c>
      <c r="C75" t="s">
        <v>62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45">
      <c r="A76" t="s">
        <v>10</v>
      </c>
      <c r="B76" t="s">
        <v>61</v>
      </c>
      <c r="C76" t="s">
        <v>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45">
      <c r="A77" t="s">
        <v>10</v>
      </c>
      <c r="B77" t="s">
        <v>64</v>
      </c>
      <c r="C77" t="s">
        <v>65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45">
      <c r="A78" t="s">
        <v>10</v>
      </c>
      <c r="B78" t="s">
        <v>64</v>
      </c>
      <c r="C78" t="s">
        <v>66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45">
      <c r="A79" t="s">
        <v>10</v>
      </c>
      <c r="B79" t="s">
        <v>67</v>
      </c>
      <c r="C79" t="s">
        <v>68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45">
      <c r="A80" t="s">
        <v>10</v>
      </c>
      <c r="B80" t="s">
        <v>67</v>
      </c>
      <c r="C80" t="s">
        <v>69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10</v>
      </c>
      <c r="B81" t="s">
        <v>70</v>
      </c>
      <c r="C81" t="s">
        <v>71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45">
      <c r="A82" t="s">
        <v>10</v>
      </c>
      <c r="B82" t="s">
        <v>70</v>
      </c>
      <c r="C82" t="s">
        <v>72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45">
      <c r="A83" t="s">
        <v>10</v>
      </c>
      <c r="B83" t="s">
        <v>73</v>
      </c>
      <c r="C83" t="s">
        <v>74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10</v>
      </c>
      <c r="B84" t="s">
        <v>73</v>
      </c>
      <c r="C84" t="s">
        <v>75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1</v>
      </c>
      <c r="J84" s="6">
        <f t="shared" si="3"/>
        <v>0</v>
      </c>
    </row>
    <row r="85" spans="1:10" x14ac:dyDescent="0.45">
      <c r="A85" t="s">
        <v>10</v>
      </c>
      <c r="B85" t="s">
        <v>1106</v>
      </c>
      <c r="C85" t="s">
        <v>1107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10</v>
      </c>
      <c r="B86" t="s">
        <v>1106</v>
      </c>
      <c r="C86" t="s">
        <v>1108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10</v>
      </c>
      <c r="B87" t="s">
        <v>1106</v>
      </c>
      <c r="C87" t="s">
        <v>1109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10</v>
      </c>
      <c r="B88" t="s">
        <v>1106</v>
      </c>
      <c r="C88" t="s">
        <v>1110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10</v>
      </c>
      <c r="B89" t="s">
        <v>1106</v>
      </c>
      <c r="C89" t="s">
        <v>1111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10</v>
      </c>
      <c r="B90" t="s">
        <v>1106</v>
      </c>
      <c r="C90" t="s">
        <v>1112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45">
      <c r="A91" t="s">
        <v>10</v>
      </c>
      <c r="B91" t="s">
        <v>1106</v>
      </c>
      <c r="C91" t="s">
        <v>1113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10</v>
      </c>
      <c r="B92" t="s">
        <v>1106</v>
      </c>
      <c r="C92" t="s">
        <v>1114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45">
      <c r="A93" t="s">
        <v>10</v>
      </c>
      <c r="B93" t="s">
        <v>1106</v>
      </c>
      <c r="C93" t="s">
        <v>1115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45">
      <c r="A94" t="s">
        <v>10</v>
      </c>
      <c r="B94" t="s">
        <v>1106</v>
      </c>
      <c r="C94" t="s">
        <v>1116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45">
      <c r="A95" t="s">
        <v>10</v>
      </c>
      <c r="B95" t="s">
        <v>76</v>
      </c>
      <c r="C95" t="s">
        <v>77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Market Share Changes due to Rebate Prog by Qual Lvl.xlsx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45">
      <c r="A96" t="s">
        <v>10</v>
      </c>
      <c r="B96" t="s">
        <v>76</v>
      </c>
      <c r="C96" t="s">
        <v>78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45">
      <c r="A97" t="s">
        <v>10</v>
      </c>
      <c r="B97" t="s">
        <v>79</v>
      </c>
      <c r="C97" t="s">
        <v>80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Components Fuel Use Reduction for Electricity.xlsx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10</v>
      </c>
      <c r="B98" t="s">
        <v>79</v>
      </c>
      <c r="C98" t="s">
        <v>81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45">
      <c r="A99" t="s">
        <v>10</v>
      </c>
      <c r="B99" t="s">
        <v>82</v>
      </c>
      <c r="C99" t="s">
        <v>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E Use Difference from Std by Qual Level.xlsx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45">
      <c r="A100" t="s">
        <v>10</v>
      </c>
      <c r="B100" t="s">
        <v>82</v>
      </c>
      <c r="C100" t="s">
        <v>84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45">
      <c r="A101" t="s">
        <v>10</v>
      </c>
      <c r="B101" t="s">
        <v>85</v>
      </c>
      <c r="C101" t="s">
        <v>86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 Perc Eff Impr due to Impr Contractor Edu and Training.xlsx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45">
      <c r="A102" t="s">
        <v>10</v>
      </c>
      <c r="B102" t="s">
        <v>85</v>
      </c>
      <c r="C102" t="s">
        <v>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45">
      <c r="A103" t="s">
        <v>10</v>
      </c>
      <c r="B103" t="s">
        <v>88</v>
      </c>
      <c r="C103" t="s">
        <v>89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Potential Perc Eff Improvement due to Impr Labeling.xlsx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45">
      <c r="A104" t="s">
        <v>10</v>
      </c>
      <c r="B104" t="s">
        <v>88</v>
      </c>
      <c r="C104" t="s">
        <v>90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45">
      <c r="A105" t="s">
        <v>10</v>
      </c>
      <c r="B105" t="s">
        <v>91</v>
      </c>
      <c r="C105" t="s">
        <v>92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Recipient Buildings Fuel Fractions.xlsx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10</v>
      </c>
      <c r="B106" t="s">
        <v>91</v>
      </c>
      <c r="C106" t="s">
        <v>93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45">
      <c r="A107" t="s">
        <v>10</v>
      </c>
      <c r="B107" t="s">
        <v>949</v>
      </c>
      <c r="C107" t="s">
        <v>950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Rebate Perc by Building Component Type.xlsx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45">
      <c r="A108" t="s">
        <v>10</v>
      </c>
      <c r="B108" t="s">
        <v>949</v>
      </c>
      <c r="C108" t="s">
        <v>951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45">
      <c r="A109" t="s">
        <v>10</v>
      </c>
      <c r="B109" t="s">
        <v>952</v>
      </c>
      <c r="C109" t="s">
        <v>953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45">
      <c r="A110" t="s">
        <v>10</v>
      </c>
      <c r="B110" t="s">
        <v>952</v>
      </c>
      <c r="C110" t="s">
        <v>954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45">
      <c r="A111" t="s">
        <v>10</v>
      </c>
      <c r="B111" t="s">
        <v>952</v>
      </c>
      <c r="C111" t="s">
        <v>955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10</v>
      </c>
      <c r="B112" t="s">
        <v>952</v>
      </c>
      <c r="C112" t="s">
        <v>956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45">
      <c r="A113" t="s">
        <v>10</v>
      </c>
      <c r="B113" t="s">
        <v>1169</v>
      </c>
      <c r="C113" t="s">
        <v>1170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/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45">
      <c r="A114" t="s">
        <v>10</v>
      </c>
      <c r="B114" t="s">
        <v>1169</v>
      </c>
      <c r="C114" t="s">
        <v>1171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/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45">
      <c r="A115" t="s">
        <v>10</v>
      </c>
      <c r="B115" t="s">
        <v>94</v>
      </c>
      <c r="C115" t="s">
        <v>95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45">
      <c r="A116" t="s">
        <v>10</v>
      </c>
      <c r="B116" t="s">
        <v>94</v>
      </c>
      <c r="C116" t="s">
        <v>96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10</v>
      </c>
      <c r="B117" t="s">
        <v>1172</v>
      </c>
      <c r="C117" t="s">
        <v>1173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/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45">
      <c r="A118" t="s">
        <v>10</v>
      </c>
      <c r="B118" t="s">
        <v>1172</v>
      </c>
      <c r="C118" t="s">
        <v>1174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/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45">
      <c r="A119" t="s">
        <v>10</v>
      </c>
      <c r="B119" t="s">
        <v>957</v>
      </c>
      <c r="C119" t="s">
        <v>958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45">
      <c r="A120" t="s">
        <v>10</v>
      </c>
      <c r="B120" t="s">
        <v>957</v>
      </c>
      <c r="C120" t="s">
        <v>959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45">
      <c r="A121" t="s">
        <v>10</v>
      </c>
      <c r="B121" t="s">
        <v>957</v>
      </c>
      <c r="C121" t="s">
        <v>960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10</v>
      </c>
      <c r="B122" t="s">
        <v>957</v>
      </c>
      <c r="C122" t="s">
        <v>961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45">
      <c r="A123" t="s">
        <v>10</v>
      </c>
      <c r="B123" t="s">
        <v>962</v>
      </c>
      <c r="C123" t="s">
        <v>963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45">
      <c r="A124" t="s">
        <v>10</v>
      </c>
      <c r="B124" t="s">
        <v>962</v>
      </c>
      <c r="C124" t="s">
        <v>964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97</v>
      </c>
      <c r="B125" t="s">
        <v>907</v>
      </c>
      <c r="C125" t="s">
        <v>908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45">
      <c r="A126" t="s">
        <v>97</v>
      </c>
      <c r="B126" t="s">
        <v>907</v>
      </c>
      <c r="C126" t="s">
        <v>909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45">
      <c r="A127" t="s">
        <v>97</v>
      </c>
      <c r="B127" t="s">
        <v>98</v>
      </c>
      <c r="C127" t="s">
        <v>99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97</v>
      </c>
      <c r="B128" t="s">
        <v>98</v>
      </c>
      <c r="C128" t="s">
        <v>100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97</v>
      </c>
      <c r="B129" t="s">
        <v>98</v>
      </c>
      <c r="C129" t="s">
        <v>101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45">
      <c r="A130" t="s">
        <v>97</v>
      </c>
      <c r="B130" t="s">
        <v>98</v>
      </c>
      <c r="C130" t="s">
        <v>965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97</v>
      </c>
      <c r="B131" t="s">
        <v>910</v>
      </c>
      <c r="C131" t="s">
        <v>911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45">
      <c r="A132" t="s">
        <v>97</v>
      </c>
      <c r="B132" t="s">
        <v>910</v>
      </c>
      <c r="C132" t="s">
        <v>912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97</v>
      </c>
      <c r="B133" t="s">
        <v>910</v>
      </c>
      <c r="C133" t="s">
        <v>913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45">
      <c r="A134" t="s">
        <v>102</v>
      </c>
      <c r="B134" t="s">
        <v>103</v>
      </c>
      <c r="C134" t="s">
        <v>104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45">
      <c r="A135" t="s">
        <v>102</v>
      </c>
      <c r="B135" t="s">
        <v>103</v>
      </c>
      <c r="C135" t="s">
        <v>105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45">
      <c r="A136" t="s">
        <v>102</v>
      </c>
      <c r="B136" t="s">
        <v>966</v>
      </c>
      <c r="C136" t="s">
        <v>967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102</v>
      </c>
      <c r="B137" t="s">
        <v>966</v>
      </c>
      <c r="C137" t="s">
        <v>968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45">
      <c r="A138" t="s">
        <v>1136</v>
      </c>
      <c r="B138" t="s">
        <v>972</v>
      </c>
      <c r="C138" t="s">
        <v>973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1136</v>
      </c>
      <c r="B139" t="s">
        <v>972</v>
      </c>
      <c r="C139" t="s">
        <v>974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914</v>
      </c>
      <c r="B140" t="s">
        <v>474</v>
      </c>
      <c r="C140" t="s">
        <v>475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45">
      <c r="A141" t="s">
        <v>914</v>
      </c>
      <c r="B141" t="s">
        <v>474</v>
      </c>
      <c r="C141" t="s">
        <v>476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45">
      <c r="A142" t="s">
        <v>914</v>
      </c>
      <c r="B142" t="s">
        <v>969</v>
      </c>
      <c r="C142" t="s">
        <v>970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45">
      <c r="A143" t="s">
        <v>914</v>
      </c>
      <c r="B143" t="s">
        <v>969</v>
      </c>
      <c r="C143" t="s">
        <v>971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45">
      <c r="A144" t="s">
        <v>914</v>
      </c>
      <c r="B144" t="s">
        <v>477</v>
      </c>
      <c r="C144" t="s">
        <v>478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45">
      <c r="A145" t="s">
        <v>914</v>
      </c>
      <c r="B145" t="s">
        <v>477</v>
      </c>
      <c r="C145" t="s">
        <v>479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45">
      <c r="A146" t="s">
        <v>914</v>
      </c>
      <c r="B146" t="s">
        <v>915</v>
      </c>
      <c r="C146" t="s">
        <v>480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45">
      <c r="A147" t="s">
        <v>914</v>
      </c>
      <c r="B147" t="s">
        <v>915</v>
      </c>
      <c r="C147" t="s">
        <v>916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45">
      <c r="A148" t="s">
        <v>914</v>
      </c>
      <c r="B148" t="s">
        <v>1208</v>
      </c>
      <c r="C148" t="s">
        <v>1209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/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45">
      <c r="A149" t="s">
        <v>914</v>
      </c>
      <c r="B149" t="s">
        <v>1208</v>
      </c>
      <c r="C149" t="s">
        <v>1210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/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45">
      <c r="A150" t="s">
        <v>914</v>
      </c>
      <c r="B150" t="s">
        <v>481</v>
      </c>
      <c r="C150" t="s">
        <v>482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Include Emissions from Imported Electricity.xlsx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45">
      <c r="A151" t="s">
        <v>914</v>
      </c>
      <c r="B151" t="s">
        <v>481</v>
      </c>
      <c r="C151" t="s">
        <v>483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Include Emissions from Imported Electricity.xlsx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45">
      <c r="A152" t="s">
        <v>914</v>
      </c>
      <c r="B152" t="s">
        <v>484</v>
      </c>
      <c r="C152" t="s">
        <v>485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Boolean Use Twenty Year GWP Values.xlsx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45">
      <c r="A153" t="s">
        <v>914</v>
      </c>
      <c r="B153" t="s">
        <v>484</v>
      </c>
      <c r="C153" t="s">
        <v>486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Boolean Use Twenty Year GWP Values.xlsx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45">
      <c r="A154" t="s">
        <v>914</v>
      </c>
      <c r="B154" t="s">
        <v>917</v>
      </c>
      <c r="C154" t="s">
        <v>918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Elasticity of Sectoral Energy Use wrt Per Capita GDP in Recession.xlsx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45">
      <c r="A155" t="s">
        <v>914</v>
      </c>
      <c r="B155" t="s">
        <v>917</v>
      </c>
      <c r="C155" t="s">
        <v>919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Elasticity of Sectoral Energy Use wrt Per Capita GDP in Recession.xlsx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45">
      <c r="A156" t="s">
        <v>914</v>
      </c>
      <c r="B156" t="s">
        <v>920</v>
      </c>
      <c r="C156" t="s">
        <v>921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45">
      <c r="A157" t="s">
        <v>914</v>
      </c>
      <c r="B157" t="s">
        <v>920</v>
      </c>
      <c r="C157" t="s">
        <v>922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GDP Growth Rates.xlsx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914</v>
      </c>
      <c r="B158" t="s">
        <v>920</v>
      </c>
      <c r="C158" t="s">
        <v>923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GDP Growth Rates.xlsx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45">
      <c r="A159" t="s">
        <v>914</v>
      </c>
      <c r="B159" t="s">
        <v>1039</v>
      </c>
      <c r="C159" t="s">
        <v>1040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45">
      <c r="A160" t="s">
        <v>914</v>
      </c>
      <c r="B160" t="s">
        <v>1039</v>
      </c>
      <c r="C160" t="s">
        <v>1117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914</v>
      </c>
      <c r="B161" t="s">
        <v>1039</v>
      </c>
      <c r="C161" t="s">
        <v>1118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914</v>
      </c>
      <c r="B162" t="s">
        <v>1039</v>
      </c>
      <c r="C162" t="s">
        <v>1119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914</v>
      </c>
      <c r="B163" t="s">
        <v>1039</v>
      </c>
      <c r="C163" t="s">
        <v>1120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914</v>
      </c>
      <c r="B164" t="s">
        <v>1039</v>
      </c>
      <c r="C164" t="s">
        <v>1121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914</v>
      </c>
      <c r="B165" t="s">
        <v>1039</v>
      </c>
      <c r="C165" t="s">
        <v>1122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45">
      <c r="A166" t="s">
        <v>914</v>
      </c>
      <c r="B166" t="s">
        <v>1039</v>
      </c>
      <c r="C166" t="s">
        <v>1123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914</v>
      </c>
      <c r="B167" t="s">
        <v>1039</v>
      </c>
      <c r="C167" t="s">
        <v>1124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45">
      <c r="A168" t="s">
        <v>914</v>
      </c>
      <c r="B168" t="s">
        <v>1039</v>
      </c>
      <c r="C168" t="s">
        <v>1125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1139</v>
      </c>
      <c r="B169" t="s">
        <v>972</v>
      </c>
      <c r="C169" t="s">
        <v>973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45">
      <c r="A170" t="s">
        <v>1139</v>
      </c>
      <c r="B170" t="s">
        <v>972</v>
      </c>
      <c r="C170" t="s">
        <v>974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Quantization Size for Pollutants.xlsx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45">
      <c r="A171" t="s">
        <v>106</v>
      </c>
      <c r="B171" t="s">
        <v>107</v>
      </c>
      <c r="C171" t="s">
        <v>108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BAU Fraction of Heat from CHP.xlsx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106</v>
      </c>
      <c r="B172" t="s">
        <v>107</v>
      </c>
      <c r="C172" t="s">
        <v>109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Fraction of Heat from CHP.xlsx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106</v>
      </c>
      <c r="B173" t="s">
        <v>110</v>
      </c>
      <c r="C173" t="s">
        <v>111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BAU Frac of Heat Provided by Fuel.xlsx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45">
      <c r="A174" t="s">
        <v>106</v>
      </c>
      <c r="B174" t="s">
        <v>110</v>
      </c>
      <c r="C174" t="s">
        <v>112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BAU Frac of Heat Provided by Fuel.xlsx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45">
      <c r="A175" t="s">
        <v>106</v>
      </c>
      <c r="B175" t="s">
        <v>113</v>
      </c>
      <c r="C175" t="s">
        <v>114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Efficiency of Conversion to Usable Heat.xlsx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45">
      <c r="A176" t="s">
        <v>106</v>
      </c>
      <c r="B176" t="s">
        <v>113</v>
      </c>
      <c r="C176" t="s">
        <v>115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Efficiency of Conversion to Usable Heat.xlsx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45">
      <c r="A177" t="s">
        <v>106</v>
      </c>
      <c r="B177" t="s">
        <v>116</v>
      </c>
      <c r="C177" t="s">
        <v>117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Recipient Heat Fuel Fractions.xlsx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45">
      <c r="A178" t="s">
        <v>106</v>
      </c>
      <c r="B178" t="s">
        <v>116</v>
      </c>
      <c r="C178" t="s">
        <v>118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Recipient Heat Fuel Fractions.xlsx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45">
      <c r="A179" t="s">
        <v>119</v>
      </c>
      <c r="B179" t="s">
        <v>1138</v>
      </c>
      <c r="G179" t="str">
        <f t="shared" si="4"/>
        <v/>
      </c>
      <c r="H179" s="5" t="str">
        <f>IFERROR(IF(B179="FoPITY",INDEX(Customizations!$C$2:$C$19,MATCH(Sheet1!C179,Customizations!$B$2:$B$19,0),1),INDEX(About!C:C,MATCH(Sheet1!B179,About!B:B,0),1)),"")</f>
        <v/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45">
      <c r="A180" t="s">
        <v>119</v>
      </c>
      <c r="B180" t="s">
        <v>120</v>
      </c>
      <c r="C180" t="s">
        <v>121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Ann Ret per Unit Inc in Relative Cost.xlsx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119</v>
      </c>
      <c r="B181" t="s">
        <v>120</v>
      </c>
      <c r="C181" t="s">
        <v>122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Ann Ret per Unit Inc in Relative Cost.xlsx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119</v>
      </c>
      <c r="B182" t="s">
        <v>123</v>
      </c>
      <c r="C182" t="s">
        <v>124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Battery Cost per Unit Cap.xlsx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45">
      <c r="A183" t="s">
        <v>119</v>
      </c>
      <c r="B183" t="s">
        <v>123</v>
      </c>
      <c r="C183" t="s">
        <v>975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Battery Cost per Unit Cap.xlsx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45">
      <c r="A184" t="s">
        <v>119</v>
      </c>
      <c r="B184" t="s">
        <v>123</v>
      </c>
      <c r="C184" t="s">
        <v>125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Battery Cost per Unit Cap.xlsx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45">
      <c r="A185" t="s">
        <v>119</v>
      </c>
      <c r="B185" t="s">
        <v>126</v>
      </c>
      <c r="C185" t="s">
        <v>1138</v>
      </c>
      <c r="G185" t="str">
        <f t="shared" si="4"/>
        <v>tore</v>
      </c>
      <c r="H185" s="5" t="str">
        <f>IFERROR(IF(B185="FoPITY",INDEX(Customizations!$C$2:$C$19,MATCH(Sheet1!C185,Customizations!$B$2:$B$19,0),1),INDEX(About!C:C,MATCH(Sheet1!B185,About!B:B,0),1)),"")</f>
        <v>BAU Cap Retirements before Quantization.xlsx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45">
      <c r="A186" t="s">
        <v>119</v>
      </c>
      <c r="B186" t="s">
        <v>126</v>
      </c>
      <c r="C186" t="s">
        <v>127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Cap Retirements before Quantization.xlsx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45">
      <c r="A187" t="s">
        <v>119</v>
      </c>
      <c r="B187" t="s">
        <v>126</v>
      </c>
      <c r="C187" t="s">
        <v>128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Cap Retirements before Quantization.xlsx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119</v>
      </c>
      <c r="B188" t="s">
        <v>129</v>
      </c>
      <c r="C188" t="s">
        <v>130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Dispatch Priority by Elec Source.xlsx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119</v>
      </c>
      <c r="B189" t="s">
        <v>129</v>
      </c>
      <c r="C189" t="s">
        <v>131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Dispatch Priority by Elec Source.xlsx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45">
      <c r="A190" t="s">
        <v>119</v>
      </c>
      <c r="B190" t="s">
        <v>132</v>
      </c>
      <c r="C190" t="s">
        <v>133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Do Suppliers Bid at Peak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45">
      <c r="A191" t="s">
        <v>119</v>
      </c>
      <c r="B191" t="s">
        <v>132</v>
      </c>
      <c r="C191" t="s">
        <v>134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Do Suppliers Bid at Peak Capacity Factors.xlsx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45">
      <c r="A192" t="s">
        <v>119</v>
      </c>
      <c r="B192" t="s">
        <v>135</v>
      </c>
      <c r="C192" t="s">
        <v>136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119</v>
      </c>
      <c r="B193" t="s">
        <v>135</v>
      </c>
      <c r="C193" t="s">
        <v>137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Expected Capacity Factors.xlsx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119</v>
      </c>
      <c r="B194" t="s">
        <v>135</v>
      </c>
      <c r="C194" t="s">
        <v>138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Expected Capacity Factors.xlsx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45">
      <c r="A195" t="s">
        <v>119</v>
      </c>
      <c r="B195" t="s">
        <v>135</v>
      </c>
      <c r="C195" t="s">
        <v>139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Expected Capacity Factors.xlsx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45">
      <c r="A196" t="s">
        <v>119</v>
      </c>
      <c r="B196" t="s">
        <v>140</v>
      </c>
      <c r="C196" t="s">
        <v>141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BAU Generation Capacity Lifetime.xlsx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45">
      <c r="A197" t="s">
        <v>119</v>
      </c>
      <c r="B197" t="s">
        <v>140</v>
      </c>
      <c r="C197" t="s">
        <v>142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Generation Capacity Lifetime.xlsx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45">
      <c r="A198" t="s">
        <v>119</v>
      </c>
      <c r="B198" t="s">
        <v>143</v>
      </c>
      <c r="C198" t="s">
        <v>144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Guaranteed Dispatch Perc by Elec Source.xlsx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45">
      <c r="A199" t="s">
        <v>119</v>
      </c>
      <c r="B199" t="s">
        <v>143</v>
      </c>
      <c r="C199" t="s">
        <v>145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BAU Guaranteed Dispatch Perc by Elec Source.xlsx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45">
      <c r="A200" t="s">
        <v>119</v>
      </c>
      <c r="B200" t="s">
        <v>146</v>
      </c>
      <c r="C200" t="s">
        <v>147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Heat Rate by Electricity Fuel.xlsx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45">
      <c r="A201" t="s">
        <v>119</v>
      </c>
      <c r="B201" t="s">
        <v>146</v>
      </c>
      <c r="C201" t="s">
        <v>148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Heat Rate by Electricity Fuel.xlsx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45">
      <c r="A202" t="s">
        <v>119</v>
      </c>
      <c r="B202" t="s">
        <v>149</v>
      </c>
      <c r="C202" t="s">
        <v>150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Peaking and Flexibility Flags.xlsx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45">
      <c r="A203" t="s">
        <v>119</v>
      </c>
      <c r="B203" t="s">
        <v>149</v>
      </c>
      <c r="C203" t="s">
        <v>151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Peaking and Flexibility Flags.xlsx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45">
      <c r="A204" t="s">
        <v>119</v>
      </c>
      <c r="B204" t="s">
        <v>149</v>
      </c>
      <c r="C204" t="s">
        <v>152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Peaking and Flexibility Flags.xlsx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119</v>
      </c>
      <c r="B205" t="s">
        <v>153</v>
      </c>
      <c r="C205" t="s">
        <v>154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Pumped Hydro Cap.xlsx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119</v>
      </c>
      <c r="B206" t="s">
        <v>153</v>
      </c>
      <c r="C206" t="s">
        <v>155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Pumped Hydro Cap.xlsx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119</v>
      </c>
      <c r="B207" t="s">
        <v>156</v>
      </c>
      <c r="C207" t="s">
        <v>1138</v>
      </c>
      <c r="G207" t="str">
        <f t="shared" si="6"/>
        <v>tore</v>
      </c>
      <c r="H207" s="5" t="str">
        <f>IFERROR(IF(B207="FoPITY",INDEX(Customizations!$C$2:$C$19,MATCH(Sheet1!C207,Customizations!$B$2:$B$19,0),1),INDEX(About!C:C,MATCH(Sheet1!B207,About!B:B,0),1)),"")</f>
        <v>BAU Pol Mandated Cap Const Sched.xlsx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45">
      <c r="A208" t="s">
        <v>119</v>
      </c>
      <c r="B208" t="s">
        <v>156</v>
      </c>
      <c r="C208" t="s">
        <v>157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Pol Mandated Cap Const Sched.xlsx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45">
      <c r="A209" t="s">
        <v>119</v>
      </c>
      <c r="B209" t="s">
        <v>156</v>
      </c>
      <c r="C209" t="s">
        <v>158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Pol Mandated Cap Const Sched.xlsx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45">
      <c r="A210" t="s">
        <v>119</v>
      </c>
      <c r="B210" t="s">
        <v>159</v>
      </c>
      <c r="C210" t="s">
        <v>160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RPS Percentage This Year.xlsx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45">
      <c r="A211" t="s">
        <v>119</v>
      </c>
      <c r="B211" t="s">
        <v>159</v>
      </c>
      <c r="C211" t="s">
        <v>161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RPS Percentage This Year.xlsx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119</v>
      </c>
      <c r="B212" t="s">
        <v>162</v>
      </c>
      <c r="C212" t="s">
        <v>163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Trans and Distr Loss Perc.xlsx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45">
      <c r="A213" t="s">
        <v>119</v>
      </c>
      <c r="B213" t="s">
        <v>162</v>
      </c>
      <c r="C213" t="s">
        <v>164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Trans and Distr Loss Perc.xlsx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119</v>
      </c>
      <c r="B214" t="s">
        <v>165</v>
      </c>
      <c r="C214" t="s">
        <v>166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Transmission Capacity.xlsx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45">
      <c r="A215" t="s">
        <v>119</v>
      </c>
      <c r="B215" t="s">
        <v>165</v>
      </c>
      <c r="C215" t="s">
        <v>167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Transmission Capacity.xlsx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119</v>
      </c>
      <c r="B216" t="s">
        <v>168</v>
      </c>
      <c r="C216" t="s">
        <v>1138</v>
      </c>
      <c r="G216" t="str">
        <f t="shared" si="6"/>
        <v>tore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45">
      <c r="A217" t="s">
        <v>119</v>
      </c>
      <c r="B217" t="s">
        <v>168</v>
      </c>
      <c r="C217" t="s">
        <v>169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45">
      <c r="A218" t="s">
        <v>119</v>
      </c>
      <c r="B218" t="s">
        <v>168</v>
      </c>
      <c r="C218" t="s">
        <v>170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119</v>
      </c>
      <c r="B219" t="s">
        <v>168</v>
      </c>
      <c r="C219" t="s">
        <v>171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119</v>
      </c>
      <c r="B220" t="s">
        <v>168</v>
      </c>
      <c r="C220" t="s">
        <v>1041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119</v>
      </c>
      <c r="B221" t="s">
        <v>168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Capacity Construction and Maint Costs.xlsx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119</v>
      </c>
      <c r="B222" t="s">
        <v>173</v>
      </c>
      <c r="C222" t="s">
        <v>174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Decommissioning Cost per Unit Cap.xlsx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45">
      <c r="A223" t="s">
        <v>119</v>
      </c>
      <c r="B223" t="s">
        <v>173</v>
      </c>
      <c r="C223" t="s">
        <v>175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Decommissioning Cost per Unit Cap.xlsx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45">
      <c r="A224" t="s">
        <v>119</v>
      </c>
      <c r="B224" t="s">
        <v>176</v>
      </c>
      <c r="C224" t="s">
        <v>177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Dispatch Priority by Elec Source.xlsx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45">
      <c r="A225" t="s">
        <v>119</v>
      </c>
      <c r="B225" t="s">
        <v>176</v>
      </c>
      <c r="C225" t="s">
        <v>178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Dispatch Priority by Elec Source.xlsx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45">
      <c r="A226" t="s">
        <v>119</v>
      </c>
      <c r="B226" t="s">
        <v>179</v>
      </c>
      <c r="C226" t="s">
        <v>180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45">
      <c r="A227" t="s">
        <v>119</v>
      </c>
      <c r="B227" t="s">
        <v>179</v>
      </c>
      <c r="C227" t="s">
        <v>181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Capacity.xlsx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45">
      <c r="A228" t="s">
        <v>119</v>
      </c>
      <c r="B228" t="s">
        <v>179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Capacity.xlsx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119</v>
      </c>
      <c r="B229" t="s">
        <v>183</v>
      </c>
      <c r="C229" t="s">
        <v>184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45">
      <c r="A230" t="s">
        <v>119</v>
      </c>
      <c r="B230" t="s">
        <v>183</v>
      </c>
      <c r="C230" t="s">
        <v>185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Demand Response Costs.xlsx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45">
      <c r="A231" t="s">
        <v>119</v>
      </c>
      <c r="B231" t="s">
        <v>183</v>
      </c>
      <c r="C231" t="s">
        <v>186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Costs.xlsx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119</v>
      </c>
      <c r="B232" t="s">
        <v>187</v>
      </c>
      <c r="C232" t="s">
        <v>1138</v>
      </c>
      <c r="G232" t="str">
        <f t="shared" si="6"/>
        <v>tore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45">
      <c r="A233" t="s">
        <v>119</v>
      </c>
      <c r="B233" t="s">
        <v>187</v>
      </c>
      <c r="C233" t="s">
        <v>188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119</v>
      </c>
      <c r="B234" t="s">
        <v>187</v>
      </c>
      <c r="C234" t="s">
        <v>976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119</v>
      </c>
      <c r="B235" t="s">
        <v>187</v>
      </c>
      <c r="C235" t="s">
        <v>189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119</v>
      </c>
      <c r="B236" t="s">
        <v>187</v>
      </c>
      <c r="C236" t="s">
        <v>977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119</v>
      </c>
      <c r="B237" t="s">
        <v>187</v>
      </c>
      <c r="C237" t="s">
        <v>190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Elec Imports and Exports.xlsx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45">
      <c r="A238" t="s">
        <v>119</v>
      </c>
      <c r="B238" t="s">
        <v>1042</v>
      </c>
      <c r="C238" t="s">
        <v>1043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45">
      <c r="A239" t="s">
        <v>119</v>
      </c>
      <c r="B239" t="s">
        <v>1042</v>
      </c>
      <c r="C239" t="s">
        <v>1044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119</v>
      </c>
      <c r="B240" t="s">
        <v>1042</v>
      </c>
      <c r="C240" t="s">
        <v>1045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119</v>
      </c>
      <c r="B241" t="s">
        <v>1042</v>
      </c>
      <c r="C241" t="s">
        <v>1046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45">
      <c r="A242" t="s">
        <v>119</v>
      </c>
      <c r="B242" t="s">
        <v>1042</v>
      </c>
      <c r="C242" t="s">
        <v>1047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Equipment Load Factors.xlsx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119</v>
      </c>
      <c r="B243" t="s">
        <v>871</v>
      </c>
      <c r="C243" t="s">
        <v>872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Elasticity of Power Plant Fuel Type Shifting wrt Fuel Price.xlsx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45">
      <c r="A244" t="s">
        <v>119</v>
      </c>
      <c r="B244" t="s">
        <v>871</v>
      </c>
      <c r="C244" t="s">
        <v>873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Elasticity of Power Plant Fuel Type Shifting wrt Fuel Price.xlsx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45">
      <c r="A245" t="s">
        <v>119</v>
      </c>
      <c r="B245" t="s">
        <v>929</v>
      </c>
      <c r="C245" t="s">
        <v>930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Elasticity of TCC wrt Transmission Capacity.xlsx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45">
      <c r="A246" t="s">
        <v>119</v>
      </c>
      <c r="B246" t="s">
        <v>929</v>
      </c>
      <c r="C246" t="s">
        <v>931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Elasticity of TCC wrt Transmission Capacity.xlsx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45">
      <c r="A247" t="s">
        <v>119</v>
      </c>
      <c r="B247" t="s">
        <v>191</v>
      </c>
      <c r="C247" t="s">
        <v>192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119</v>
      </c>
      <c r="B248" t="s">
        <v>191</v>
      </c>
      <c r="C248" t="s">
        <v>193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Frac of TCAMRB that Provides Flexibility.xlsx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45">
      <c r="A249" t="s">
        <v>119</v>
      </c>
      <c r="B249" t="s">
        <v>194</v>
      </c>
      <c r="C249" t="s">
        <v>195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45">
      <c r="A250" t="s">
        <v>119</v>
      </c>
      <c r="B250" t="s">
        <v>194</v>
      </c>
      <c r="C250" t="s">
        <v>196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119</v>
      </c>
      <c r="B251" t="s">
        <v>194</v>
      </c>
      <c r="C251" t="s">
        <v>197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45">
      <c r="A252" t="s">
        <v>119</v>
      </c>
      <c r="B252" t="s">
        <v>194</v>
      </c>
      <c r="C252" t="s">
        <v>198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119</v>
      </c>
      <c r="B253" t="s">
        <v>194</v>
      </c>
      <c r="C253" t="s">
        <v>199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119</v>
      </c>
      <c r="B254" t="s">
        <v>194</v>
      </c>
      <c r="C254" t="s">
        <v>200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119</v>
      </c>
      <c r="B255" t="s">
        <v>194</v>
      </c>
      <c r="C255" t="s">
        <v>201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119</v>
      </c>
      <c r="B256" t="s">
        <v>194</v>
      </c>
      <c r="C256" t="s">
        <v>202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119</v>
      </c>
      <c r="B257" t="s">
        <v>194</v>
      </c>
      <c r="C257" t="s">
        <v>203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119</v>
      </c>
      <c r="B258" t="s">
        <v>194</v>
      </c>
      <c r="C258" t="s">
        <v>204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119</v>
      </c>
      <c r="B259" t="s">
        <v>194</v>
      </c>
      <c r="C259" t="s">
        <v>205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119</v>
      </c>
      <c r="B260" t="s">
        <v>194</v>
      </c>
      <c r="C260" t="s">
        <v>903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119</v>
      </c>
      <c r="B261" t="s">
        <v>194</v>
      </c>
      <c r="C261" t="s">
        <v>206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45">
      <c r="A262" t="s">
        <v>119</v>
      </c>
      <c r="B262" t="s">
        <v>207</v>
      </c>
      <c r="C262" t="s">
        <v>208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45">
      <c r="A263" t="s">
        <v>119</v>
      </c>
      <c r="B263" t="s">
        <v>207</v>
      </c>
      <c r="C263" t="s">
        <v>209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Points Consumed by Source.xlsx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45">
      <c r="A264" t="s">
        <v>119</v>
      </c>
      <c r="B264" t="s">
        <v>874</v>
      </c>
      <c r="C264" t="s">
        <v>875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119</v>
      </c>
      <c r="B265" t="s">
        <v>874</v>
      </c>
      <c r="C265" t="s">
        <v>876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Fuel Shifting Cost as Frac of Const Cost.xlsx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45">
      <c r="A266" t="s">
        <v>119</v>
      </c>
      <c r="B266" t="s">
        <v>1175</v>
      </c>
      <c r="C266" t="s">
        <v>1138</v>
      </c>
      <c r="G266" t="str">
        <f t="shared" si="8"/>
        <v>tore</v>
      </c>
      <c r="H266" s="5" t="str">
        <f>IFERROR(IF(B266="FoPITY",INDEX(Customizations!$C$2:$C$19,MATCH(Sheet1!C266,Customizations!$B$2:$B$19,0),1),INDEX(About!C:C,MATCH(Sheet1!B266,About!B:B,0),1)),"")</f>
        <v/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45">
      <c r="A267" t="s">
        <v>119</v>
      </c>
      <c r="B267" t="s">
        <v>1175</v>
      </c>
      <c r="C267" t="s">
        <v>268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/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45">
      <c r="A268" t="s">
        <v>119</v>
      </c>
      <c r="B268" t="s">
        <v>1175</v>
      </c>
      <c r="C268" t="s">
        <v>1176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/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45">
      <c r="A269" t="s">
        <v>119</v>
      </c>
      <c r="B269" t="s">
        <v>1175</v>
      </c>
      <c r="C269" t="s">
        <v>1177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/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45">
      <c r="A270" t="s">
        <v>119</v>
      </c>
      <c r="B270" t="s">
        <v>1175</v>
      </c>
      <c r="C270" t="s">
        <v>983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/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45">
      <c r="A271" t="s">
        <v>119</v>
      </c>
      <c r="B271" t="s">
        <v>210</v>
      </c>
      <c r="C271" t="s">
        <v>211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Guaranteed Dispatch Perc by Elec Source.xlsx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119</v>
      </c>
      <c r="B272" t="s">
        <v>210</v>
      </c>
      <c r="C272" t="s">
        <v>212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Guaranteed Dispatch Perc by Elec Source.xlsx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119</v>
      </c>
      <c r="B273" t="s">
        <v>213</v>
      </c>
      <c r="C273" t="s">
        <v>214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Max Cap Growth Lookup Table.xlsx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45">
      <c r="A274" t="s">
        <v>119</v>
      </c>
      <c r="B274" t="s">
        <v>213</v>
      </c>
      <c r="C274" t="s">
        <v>215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Max Cap Growth Lookup Table.xlsx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45">
      <c r="A275" t="s">
        <v>119</v>
      </c>
      <c r="B275" t="s">
        <v>216</v>
      </c>
      <c r="C275" t="s">
        <v>217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Max Potential Capacity by Source.xlsx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45">
      <c r="A276" t="s">
        <v>119</v>
      </c>
      <c r="B276" t="s">
        <v>216</v>
      </c>
      <c r="C276" t="s">
        <v>218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Max Potential Capacity by Source.xlsx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119</v>
      </c>
      <c r="B277" t="s">
        <v>219</v>
      </c>
      <c r="C277" t="s">
        <v>220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Minimum Power Plant Capacity.xlsx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45">
      <c r="A278" t="s">
        <v>119</v>
      </c>
      <c r="B278" t="s">
        <v>219</v>
      </c>
      <c r="C278" t="s">
        <v>221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Minimum Power Plant Capacity.xlsx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45">
      <c r="A279" t="s">
        <v>119</v>
      </c>
      <c r="B279" t="s">
        <v>222</v>
      </c>
      <c r="C279" t="s">
        <v>223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Nonfuel GHG Emis per Unit Output.xlsx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45">
      <c r="A280" t="s">
        <v>119</v>
      </c>
      <c r="B280" t="s">
        <v>222</v>
      </c>
      <c r="C280" t="s">
        <v>224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Nonfuel GHG Emis per Unit Output.xlsx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45">
      <c r="A281" t="s">
        <v>119</v>
      </c>
      <c r="B281" t="s">
        <v>225</v>
      </c>
      <c r="C281" t="s">
        <v>226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Normalized Standard Deviation of Dispatch Costs.xlsx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119</v>
      </c>
      <c r="B282" t="s">
        <v>225</v>
      </c>
      <c r="C282" t="s">
        <v>227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Normalized Standard Deviation of Dispatch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119</v>
      </c>
      <c r="B283" t="s">
        <v>228</v>
      </c>
      <c r="C283" t="s">
        <v>229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Norm St Dev of New Cap Costs.xlsx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119</v>
      </c>
      <c r="B284" t="s">
        <v>228</v>
      </c>
      <c r="C284" t="s">
        <v>230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Norm St Dev of New Cap Costs.xlsx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45">
      <c r="A285" t="s">
        <v>119</v>
      </c>
      <c r="B285" t="s">
        <v>231</v>
      </c>
      <c r="C285" t="s">
        <v>232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Pol Mandated Cap Const Sched.xlsx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45">
      <c r="A286" t="s">
        <v>119</v>
      </c>
      <c r="B286" t="s">
        <v>231</v>
      </c>
      <c r="C286" t="s">
        <v>233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Pol Mandated Cap Const Sched.xlsx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119</v>
      </c>
      <c r="B287" t="s">
        <v>234</v>
      </c>
      <c r="C287" t="s">
        <v>235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Peak Time Capacity Factors.xlsx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45">
      <c r="A288" t="s">
        <v>119</v>
      </c>
      <c r="B288" t="s">
        <v>234</v>
      </c>
      <c r="C288" t="s">
        <v>236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Peak Time Capacity Factors.xlsx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119</v>
      </c>
      <c r="B289" t="s">
        <v>237</v>
      </c>
      <c r="C289" t="s">
        <v>238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Reserve Margin.xlsx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45">
      <c r="A290" t="s">
        <v>119</v>
      </c>
      <c r="B290" t="s">
        <v>237</v>
      </c>
      <c r="C290" t="s">
        <v>239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Reserve Margin.xlsx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119</v>
      </c>
      <c r="B291" t="s">
        <v>240</v>
      </c>
      <c r="C291" t="s">
        <v>241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RPS Qualifying Source Definitions.xlsx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45">
      <c r="A292" t="s">
        <v>119</v>
      </c>
      <c r="B292" t="s">
        <v>240</v>
      </c>
      <c r="C292" t="s">
        <v>242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RPS Qualifying Source Definitions.xlsx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119</v>
      </c>
      <c r="B293" t="s">
        <v>240</v>
      </c>
      <c r="C293" t="s">
        <v>243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RPS Qualifying Source Definitions.xlsx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119</v>
      </c>
      <c r="B294" t="s">
        <v>978</v>
      </c>
      <c r="C294" t="s">
        <v>979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Share of Electricity Sector Capital and OM Costs by ISIC Code.xlsx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45">
      <c r="A295" t="s">
        <v>119</v>
      </c>
      <c r="B295" t="s">
        <v>978</v>
      </c>
      <c r="C295" t="s">
        <v>980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Share of Electricity Sector Capital and OM Costs by ISIC Code.xlsx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119</v>
      </c>
      <c r="B296" t="s">
        <v>978</v>
      </c>
      <c r="C296" t="s">
        <v>981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Share of Electricity Sector Capital and OM Costs by ISIC Code.xlsx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119</v>
      </c>
      <c r="B297" t="s">
        <v>978</v>
      </c>
      <c r="C297" t="s">
        <v>982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Share of Electricity Sector Capital and OM Costs by ISIC Code.xlsx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119</v>
      </c>
      <c r="B298" t="s">
        <v>244</v>
      </c>
      <c r="C298" t="s">
        <v>245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Start Year Capacities.xlsx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45">
      <c r="A299" t="s">
        <v>119</v>
      </c>
      <c r="B299" t="s">
        <v>244</v>
      </c>
      <c r="C299" t="s">
        <v>246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Start Year Capacities.xlsx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45">
      <c r="A300" t="s">
        <v>119</v>
      </c>
      <c r="B300" t="s">
        <v>244</v>
      </c>
      <c r="C300" t="s">
        <v>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Start Year Capacities.xlsx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119</v>
      </c>
      <c r="B301" t="s">
        <v>248</v>
      </c>
      <c r="C301" t="s">
        <v>249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Trans Cap Across Modeled Region Border.xlsx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45">
      <c r="A302" t="s">
        <v>119</v>
      </c>
      <c r="B302" t="s">
        <v>248</v>
      </c>
      <c r="C302" t="s">
        <v>250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Trans Cap Across Modeled Region Border.xlsx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45">
      <c r="A303" t="s">
        <v>119</v>
      </c>
      <c r="B303" t="s">
        <v>251</v>
      </c>
      <c r="C303" t="s">
        <v>252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Trans Const Cost per Unit Cap Dist.xlsx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119</v>
      </c>
      <c r="B304" t="s">
        <v>251</v>
      </c>
      <c r="C304" t="s">
        <v>253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Trans Const Cost per Unit Cap Dist.xlsx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45">
      <c r="A305" t="s">
        <v>119</v>
      </c>
      <c r="B305" t="s">
        <v>254</v>
      </c>
      <c r="C305" t="s">
        <v>255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45">
      <c r="A306" t="s">
        <v>119</v>
      </c>
      <c r="B306" t="s">
        <v>254</v>
      </c>
      <c r="C306" t="s">
        <v>256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Water Use by Power Plant Type.xlsx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119</v>
      </c>
      <c r="B307" t="s">
        <v>254</v>
      </c>
      <c r="C307" t="s">
        <v>257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Water Use by Power Plant Type.xlsx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45">
      <c r="A308" t="s">
        <v>258</v>
      </c>
      <c r="B308" t="s">
        <v>259</v>
      </c>
      <c r="C308" t="s">
        <v>260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45">
      <c r="A309" t="s">
        <v>258</v>
      </c>
      <c r="B309" t="s">
        <v>259</v>
      </c>
      <c r="C309" t="s">
        <v>261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Battery Cap by Veh Type.xlsx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258</v>
      </c>
      <c r="B310" t="s">
        <v>259</v>
      </c>
      <c r="C310" t="s">
        <v>262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Battery Cap by Veh Type.xlsx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45">
      <c r="A311" t="s">
        <v>258</v>
      </c>
      <c r="B311" t="s">
        <v>263</v>
      </c>
      <c r="C311" t="s">
        <v>264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CO2 Sequestered Globally.xlsx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45">
      <c r="A312" t="s">
        <v>258</v>
      </c>
      <c r="B312" t="s">
        <v>263</v>
      </c>
      <c r="C312" t="s">
        <v>265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CO2 Sequestered Globally.xlsx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45">
      <c r="A313" t="s">
        <v>258</v>
      </c>
      <c r="B313" t="s">
        <v>266</v>
      </c>
      <c r="C313" t="s">
        <v>267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Global Battery Storage Cap.xlsx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45">
      <c r="A314" t="s">
        <v>258</v>
      </c>
      <c r="B314" t="s">
        <v>266</v>
      </c>
      <c r="C314" t="s">
        <v>268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Global Battery Storage Cap.xlsx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45">
      <c r="A315" t="s">
        <v>258</v>
      </c>
      <c r="B315" t="s">
        <v>269</v>
      </c>
      <c r="C315" t="s">
        <v>270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Global Solar and Wind Cap.xlsx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45">
      <c r="A316" t="s">
        <v>258</v>
      </c>
      <c r="B316" t="s">
        <v>269</v>
      </c>
      <c r="C316" t="s">
        <v>271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Global Solar and Wind Cap.xlsx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258</v>
      </c>
      <c r="B317" t="s">
        <v>984</v>
      </c>
      <c r="C317" t="s">
        <v>985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Frac of Tech Outside Modeled Region Affecting Endo Learning.xlsx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45">
      <c r="A318" t="s">
        <v>258</v>
      </c>
      <c r="B318" t="s">
        <v>984</v>
      </c>
      <c r="C318" t="s">
        <v>986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Frac of Tech Outside Modeled Region Affecting Endo Learning.xlsx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45">
      <c r="A319" t="s">
        <v>258</v>
      </c>
      <c r="B319" t="s">
        <v>272</v>
      </c>
      <c r="C319" t="s">
        <v>273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Grid Battery Energy to Power Ratio.xlsx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45">
      <c r="A320" t="s">
        <v>258</v>
      </c>
      <c r="B320" t="s">
        <v>272</v>
      </c>
      <c r="C320" t="s">
        <v>274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Grid Battery Energy to Power Ratio.xlsx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45">
      <c r="A321" t="s">
        <v>258</v>
      </c>
      <c r="B321" t="s">
        <v>275</v>
      </c>
      <c r="C321" t="s">
        <v>276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Battery Cost per Doubling of Cap.xlsx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45">
      <c r="A322" t="s">
        <v>258</v>
      </c>
      <c r="B322" t="s">
        <v>275</v>
      </c>
      <c r="C322" t="s">
        <v>277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Battery Cost per Doubling of Cap.xlsx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45">
      <c r="A323" t="s">
        <v>258</v>
      </c>
      <c r="B323" t="s">
        <v>278</v>
      </c>
      <c r="C323" t="s">
        <v>279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Perc Decline in Cap Cost per Doubling of Cap.xlsx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45">
      <c r="A324" t="s">
        <v>258</v>
      </c>
      <c r="B324" t="s">
        <v>278</v>
      </c>
      <c r="C324" t="s">
        <v>280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Perc Decline in Cap Cost per Doubling of Cap.xlsx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45">
      <c r="A325" t="s">
        <v>258</v>
      </c>
      <c r="B325" t="s">
        <v>281</v>
      </c>
      <c r="C325" t="s">
        <v>282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Perc Decline in CCS Eqpt Cost per Doubling of Capacity.xlsx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258</v>
      </c>
      <c r="B326" t="s">
        <v>281</v>
      </c>
      <c r="C326" t="s">
        <v>283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Perc Decline in CCS Eqpt Cost per Doubling of Capacity.xlsx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45">
      <c r="A327" t="s">
        <v>284</v>
      </c>
      <c r="B327" t="s">
        <v>1138</v>
      </c>
      <c r="G327" t="str">
        <f t="shared" si="10"/>
        <v/>
      </c>
      <c r="H327" s="5" t="str">
        <f>IFERROR(IF(B327="FoPITY",INDEX(Customizations!$C$2:$C$19,MATCH(Sheet1!C327,Customizations!$B$2:$B$19,0),1),INDEX(About!C:C,MATCH(Sheet1!B327,About!B:B,0),1)),"")</f>
        <v/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45">
      <c r="A328" t="s">
        <v>284</v>
      </c>
      <c r="B328" t="s">
        <v>1048</v>
      </c>
      <c r="C328" t="s">
        <v>1049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Carbon Tax Rate.xlsx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45">
      <c r="A329" t="s">
        <v>284</v>
      </c>
      <c r="B329" t="s">
        <v>1048</v>
      </c>
      <c r="C329" t="s">
        <v>1050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Carbon Tax Rate.xlsx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284</v>
      </c>
      <c r="B330" t="s">
        <v>1140</v>
      </c>
      <c r="C330" t="s">
        <v>1141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45">
      <c r="A331" t="s">
        <v>284</v>
      </c>
      <c r="B331" t="s">
        <v>1140</v>
      </c>
      <c r="C331" t="s">
        <v>1142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284</v>
      </c>
      <c r="B332" t="s">
        <v>1140</v>
      </c>
      <c r="C332" t="s">
        <v>1143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284</v>
      </c>
      <c r="B333" t="s">
        <v>1140</v>
      </c>
      <c r="C333" t="s">
        <v>1144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284</v>
      </c>
      <c r="B334" t="s">
        <v>1140</v>
      </c>
      <c r="C334" t="s">
        <v>1145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284</v>
      </c>
      <c r="B335" t="s">
        <v>1140</v>
      </c>
      <c r="C335" t="s">
        <v>1146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284</v>
      </c>
      <c r="B336" t="s">
        <v>1140</v>
      </c>
      <c r="C336" t="s">
        <v>1147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284</v>
      </c>
      <c r="B337" t="s">
        <v>1140</v>
      </c>
      <c r="C337" t="s">
        <v>1148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284</v>
      </c>
      <c r="B338" t="s">
        <v>1140</v>
      </c>
      <c r="C338" t="s">
        <v>1149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284</v>
      </c>
      <c r="B339" t="s">
        <v>1140</v>
      </c>
      <c r="C339" t="s">
        <v>1150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284</v>
      </c>
      <c r="B340" t="s">
        <v>1140</v>
      </c>
      <c r="C340" t="s">
        <v>1151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284</v>
      </c>
      <c r="B341" t="s">
        <v>1140</v>
      </c>
      <c r="C341" t="s">
        <v>1152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284</v>
      </c>
      <c r="B342" t="s">
        <v>1140</v>
      </c>
      <c r="C342" t="s">
        <v>1153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284</v>
      </c>
      <c r="B343" t="s">
        <v>1140</v>
      </c>
      <c r="C343" t="s">
        <v>1154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284</v>
      </c>
      <c r="B344" t="s">
        <v>1140</v>
      </c>
      <c r="C344" t="s">
        <v>1155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284</v>
      </c>
      <c r="B345" t="s">
        <v>1140</v>
      </c>
      <c r="C345" t="s">
        <v>1156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284</v>
      </c>
      <c r="B346" t="s">
        <v>1140</v>
      </c>
      <c r="C346" t="s">
        <v>1157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284</v>
      </c>
      <c r="B347" t="s">
        <v>1140</v>
      </c>
      <c r="C347" t="s">
        <v>1158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284</v>
      </c>
      <c r="B348" t="s">
        <v>1140</v>
      </c>
      <c r="C348" t="s">
        <v>1159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284</v>
      </c>
      <c r="B349" t="s">
        <v>1140</v>
      </c>
      <c r="C349" t="s">
        <v>1160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284</v>
      </c>
      <c r="B350" t="s">
        <v>1140</v>
      </c>
      <c r="C350" t="s">
        <v>1161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284</v>
      </c>
      <c r="B351" t="s">
        <v>1140</v>
      </c>
      <c r="C351" t="s">
        <v>1162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284</v>
      </c>
      <c r="B352" t="s">
        <v>1051</v>
      </c>
      <c r="C352" t="s">
        <v>1052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45">
      <c r="A353" t="s">
        <v>284</v>
      </c>
      <c r="B353" t="s">
        <v>1051</v>
      </c>
      <c r="C353" t="s">
        <v>1064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284</v>
      </c>
      <c r="B354" t="s">
        <v>1051</v>
      </c>
      <c r="C354" t="s">
        <v>1065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284</v>
      </c>
      <c r="B355" t="s">
        <v>1051</v>
      </c>
      <c r="C355" t="s">
        <v>1066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284</v>
      </c>
      <c r="B356" t="s">
        <v>1051</v>
      </c>
      <c r="C356" t="s">
        <v>1067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284</v>
      </c>
      <c r="B357" t="s">
        <v>1051</v>
      </c>
      <c r="C357" t="s">
        <v>1068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284</v>
      </c>
      <c r="B358" t="s">
        <v>1051</v>
      </c>
      <c r="C358" t="s">
        <v>1069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284</v>
      </c>
      <c r="B359" t="s">
        <v>1051</v>
      </c>
      <c r="C359" t="s">
        <v>1070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284</v>
      </c>
      <c r="B360" t="s">
        <v>1051</v>
      </c>
      <c r="C360" t="s">
        <v>1071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284</v>
      </c>
      <c r="B361" t="s">
        <v>1051</v>
      </c>
      <c r="C361" t="s">
        <v>1072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284</v>
      </c>
      <c r="B362" t="s">
        <v>1051</v>
      </c>
      <c r="C362" t="s">
        <v>1073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284</v>
      </c>
      <c r="B363" t="s">
        <v>1051</v>
      </c>
      <c r="C363" t="s">
        <v>1074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284</v>
      </c>
      <c r="B364" t="s">
        <v>1051</v>
      </c>
      <c r="C364" t="s">
        <v>1075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284</v>
      </c>
      <c r="B365" t="s">
        <v>1051</v>
      </c>
      <c r="C365" t="s">
        <v>1076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284</v>
      </c>
      <c r="B366" t="s">
        <v>1051</v>
      </c>
      <c r="C366" t="s">
        <v>1077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45">
      <c r="A367" t="s">
        <v>284</v>
      </c>
      <c r="B367" t="s">
        <v>1051</v>
      </c>
      <c r="C367" t="s">
        <v>1078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284</v>
      </c>
      <c r="B368" t="s">
        <v>1051</v>
      </c>
      <c r="C368" t="s">
        <v>1079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284</v>
      </c>
      <c r="B369" t="s">
        <v>1051</v>
      </c>
      <c r="C369" t="s">
        <v>1080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284</v>
      </c>
      <c r="B370" t="s">
        <v>1051</v>
      </c>
      <c r="C370" t="s">
        <v>1081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45">
      <c r="A371" t="s">
        <v>284</v>
      </c>
      <c r="B371" t="s">
        <v>1051</v>
      </c>
      <c r="C371" t="s">
        <v>1082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284</v>
      </c>
      <c r="B372" t="s">
        <v>1051</v>
      </c>
      <c r="C372" t="s">
        <v>1083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284</v>
      </c>
      <c r="B373" t="s">
        <v>1051</v>
      </c>
      <c r="C373" t="s">
        <v>1084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284</v>
      </c>
      <c r="B374" t="s">
        <v>1051</v>
      </c>
      <c r="C374" t="s">
        <v>1085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284</v>
      </c>
      <c r="B375" t="s">
        <v>1051</v>
      </c>
      <c r="C375" t="s">
        <v>1086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45">
      <c r="A376" t="s">
        <v>284</v>
      </c>
      <c r="B376" t="s">
        <v>1051</v>
      </c>
      <c r="C376" t="s">
        <v>1087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284</v>
      </c>
      <c r="B377" t="s">
        <v>1051</v>
      </c>
      <c r="C377" t="s">
        <v>1088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284</v>
      </c>
      <c r="B378" t="s">
        <v>1051</v>
      </c>
      <c r="C378" t="s">
        <v>1089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45">
      <c r="A379" t="s">
        <v>284</v>
      </c>
      <c r="B379" t="s">
        <v>1051</v>
      </c>
      <c r="C379" t="s">
        <v>1090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284</v>
      </c>
      <c r="B380" t="s">
        <v>1051</v>
      </c>
      <c r="C380" t="s">
        <v>1091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45">
      <c r="A381" t="s">
        <v>284</v>
      </c>
      <c r="B381" t="s">
        <v>1051</v>
      </c>
      <c r="C381" t="s">
        <v>1092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45">
      <c r="A382" t="s">
        <v>284</v>
      </c>
      <c r="B382" t="s">
        <v>1051</v>
      </c>
      <c r="C382" t="s">
        <v>1093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45">
      <c r="A383" t="s">
        <v>284</v>
      </c>
      <c r="B383" t="s">
        <v>1051</v>
      </c>
      <c r="C383" t="s">
        <v>1094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45">
      <c r="A384" t="s">
        <v>284</v>
      </c>
      <c r="B384" t="s">
        <v>1051</v>
      </c>
      <c r="C384" t="s">
        <v>1095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45">
      <c r="A385" t="s">
        <v>284</v>
      </c>
      <c r="B385" t="s">
        <v>1051</v>
      </c>
      <c r="C385" t="s">
        <v>1096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45">
      <c r="A386" t="s">
        <v>284</v>
      </c>
      <c r="B386" t="s">
        <v>1051</v>
      </c>
      <c r="C386" t="s">
        <v>1097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45">
      <c r="A387" t="s">
        <v>284</v>
      </c>
      <c r="B387" t="s">
        <v>1051</v>
      </c>
      <c r="C387" t="s">
        <v>1098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45">
      <c r="A388" t="s">
        <v>284</v>
      </c>
      <c r="B388" t="s">
        <v>1051</v>
      </c>
      <c r="C388" t="s">
        <v>1099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45">
      <c r="A389" t="s">
        <v>284</v>
      </c>
      <c r="B389" t="s">
        <v>1051</v>
      </c>
      <c r="C389" t="s">
        <v>1100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284</v>
      </c>
      <c r="B390" t="s">
        <v>1051</v>
      </c>
      <c r="C390" t="s">
        <v>1101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45">
      <c r="A391" t="s">
        <v>284</v>
      </c>
      <c r="B391" t="s">
        <v>1051</v>
      </c>
      <c r="C391" t="s">
        <v>1102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284</v>
      </c>
      <c r="B392" t="s">
        <v>1051</v>
      </c>
      <c r="C392" t="s">
        <v>1103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284</v>
      </c>
      <c r="B393" t="s">
        <v>1051</v>
      </c>
      <c r="C393" t="s">
        <v>1104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284</v>
      </c>
      <c r="B394" t="s">
        <v>1051</v>
      </c>
      <c r="C394" t="s">
        <v>1105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284</v>
      </c>
      <c r="B395" t="s">
        <v>1051</v>
      </c>
      <c r="C395" t="s">
        <v>1163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45">
      <c r="A396" t="s">
        <v>284</v>
      </c>
      <c r="B396" t="s">
        <v>285</v>
      </c>
      <c r="C396" t="s">
        <v>286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45">
      <c r="A397" t="s">
        <v>284</v>
      </c>
      <c r="B397" t="s">
        <v>285</v>
      </c>
      <c r="C397" t="s">
        <v>287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284</v>
      </c>
      <c r="B398" t="s">
        <v>285</v>
      </c>
      <c r="C398" t="s">
        <v>288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284</v>
      </c>
      <c r="B399" t="s">
        <v>285</v>
      </c>
      <c r="C399" t="s">
        <v>289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284</v>
      </c>
      <c r="B400" t="s">
        <v>290</v>
      </c>
      <c r="C400" t="s">
        <v>291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45">
      <c r="A401" t="s">
        <v>284</v>
      </c>
      <c r="B401" t="s">
        <v>290</v>
      </c>
      <c r="C401" t="s">
        <v>292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284</v>
      </c>
      <c r="B402" t="s">
        <v>290</v>
      </c>
      <c r="C402" t="s">
        <v>293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284</v>
      </c>
      <c r="B403" t="s">
        <v>290</v>
      </c>
      <c r="C403" t="s">
        <v>294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284</v>
      </c>
      <c r="B404" t="s">
        <v>295</v>
      </c>
      <c r="C404" t="s">
        <v>296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284</v>
      </c>
      <c r="B405" t="s">
        <v>295</v>
      </c>
      <c r="C405" t="s">
        <v>297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45">
      <c r="A406" t="s">
        <v>284</v>
      </c>
      <c r="B406" t="s">
        <v>298</v>
      </c>
      <c r="C406" t="s">
        <v>299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GWP by Pollutant by Timeframe.xlsx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284</v>
      </c>
      <c r="B407" t="s">
        <v>298</v>
      </c>
      <c r="C407" t="s">
        <v>300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GWP by Pollutant by Timeframe.xlsx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284</v>
      </c>
      <c r="B408" t="s">
        <v>301</v>
      </c>
      <c r="C408" t="s">
        <v>302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Intnl Market Fuel Price by Fuel Type.xlsx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284</v>
      </c>
      <c r="B409" t="s">
        <v>301</v>
      </c>
      <c r="C409" t="s">
        <v>303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Intnl Market Fuel Price by Fuel Type.xlsx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45">
      <c r="A410" t="s">
        <v>284</v>
      </c>
      <c r="B410" t="s">
        <v>304</v>
      </c>
      <c r="C410" t="s">
        <v>305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Max Perc Inc in Fuel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45">
      <c r="A411" t="s">
        <v>284</v>
      </c>
      <c r="B411" t="s">
        <v>304</v>
      </c>
      <c r="C411" t="s">
        <v>306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Max Perc Inc in Fuel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284</v>
      </c>
      <c r="B412" t="s">
        <v>307</v>
      </c>
      <c r="C412" t="s">
        <v>308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Max Perc Inc in Fuel Imports.xlsx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45">
      <c r="A413" t="s">
        <v>284</v>
      </c>
      <c r="B413" t="s">
        <v>307</v>
      </c>
      <c r="C413" t="s">
        <v>309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Max Perc Inc in Fuel Imports.xlsx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284</v>
      </c>
      <c r="B414" t="s">
        <v>310</v>
      </c>
      <c r="C414" t="s">
        <v>311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Production.xlsx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45">
      <c r="A415" t="s">
        <v>284</v>
      </c>
      <c r="B415" t="s">
        <v>310</v>
      </c>
      <c r="C415" t="s">
        <v>312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Production.xlsx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284</v>
      </c>
      <c r="B416" t="s">
        <v>313</v>
      </c>
      <c r="C416" t="s">
        <v>314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284</v>
      </c>
      <c r="B417" t="s">
        <v>313</v>
      </c>
      <c r="C417" t="s">
        <v>315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284</v>
      </c>
      <c r="B418" t="s">
        <v>313</v>
      </c>
      <c r="C418" t="s">
        <v>316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284</v>
      </c>
      <c r="B419" t="s">
        <v>313</v>
      </c>
      <c r="C419" t="s">
        <v>317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284</v>
      </c>
      <c r="B420" t="s">
        <v>313</v>
      </c>
      <c r="C420" t="s">
        <v>318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284</v>
      </c>
      <c r="B421" t="s">
        <v>313</v>
      </c>
      <c r="C421" t="s">
        <v>319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284</v>
      </c>
      <c r="B422" t="s">
        <v>313</v>
      </c>
      <c r="C422" t="s">
        <v>320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284</v>
      </c>
      <c r="B423" t="s">
        <v>313</v>
      </c>
      <c r="C423" t="s">
        <v>321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284</v>
      </c>
      <c r="B424" t="s">
        <v>313</v>
      </c>
      <c r="C424" t="s">
        <v>322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284</v>
      </c>
      <c r="B425" t="s">
        <v>313</v>
      </c>
      <c r="C425" t="s">
        <v>323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45">
      <c r="A426" t="s">
        <v>284</v>
      </c>
      <c r="B426" t="s">
        <v>313</v>
      </c>
      <c r="C426" t="s">
        <v>324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284</v>
      </c>
      <c r="B427" t="s">
        <v>313</v>
      </c>
      <c r="C427" t="s">
        <v>325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284</v>
      </c>
      <c r="B428" t="s">
        <v>313</v>
      </c>
      <c r="C428" t="s">
        <v>326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45">
      <c r="A429" t="s">
        <v>284</v>
      </c>
      <c r="B429" t="s">
        <v>313</v>
      </c>
      <c r="C429" t="s">
        <v>327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45">
      <c r="A430" t="s">
        <v>284</v>
      </c>
      <c r="B430" t="s">
        <v>313</v>
      </c>
      <c r="C430" t="s">
        <v>328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284</v>
      </c>
      <c r="B431" t="s">
        <v>313</v>
      </c>
      <c r="C431" t="s">
        <v>329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284</v>
      </c>
      <c r="B432" t="s">
        <v>313</v>
      </c>
      <c r="C432" t="s">
        <v>330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45">
      <c r="A433" t="s">
        <v>284</v>
      </c>
      <c r="B433" t="s">
        <v>331</v>
      </c>
      <c r="C433" t="s">
        <v>332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45">
      <c r="A434" t="s">
        <v>284</v>
      </c>
      <c r="B434" t="s">
        <v>331</v>
      </c>
      <c r="C434" t="s">
        <v>333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284</v>
      </c>
      <c r="B435" t="s">
        <v>331</v>
      </c>
      <c r="C435" t="s">
        <v>334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284</v>
      </c>
      <c r="B436" t="s">
        <v>331</v>
      </c>
      <c r="C436" t="s">
        <v>335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45">
      <c r="A437" t="s">
        <v>284</v>
      </c>
      <c r="B437" t="s">
        <v>331</v>
      </c>
      <c r="C437" t="s">
        <v>336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284</v>
      </c>
      <c r="B438" t="s">
        <v>331</v>
      </c>
      <c r="C438" t="s">
        <v>337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284</v>
      </c>
      <c r="B439" t="s">
        <v>331</v>
      </c>
      <c r="C439" t="s">
        <v>338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284</v>
      </c>
      <c r="B440" t="s">
        <v>331</v>
      </c>
      <c r="C440" t="s">
        <v>339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284</v>
      </c>
      <c r="B441" t="s">
        <v>331</v>
      </c>
      <c r="C441" t="s">
        <v>340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45">
      <c r="A442" t="s">
        <v>284</v>
      </c>
      <c r="B442" t="s">
        <v>331</v>
      </c>
      <c r="C442" t="s">
        <v>341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45">
      <c r="A443" t="s">
        <v>284</v>
      </c>
      <c r="B443" t="s">
        <v>331</v>
      </c>
      <c r="C443" t="s">
        <v>342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45">
      <c r="A444" t="s">
        <v>284</v>
      </c>
      <c r="B444" t="s">
        <v>331</v>
      </c>
      <c r="C444" t="s">
        <v>343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45">
      <c r="A445" t="s">
        <v>284</v>
      </c>
      <c r="B445" t="s">
        <v>331</v>
      </c>
      <c r="C445" t="s">
        <v>344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284</v>
      </c>
      <c r="B446" t="s">
        <v>331</v>
      </c>
      <c r="C446" t="s">
        <v>345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45">
      <c r="A447" t="s">
        <v>284</v>
      </c>
      <c r="B447" t="s">
        <v>331</v>
      </c>
      <c r="C447" t="s">
        <v>346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284</v>
      </c>
      <c r="B448" t="s">
        <v>331</v>
      </c>
      <c r="C448" t="s">
        <v>347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45">
      <c r="A449" t="s">
        <v>284</v>
      </c>
      <c r="B449" t="s">
        <v>331</v>
      </c>
      <c r="C449" t="s">
        <v>348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45">
      <c r="A450" t="s">
        <v>284</v>
      </c>
      <c r="B450" t="s">
        <v>349</v>
      </c>
      <c r="C450" t="s">
        <v>1138</v>
      </c>
      <c r="G450" t="str">
        <f t="shared" si="12"/>
        <v>tore</v>
      </c>
      <c r="H450" s="5" t="str">
        <f>IFERROR(IF(B450="FoPITY",INDEX(Customizations!$C$2:$C$19,MATCH(Sheet1!C450,Customizations!$B$2:$B$19,0),1),INDEX(About!C:C,MATCH(Sheet1!B450,About!B:B,0),1)),"")</f>
        <v>Perc of Fuel Demand Changes that Affect Exports.xlsx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45">
      <c r="A451" t="s">
        <v>284</v>
      </c>
      <c r="B451" t="s">
        <v>349</v>
      </c>
      <c r="C451" t="s">
        <v>350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Perc of Fuel Demand Changes that Affect Exports.xlsx</v>
      </c>
      <c r="I451" s="5">
        <f>IFERROR(INDEX(About!$D:$D,MATCH(Sheet1!H451,About!$C:$C,0),1),0)</f>
        <v>1</v>
      </c>
      <c r="J451" s="6">
        <f t="shared" si="13"/>
        <v>0</v>
      </c>
    </row>
    <row r="452" spans="1:10" x14ac:dyDescent="0.45">
      <c r="A452" t="s">
        <v>284</v>
      </c>
      <c r="B452" t="s">
        <v>349</v>
      </c>
      <c r="C452" t="s">
        <v>351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284</v>
      </c>
      <c r="B453" t="s">
        <v>987</v>
      </c>
      <c r="C453" t="s">
        <v>988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Quantization Size for Energy.xlsx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284</v>
      </c>
      <c r="B454" t="s">
        <v>987</v>
      </c>
      <c r="C454" t="s">
        <v>989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1</v>
      </c>
      <c r="J454" s="6">
        <f t="shared" si="13"/>
        <v>0</v>
      </c>
    </row>
    <row r="455" spans="1:10" x14ac:dyDescent="0.45">
      <c r="A455" t="s">
        <v>877</v>
      </c>
      <c r="B455" t="s">
        <v>878</v>
      </c>
      <c r="C455" t="s">
        <v>879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877</v>
      </c>
      <c r="B456" t="s">
        <v>878</v>
      </c>
      <c r="C456" t="s">
        <v>880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877</v>
      </c>
      <c r="B457" t="s">
        <v>878</v>
      </c>
      <c r="C457" t="s">
        <v>881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877</v>
      </c>
      <c r="B458" t="s">
        <v>878</v>
      </c>
      <c r="C458" t="s">
        <v>882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45">
      <c r="A459" t="s">
        <v>352</v>
      </c>
      <c r="B459" t="s">
        <v>353</v>
      </c>
      <c r="C459" t="s">
        <v>354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BAU Hydrogen Production Shr by Pathway.xlsx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45">
      <c r="A460" t="s">
        <v>352</v>
      </c>
      <c r="B460" t="s">
        <v>353</v>
      </c>
      <c r="C460" t="s">
        <v>355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Hydrogen Production Shr by Pathway.xlsx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352</v>
      </c>
      <c r="B461" t="s">
        <v>356</v>
      </c>
      <c r="C461" t="s">
        <v>1138</v>
      </c>
      <c r="G461" t="str">
        <f t="shared" si="15"/>
        <v>tore</v>
      </c>
      <c r="H461" s="5" t="str">
        <f>IFERROR(IF(B461="FoPITY",INDEX(Customizations!$C$2:$C$19,MATCH(Sheet1!C461,Customizations!$B$2:$B$19,0),1),INDEX(About!C:C,MATCH(Sheet1!B461,About!B:B,0),1)),"")</f>
        <v>Electrolyzer Hydrogen Production per Unit Capacity.xlsx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45">
      <c r="A462" t="s">
        <v>352</v>
      </c>
      <c r="B462" t="s">
        <v>356</v>
      </c>
      <c r="C462" t="s">
        <v>357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Electrolyzer Hydrogen Production per Unit Capacity.xlsx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45">
      <c r="A463" t="s">
        <v>352</v>
      </c>
      <c r="B463" t="s">
        <v>356</v>
      </c>
      <c r="C463" t="s">
        <v>358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45">
      <c r="A464" t="s">
        <v>352</v>
      </c>
      <c r="B464" t="s">
        <v>359</v>
      </c>
      <c r="C464" t="s">
        <v>360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Hydgn Production Eff by Pathway.xlsx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352</v>
      </c>
      <c r="B465" t="s">
        <v>359</v>
      </c>
      <c r="C465" t="s">
        <v>361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45">
      <c r="A466" t="s">
        <v>352</v>
      </c>
      <c r="B466" t="s">
        <v>362</v>
      </c>
      <c r="C466" t="s">
        <v>363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45">
      <c r="A467" t="s">
        <v>352</v>
      </c>
      <c r="B467" t="s">
        <v>362</v>
      </c>
      <c r="C467" t="s">
        <v>364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352</v>
      </c>
      <c r="B468" t="s">
        <v>362</v>
      </c>
      <c r="C468" t="s">
        <v>365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45">
      <c r="A469" t="s">
        <v>352</v>
      </c>
      <c r="B469" t="s">
        <v>366</v>
      </c>
      <c r="C469" t="s">
        <v>367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 Perc Excess Cap by Pathway.xlsx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352</v>
      </c>
      <c r="B470" t="s">
        <v>366</v>
      </c>
      <c r="C470" t="s">
        <v>368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352</v>
      </c>
      <c r="B471" t="s">
        <v>369</v>
      </c>
      <c r="C471" t="s">
        <v>370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Pathway to Fuel Mappings.xlsx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352</v>
      </c>
      <c r="B472" t="s">
        <v>369</v>
      </c>
      <c r="C472" t="s">
        <v>371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45">
      <c r="A473" t="s">
        <v>352</v>
      </c>
      <c r="B473" t="s">
        <v>372</v>
      </c>
      <c r="C473" t="s">
        <v>373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Recipient Hydrogen Pathway Fractions.xlsx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45">
      <c r="A474" t="s">
        <v>352</v>
      </c>
      <c r="B474" t="s">
        <v>372</v>
      </c>
      <c r="C474" t="s">
        <v>374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45">
      <c r="A475" t="s">
        <v>352</v>
      </c>
      <c r="B475" t="s">
        <v>1178</v>
      </c>
      <c r="C475" t="s">
        <v>1179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/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45">
      <c r="A476" t="s">
        <v>352</v>
      </c>
      <c r="B476" t="s">
        <v>1178</v>
      </c>
      <c r="C476" t="s">
        <v>1180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/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45">
      <c r="A477" t="s">
        <v>375</v>
      </c>
      <c r="B477" t="s">
        <v>1138</v>
      </c>
      <c r="G477" t="str">
        <f t="shared" si="15"/>
        <v/>
      </c>
      <c r="H477" s="5" t="str">
        <f>IFERROR(IF(B477="FoPITY",INDEX(Customizations!$C$2:$C$19,MATCH(Sheet1!C477,Customizations!$B$2:$B$19,0),1),INDEX(About!C:C,MATCH(Sheet1!B477,About!B:B,0),1)),"")</f>
        <v/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45">
      <c r="A478" t="s">
        <v>375</v>
      </c>
      <c r="B478" t="s">
        <v>376</v>
      </c>
      <c r="C478" t="s">
        <v>377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45">
      <c r="A479" t="s">
        <v>375</v>
      </c>
      <c r="B479" t="s">
        <v>376</v>
      </c>
      <c r="C479" t="s">
        <v>378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45">
      <c r="A480" t="s">
        <v>375</v>
      </c>
      <c r="B480" t="s">
        <v>376</v>
      </c>
      <c r="C480" t="s">
        <v>379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45">
      <c r="A481" t="s">
        <v>375</v>
      </c>
      <c r="B481" t="s">
        <v>376</v>
      </c>
      <c r="C481" t="s">
        <v>380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45">
      <c r="A482" t="s">
        <v>375</v>
      </c>
      <c r="B482" t="s">
        <v>376</v>
      </c>
      <c r="C482" t="s">
        <v>381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375</v>
      </c>
      <c r="B483" t="s">
        <v>376</v>
      </c>
      <c r="C483" t="s">
        <v>382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375</v>
      </c>
      <c r="B484" t="s">
        <v>376</v>
      </c>
      <c r="C484" t="s">
        <v>383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375</v>
      </c>
      <c r="B485" t="s">
        <v>376</v>
      </c>
      <c r="C485" t="s">
        <v>384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375</v>
      </c>
      <c r="B486" t="s">
        <v>376</v>
      </c>
      <c r="C486" t="s">
        <v>385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375</v>
      </c>
      <c r="B487" t="s">
        <v>376</v>
      </c>
      <c r="C487" t="s">
        <v>386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375</v>
      </c>
      <c r="B488" t="s">
        <v>376</v>
      </c>
      <c r="C488" t="s">
        <v>387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375</v>
      </c>
      <c r="B489" t="s">
        <v>1181</v>
      </c>
      <c r="C489" t="s">
        <v>1138</v>
      </c>
      <c r="G489" t="str">
        <f t="shared" si="15"/>
        <v>tore</v>
      </c>
      <c r="H489" s="5" t="str">
        <f>IFERROR(IF(B489="FoPITY",INDEX(Customizations!$C$2:$C$19,MATCH(Sheet1!C489,Customizations!$B$2:$B$19,0),1),INDEX(About!C:C,MATCH(Sheet1!B489,About!B:B,0),1)),"")</f>
        <v/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45">
      <c r="A490" t="s">
        <v>375</v>
      </c>
      <c r="B490" t="s">
        <v>1181</v>
      </c>
      <c r="C490" t="s">
        <v>1182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/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45">
      <c r="A491" t="s">
        <v>375</v>
      </c>
      <c r="B491" t="s">
        <v>1181</v>
      </c>
      <c r="C491" t="s">
        <v>1183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/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45">
      <c r="A492" t="s">
        <v>375</v>
      </c>
      <c r="B492" t="s">
        <v>1181</v>
      </c>
      <c r="C492" t="s">
        <v>1184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/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45">
      <c r="A493" t="s">
        <v>375</v>
      </c>
      <c r="B493" t="s">
        <v>388</v>
      </c>
      <c r="C493" t="s">
        <v>389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 in CO2e.xlsx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45">
      <c r="A494" t="s">
        <v>375</v>
      </c>
      <c r="B494" t="s">
        <v>388</v>
      </c>
      <c r="C494" t="s">
        <v>1211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Process Emis in CO2e.xlsx</v>
      </c>
      <c r="I494" s="5">
        <f>IFERROR(INDEX(About!$D:$D,MATCH(Sheet1!H494,About!$C:$C,0),1),0)</f>
        <v>1</v>
      </c>
      <c r="J494" s="6">
        <f t="shared" si="16"/>
        <v>0</v>
      </c>
    </row>
    <row r="495" spans="1:10" x14ac:dyDescent="0.45">
      <c r="A495" t="s">
        <v>375</v>
      </c>
      <c r="B495" t="s">
        <v>388</v>
      </c>
      <c r="C495" t="s">
        <v>390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 in CO2e.xlsx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375</v>
      </c>
      <c r="B496" t="s">
        <v>388</v>
      </c>
      <c r="C496" t="s">
        <v>391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 in CO2e.xlsx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45">
      <c r="A497" t="s">
        <v>375</v>
      </c>
      <c r="B497" t="s">
        <v>388</v>
      </c>
      <c r="C497" t="s">
        <v>392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 in CO2e.xlsx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375</v>
      </c>
      <c r="B498" t="s">
        <v>388</v>
      </c>
      <c r="C498" t="s">
        <v>393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 in CO2e.xlsx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45">
      <c r="A499" t="s">
        <v>375</v>
      </c>
      <c r="B499" t="s">
        <v>388</v>
      </c>
      <c r="C499" t="s">
        <v>394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 in CO2e.xlsx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375</v>
      </c>
      <c r="B500" t="s">
        <v>395</v>
      </c>
      <c r="C500" t="s">
        <v>396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45">
      <c r="A501" t="s">
        <v>375</v>
      </c>
      <c r="B501" t="s">
        <v>395</v>
      </c>
      <c r="C501" t="s">
        <v>397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45">
      <c r="A502" t="s">
        <v>375</v>
      </c>
      <c r="B502" t="s">
        <v>398</v>
      </c>
      <c r="C502" t="s">
        <v>399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375</v>
      </c>
      <c r="B503" t="s">
        <v>398</v>
      </c>
      <c r="C503" t="s">
        <v>400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Shr of Ag Indst Going to Anml Prdcts.xlsx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45">
      <c r="A504" t="s">
        <v>375</v>
      </c>
      <c r="B504" t="s">
        <v>1185</v>
      </c>
      <c r="C504" t="s">
        <v>1186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/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45">
      <c r="A505" t="s">
        <v>375</v>
      </c>
      <c r="B505" t="s">
        <v>1185</v>
      </c>
      <c r="C505" t="s">
        <v>1187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/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45">
      <c r="A506" t="s">
        <v>375</v>
      </c>
      <c r="B506" t="s">
        <v>401</v>
      </c>
      <c r="C506" t="s">
        <v>402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1</v>
      </c>
      <c r="J506" s="6">
        <f t="shared" si="16"/>
        <v>0</v>
      </c>
    </row>
    <row r="507" spans="1:10" x14ac:dyDescent="0.45">
      <c r="A507" t="s">
        <v>375</v>
      </c>
      <c r="B507" t="s">
        <v>401</v>
      </c>
      <c r="C507" t="s">
        <v>403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Cost to Impl Eff Policy per Unit E Saved or Shifted.xlsx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45">
      <c r="A508" t="s">
        <v>375</v>
      </c>
      <c r="B508" t="s">
        <v>1188</v>
      </c>
      <c r="C508" t="s">
        <v>1189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/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45">
      <c r="A509" t="s">
        <v>375</v>
      </c>
      <c r="B509" t="s">
        <v>1188</v>
      </c>
      <c r="C509" t="s">
        <v>1190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/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45">
      <c r="A510" t="s">
        <v>375</v>
      </c>
      <c r="B510" t="s">
        <v>404</v>
      </c>
      <c r="C510" t="s">
        <v>405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Elasticities of Production.xlsx</v>
      </c>
      <c r="I510" s="5">
        <f>IFERROR(INDEX(About!$D:$D,MATCH(Sheet1!H510,About!$C:$C,0),1),0)</f>
        <v>1</v>
      </c>
      <c r="J510" s="6">
        <f t="shared" si="16"/>
        <v>0</v>
      </c>
    </row>
    <row r="511" spans="1:10" x14ac:dyDescent="0.45">
      <c r="A511" t="s">
        <v>375</v>
      </c>
      <c r="B511" t="s">
        <v>404</v>
      </c>
      <c r="C511" t="s">
        <v>406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Elasticities of Production.xlsx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45">
      <c r="A512" t="s">
        <v>375</v>
      </c>
      <c r="B512" t="s">
        <v>404</v>
      </c>
      <c r="C512" t="s">
        <v>407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Elasticities of Production.xlsx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375</v>
      </c>
      <c r="B513" t="s">
        <v>408</v>
      </c>
      <c r="C513" t="s">
        <v>409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Foreign Leakage Rate by Industry.xlsx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45">
      <c r="A514" t="s">
        <v>375</v>
      </c>
      <c r="B514" t="s">
        <v>408</v>
      </c>
      <c r="C514" t="s">
        <v>410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Foreign Leakage Rate by Industry.xlsx</v>
      </c>
      <c r="I514" s="5">
        <f>IFERROR(INDEX(About!$D:$D,MATCH(Sheet1!H514,About!$C:$C,0),1),0)</f>
        <v>1</v>
      </c>
      <c r="J514" s="6">
        <f t="shared" si="16"/>
        <v>0</v>
      </c>
    </row>
    <row r="515" spans="1:10" x14ac:dyDescent="0.45">
      <c r="A515" t="s">
        <v>375</v>
      </c>
      <c r="B515" t="s">
        <v>1164</v>
      </c>
      <c r="C515" t="s">
        <v>1165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Fraction of Inputs Supplied and Goods Purchased by Entity.xlsx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375</v>
      </c>
      <c r="B516" t="s">
        <v>1164</v>
      </c>
      <c r="C516" t="s">
        <v>1166</v>
      </c>
      <c r="G516" t="str">
        <f t="shared" si="15"/>
        <v>xlsx</v>
      </c>
      <c r="H516" s="5" t="str">
        <f>IFERROR(IF(B516="FoPITY",INDEX(Customizations!$C$2:$C$19,MATCH(Sheet1!C516,Customizations!$B$2:$B$19,0),1),INDEX(About!C:C,MATCH(Sheet1!B516,About!B:B,0),1)),"")</f>
        <v>Fraction of Inputs Supplied and Goods Purchased by Entity.xlsx</v>
      </c>
      <c r="I516" s="5">
        <f>IFERROR(INDEX(About!$D:$D,MATCH(Sheet1!H516,About!$C:$C,0),1),0)</f>
        <v>1</v>
      </c>
      <c r="J516" s="6">
        <f t="shared" si="16"/>
        <v>0</v>
      </c>
    </row>
    <row r="517" spans="1:10" x14ac:dyDescent="0.45">
      <c r="A517" t="s">
        <v>375</v>
      </c>
      <c r="B517" t="s">
        <v>990</v>
      </c>
      <c r="C517" t="s">
        <v>991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Industry to ISIC Code Map.xlsx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45">
      <c r="A518" t="s">
        <v>375</v>
      </c>
      <c r="B518" t="s">
        <v>990</v>
      </c>
      <c r="C518" t="s">
        <v>992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Industry to ISIC Code Map.xlsx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375</v>
      </c>
      <c r="B519" t="s">
        <v>411</v>
      </c>
      <c r="C519" t="s">
        <v>412</v>
      </c>
      <c r="G519" t="str">
        <f t="shared" ref="G519:G582" si="18">RIGHT(C519,"4")</f>
        <v>xlsx</v>
      </c>
      <c r="H519" s="5" t="str">
        <f>IFERROR(IF(B519="FoPITY",INDEX(Customizations!$C$2:$C$19,MATCH(Sheet1!C519,Customizations!$B$2:$B$19,0),1),INDEX(About!C:C,MATCH(Sheet1!B519,About!B:B,0),1)),"")</f>
        <v>Methane Heating Value.xlsx</v>
      </c>
      <c r="I519" s="5">
        <f>IFERROR(INDEX(About!$D:$D,MATCH(Sheet1!H519,About!$C:$C,0),1),0)</f>
        <v>1</v>
      </c>
      <c r="J519" s="6">
        <f t="shared" ref="J519:J582" si="19">IF(G519=".csv",1,0)*I519</f>
        <v>0</v>
      </c>
    </row>
    <row r="520" spans="1:10" x14ac:dyDescent="0.45">
      <c r="A520" t="s">
        <v>375</v>
      </c>
      <c r="B520" t="s">
        <v>411</v>
      </c>
      <c r="C520" t="s">
        <v>413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Methane Heating Value.xlsx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375</v>
      </c>
      <c r="B521" t="s">
        <v>414</v>
      </c>
      <c r="C521" t="s">
        <v>883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375</v>
      </c>
      <c r="B522" t="s">
        <v>414</v>
      </c>
      <c r="C522" t="s">
        <v>884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45">
      <c r="A523" t="s">
        <v>375</v>
      </c>
      <c r="B523" t="s">
        <v>414</v>
      </c>
      <c r="C523" t="s">
        <v>885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375</v>
      </c>
      <c r="B524" t="s">
        <v>414</v>
      </c>
      <c r="C524" t="s">
        <v>886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375</v>
      </c>
      <c r="B525" t="s">
        <v>414</v>
      </c>
      <c r="C525" t="s">
        <v>887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45">
      <c r="A526" t="s">
        <v>375</v>
      </c>
      <c r="B526" t="s">
        <v>414</v>
      </c>
      <c r="C526" t="s">
        <v>888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45">
      <c r="A527" t="s">
        <v>375</v>
      </c>
      <c r="B527" t="s">
        <v>414</v>
      </c>
      <c r="C527" t="s">
        <v>889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45">
      <c r="A528" t="s">
        <v>375</v>
      </c>
      <c r="B528" t="s">
        <v>414</v>
      </c>
      <c r="C528" t="s">
        <v>890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45">
      <c r="A529" t="s">
        <v>375</v>
      </c>
      <c r="B529" t="s">
        <v>414</v>
      </c>
      <c r="C529" t="s">
        <v>891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45">
      <c r="A530" t="s">
        <v>375</v>
      </c>
      <c r="B530" t="s">
        <v>414</v>
      </c>
      <c r="C530" t="s">
        <v>892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375</v>
      </c>
      <c r="B531" t="s">
        <v>414</v>
      </c>
      <c r="C531" t="s">
        <v>893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45">
      <c r="A532" t="s">
        <v>375</v>
      </c>
      <c r="B532" t="s">
        <v>414</v>
      </c>
      <c r="C532" t="s">
        <v>894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375</v>
      </c>
      <c r="B533" t="s">
        <v>414</v>
      </c>
      <c r="C533" t="s">
        <v>895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45">
      <c r="A534" t="s">
        <v>375</v>
      </c>
      <c r="B534" t="s">
        <v>414</v>
      </c>
      <c r="C534" t="s">
        <v>896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375</v>
      </c>
      <c r="B535" t="s">
        <v>414</v>
      </c>
      <c r="C535" t="s">
        <v>897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375</v>
      </c>
      <c r="B536" t="s">
        <v>415</v>
      </c>
      <c r="C536" t="s">
        <v>416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Perc Indst Fuel Use Reduction for Elec.xlsx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45">
      <c r="A537" t="s">
        <v>375</v>
      </c>
      <c r="B537" t="s">
        <v>415</v>
      </c>
      <c r="C537" t="s">
        <v>417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Perc Indst Fuel Use Reduction for Elec.xlsx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375</v>
      </c>
      <c r="B538" t="s">
        <v>418</v>
      </c>
      <c r="C538" t="s">
        <v>419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Reduction in Fuel Use from Early Retirement.xlsx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45">
      <c r="A539" t="s">
        <v>375</v>
      </c>
      <c r="B539" t="s">
        <v>418</v>
      </c>
      <c r="C539" t="s">
        <v>420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Reduction in Fuel Use from Early Retirement.xlsx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375</v>
      </c>
      <c r="B540" t="s">
        <v>421</v>
      </c>
      <c r="C540" t="s">
        <v>422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Pot Perc Red in Fuel Use fr Inc Cogen and WHR.xlsx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45">
      <c r="A541" t="s">
        <v>375</v>
      </c>
      <c r="B541" t="s">
        <v>421</v>
      </c>
      <c r="C541" t="s">
        <v>423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Pot Perc Red in Fuel Use fr Inc Cogen and WHR.xlsx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45">
      <c r="A542" t="s">
        <v>375</v>
      </c>
      <c r="B542" t="s">
        <v>424</v>
      </c>
      <c r="C542" t="s">
        <v>425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Pot Perc Red in Fuel Use fr Impr Inst and Integ of Eqpt.xlsx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45">
      <c r="A543" t="s">
        <v>375</v>
      </c>
      <c r="B543" t="s">
        <v>424</v>
      </c>
      <c r="C543" t="s">
        <v>426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Pot Perc Red in Fuel Use fr Impr Inst and Integ of Eqpt.xlsx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45">
      <c r="A544" t="s">
        <v>375</v>
      </c>
      <c r="B544" t="s">
        <v>427</v>
      </c>
      <c r="C544" t="s">
        <v>428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Recipient Industrial Fuel Fractions.xlsx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375</v>
      </c>
      <c r="B545" t="s">
        <v>427</v>
      </c>
      <c r="C545" t="s">
        <v>429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Recipient Industrial Fuel Fractions.xlsx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45">
      <c r="A546" t="s">
        <v>375</v>
      </c>
      <c r="B546" t="s">
        <v>427</v>
      </c>
      <c r="C546" t="s">
        <v>430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Recipient Industrial Fuel Fractions.xlsx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375</v>
      </c>
      <c r="B547" t="s">
        <v>427</v>
      </c>
      <c r="C547" t="s">
        <v>431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Recipient Industrial Fuel Fractions.xlsx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45">
      <c r="A548" t="s">
        <v>375</v>
      </c>
      <c r="B548" t="s">
        <v>427</v>
      </c>
      <c r="C548" t="s">
        <v>432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Recipient Industrial Fuel Fractions.xlsx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375</v>
      </c>
      <c r="B549" t="s">
        <v>427</v>
      </c>
      <c r="C549" t="s">
        <v>433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Recipient Industrial Fuel Fractions.xlsx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375</v>
      </c>
      <c r="B550" t="s">
        <v>427</v>
      </c>
      <c r="C550" t="s">
        <v>434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Recipient Industrial Fuel Fractions.xlsx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45">
      <c r="A551" t="s">
        <v>375</v>
      </c>
      <c r="B551" t="s">
        <v>427</v>
      </c>
      <c r="C551" t="s">
        <v>435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Recipient Industrial Fuel Fractions.xlsx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375</v>
      </c>
      <c r="B552" t="s">
        <v>427</v>
      </c>
      <c r="C552" t="s">
        <v>436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Recipient Industrial Fuel Fractions.xlsx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45">
      <c r="A553" t="s">
        <v>375</v>
      </c>
      <c r="B553" t="s">
        <v>437</v>
      </c>
      <c r="C553" t="s">
        <v>438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Ratio of ppl supportable on plt bsd vs omnivorous diet.xlsx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45">
      <c r="A554" t="s">
        <v>375</v>
      </c>
      <c r="B554" t="s">
        <v>437</v>
      </c>
      <c r="C554" t="s">
        <v>439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Ratio of ppl supportable on plt bsd vs omnivorous diet.xlsx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45">
      <c r="A555" t="s">
        <v>375</v>
      </c>
      <c r="B555" t="s">
        <v>1126</v>
      </c>
      <c r="C555" t="s">
        <v>1127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Share of Capital and OM Spending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45">
      <c r="A556" t="s">
        <v>375</v>
      </c>
      <c r="B556" t="s">
        <v>1126</v>
      </c>
      <c r="C556" t="s">
        <v>1128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Share of Capital and OM Spending by ISIC Code.xlsx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45">
      <c r="A557" t="s">
        <v>375</v>
      </c>
      <c r="B557" t="s">
        <v>1191</v>
      </c>
      <c r="C557" t="s">
        <v>1192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/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45">
      <c r="A558" t="s">
        <v>375</v>
      </c>
      <c r="B558" t="s">
        <v>1191</v>
      </c>
      <c r="C558" t="s">
        <v>1193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/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45">
      <c r="A559" t="s">
        <v>375</v>
      </c>
      <c r="B559" t="s">
        <v>1194</v>
      </c>
      <c r="C559" t="s">
        <v>1195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/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45">
      <c r="A560" t="s">
        <v>375</v>
      </c>
      <c r="B560" t="s">
        <v>1194</v>
      </c>
      <c r="C560" t="s">
        <v>1196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/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45">
      <c r="A561" t="s">
        <v>375</v>
      </c>
      <c r="B561" t="s">
        <v>440</v>
      </c>
      <c r="C561" t="s">
        <v>441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Total Nonfuel Revenue by Industry.xlsx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45">
      <c r="A562" t="s">
        <v>375</v>
      </c>
      <c r="B562" t="s">
        <v>440</v>
      </c>
      <c r="C562" t="s">
        <v>442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Total Nonfuel Revenue by Industry.xlsx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45">
      <c r="A563" t="s">
        <v>993</v>
      </c>
      <c r="B563" t="s">
        <v>1138</v>
      </c>
      <c r="G563" t="str">
        <f t="shared" si="18"/>
        <v/>
      </c>
      <c r="H563" s="5" t="str">
        <f>IFERROR(IF(B563="FoPITY",INDEX(Customizations!$C$2:$C$19,MATCH(Sheet1!C563,Customizations!$B$2:$B$19,0),1),INDEX(About!C:C,MATCH(Sheet1!B563,About!B:B,0),1)),"")</f>
        <v/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45">
      <c r="A564" t="s">
        <v>993</v>
      </c>
      <c r="B564" t="s">
        <v>994</v>
      </c>
      <c r="C564" t="s">
        <v>995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BAU Employment by ISIC Code.xlsx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45">
      <c r="A565" t="s">
        <v>993</v>
      </c>
      <c r="B565" t="s">
        <v>994</v>
      </c>
      <c r="C565" t="s">
        <v>996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Employment by ISIC Code.xlsx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45">
      <c r="A566" t="s">
        <v>993</v>
      </c>
      <c r="B566" t="s">
        <v>997</v>
      </c>
      <c r="C566" t="s">
        <v>998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BAU Employee Compensation by ISIC Code.xlsx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45">
      <c r="A567" t="s">
        <v>993</v>
      </c>
      <c r="B567" t="s">
        <v>997</v>
      </c>
      <c r="C567" t="s">
        <v>999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Employee Compensation by ISIC Code.xlsx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45">
      <c r="A568" t="s">
        <v>993</v>
      </c>
      <c r="B568" t="s">
        <v>868</v>
      </c>
      <c r="C568" t="s">
        <v>869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GDP.xlsx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45">
      <c r="A569" t="s">
        <v>993</v>
      </c>
      <c r="B569" t="s">
        <v>868</v>
      </c>
      <c r="C569" t="s">
        <v>870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GDP.xlsx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993</v>
      </c>
      <c r="B570" t="s">
        <v>1000</v>
      </c>
      <c r="C570" t="s">
        <v>1001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Output by ISIC Code.xlsx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45">
      <c r="A571" t="s">
        <v>993</v>
      </c>
      <c r="B571" t="s">
        <v>1000</v>
      </c>
      <c r="C571" t="s">
        <v>1002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Output by ISIC Code.xlsx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993</v>
      </c>
      <c r="B572" t="s">
        <v>1053</v>
      </c>
      <c r="C572" t="s">
        <v>1054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BAU Pop Employment and Compensation Projections.xlsx</v>
      </c>
      <c r="I572" s="5">
        <f>IFERROR(INDEX(About!$D:$D,MATCH(Sheet1!H572,About!$C:$C,0),1),0)</f>
        <v>1</v>
      </c>
      <c r="J572" s="6">
        <f t="shared" si="19"/>
        <v>0</v>
      </c>
    </row>
    <row r="573" spans="1:10" x14ac:dyDescent="0.45">
      <c r="A573" t="s">
        <v>993</v>
      </c>
      <c r="B573" t="s">
        <v>1053</v>
      </c>
      <c r="C573" t="s">
        <v>1055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Pop Employment and Compensation Projections.xlsx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993</v>
      </c>
      <c r="B574" t="s">
        <v>1053</v>
      </c>
      <c r="C574" t="s">
        <v>1056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Pop Employment and Compensation Projections.xlsx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993</v>
      </c>
      <c r="B575" t="s">
        <v>1053</v>
      </c>
      <c r="C575" t="s">
        <v>1057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Pop Employment and Compensation Projections.xlsx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993</v>
      </c>
      <c r="B576" t="s">
        <v>1003</v>
      </c>
      <c r="C576" t="s">
        <v>1004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Before Tax Worker Compensation as Shr of Val Added by ISIC Code.xlsx</v>
      </c>
      <c r="I576" s="5">
        <f>IFERROR(INDEX(About!$D:$D,MATCH(Sheet1!H576,About!$C:$C,0),1),0)</f>
        <v>1</v>
      </c>
      <c r="J576" s="6">
        <f t="shared" si="19"/>
        <v>0</v>
      </c>
    </row>
    <row r="577" spans="1:10" x14ac:dyDescent="0.45">
      <c r="A577" t="s">
        <v>993</v>
      </c>
      <c r="B577" t="s">
        <v>1003</v>
      </c>
      <c r="C577" t="s">
        <v>1005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Before Tax Worker Compensation as Shr of Val Added by ISIC Code.xlsx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45">
      <c r="A578" t="s">
        <v>993</v>
      </c>
      <c r="B578" t="s">
        <v>1006</v>
      </c>
      <c r="C578" t="s">
        <v>1007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BAU Value Added by ISIC Code.xlsx</v>
      </c>
      <c r="I578" s="5">
        <f>IFERROR(INDEX(About!$D:$D,MATCH(Sheet1!H578,About!$C:$C,0),1),0)</f>
        <v>1</v>
      </c>
      <c r="J578" s="6">
        <f t="shared" si="19"/>
        <v>0</v>
      </c>
    </row>
    <row r="579" spans="1:10" x14ac:dyDescent="0.45">
      <c r="A579" t="s">
        <v>993</v>
      </c>
      <c r="B579" t="s">
        <v>1006</v>
      </c>
      <c r="C579" t="s">
        <v>1008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Value Added by ISIC Code.xlsx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45">
      <c r="A580" t="s">
        <v>993</v>
      </c>
      <c r="B580" t="s">
        <v>1009</v>
      </c>
      <c r="C580" t="s">
        <v>1010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Domestic Content Share of Consumption by ISIC Code.xlsx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993</v>
      </c>
      <c r="B581" t="s">
        <v>1009</v>
      </c>
      <c r="C581" t="s">
        <v>1011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Domestic Content Share of Consumption by ISIC Code.xlsx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45">
      <c r="A582" t="s">
        <v>993</v>
      </c>
      <c r="B582" t="s">
        <v>1012</v>
      </c>
      <c r="C582" t="s">
        <v>1013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Domestic Leontief Inverse Matrix.xlsx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45">
      <c r="A583" t="s">
        <v>993</v>
      </c>
      <c r="B583" t="s">
        <v>1012</v>
      </c>
      <c r="C583" t="s">
        <v>1014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Domestic Leontief Inverse Matrix.xlsx</v>
      </c>
      <c r="I583" s="5">
        <f>IFERROR(INDEX(About!$D:$D,MATCH(Sheet1!H583,About!$C:$C,0),1),0)</f>
        <v>1</v>
      </c>
      <c r="J583" s="6">
        <f t="shared" ref="J583:J646" si="21">IF(G583=".csv",1,0)*I583</f>
        <v>0</v>
      </c>
    </row>
    <row r="584" spans="1:10" x14ac:dyDescent="0.45">
      <c r="A584" t="s">
        <v>993</v>
      </c>
      <c r="B584" t="s">
        <v>1015</v>
      </c>
      <c r="C584" t="s">
        <v>1016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45">
      <c r="A585" t="s">
        <v>993</v>
      </c>
      <c r="B585" t="s">
        <v>1015</v>
      </c>
      <c r="C585" t="s">
        <v>1017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Domestic Taxes on Prod as Shr of Val Added by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993</v>
      </c>
      <c r="B586" t="s">
        <v>1129</v>
      </c>
      <c r="C586" t="s">
        <v>1130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ISIC Code.xlsx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993</v>
      </c>
      <c r="B587" t="s">
        <v>1129</v>
      </c>
      <c r="C587" t="s">
        <v>1131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Goods Purchased by ISIC Code.xlsx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993</v>
      </c>
      <c r="B588" t="s">
        <v>1129</v>
      </c>
      <c r="C588" t="s">
        <v>1197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 of Goods Purchased by ISIC Code.xlsx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45">
      <c r="A589" t="s">
        <v>993</v>
      </c>
      <c r="B589" t="s">
        <v>1129</v>
      </c>
      <c r="C589" t="s">
        <v>1132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Frac of Goods Purchased by ISIC Code.xlsx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45">
      <c r="A590" t="s">
        <v>993</v>
      </c>
      <c r="B590" t="s">
        <v>1198</v>
      </c>
      <c r="C590" t="s">
        <v>1199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/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45">
      <c r="A591" t="s">
        <v>993</v>
      </c>
      <c r="B591" t="s">
        <v>1198</v>
      </c>
      <c r="C591" t="s">
        <v>1200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/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45">
      <c r="A592" t="s">
        <v>993</v>
      </c>
      <c r="B592" t="s">
        <v>1198</v>
      </c>
      <c r="C592" t="s">
        <v>1201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/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45">
      <c r="A593" t="s">
        <v>993</v>
      </c>
      <c r="B593" t="s">
        <v>1018</v>
      </c>
      <c r="C593" t="s">
        <v>1019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Government Expenditures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993</v>
      </c>
      <c r="B594" t="s">
        <v>1018</v>
      </c>
      <c r="C594" t="s">
        <v>1020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Government Expenditures by ISIC Code.xlsx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45">
      <c r="A595" t="s">
        <v>993</v>
      </c>
      <c r="B595" t="s">
        <v>1021</v>
      </c>
      <c r="C595" t="s">
        <v>1022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Household Expenditures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993</v>
      </c>
      <c r="B596" t="s">
        <v>1021</v>
      </c>
      <c r="C596" t="s">
        <v>1023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Household Expenditures by ISIC Code.xlsx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45">
      <c r="A597" t="s">
        <v>993</v>
      </c>
      <c r="B597" t="s">
        <v>1202</v>
      </c>
      <c r="C597" t="s">
        <v>1203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/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45">
      <c r="A598" t="s">
        <v>993</v>
      </c>
      <c r="B598" t="s">
        <v>1202</v>
      </c>
      <c r="C598" t="s">
        <v>1204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/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45">
      <c r="A599" t="s">
        <v>993</v>
      </c>
      <c r="B599" t="s">
        <v>1058</v>
      </c>
      <c r="C599" t="s">
        <v>1059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Interest Rate on National Debt.xlsx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45">
      <c r="A600" t="s">
        <v>993</v>
      </c>
      <c r="B600" t="s">
        <v>1058</v>
      </c>
      <c r="C600" t="s">
        <v>1060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Interest Rate on National Debt.xlsx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993</v>
      </c>
      <c r="B601" t="s">
        <v>1024</v>
      </c>
      <c r="C601" t="s">
        <v>1025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Labor Productivity Growth Rate by ISIC Code.xlsx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45">
      <c r="A602" t="s">
        <v>993</v>
      </c>
      <c r="B602" t="s">
        <v>1024</v>
      </c>
      <c r="C602" t="s">
        <v>1026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Labor Productivity Growth Rate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45">
      <c r="A603" t="s">
        <v>993</v>
      </c>
      <c r="B603" t="s">
        <v>1061</v>
      </c>
      <c r="C603" t="s">
        <v>1062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Perc of National Debt Held by Entity.xlsx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45">
      <c r="A604" t="s">
        <v>993</v>
      </c>
      <c r="B604" t="s">
        <v>1061</v>
      </c>
      <c r="C604" t="s">
        <v>1063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Perc of National Debt Held by Entity.xlsx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993</v>
      </c>
      <c r="B605" t="s">
        <v>1205</v>
      </c>
      <c r="C605" t="s">
        <v>1206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/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45">
      <c r="A606" t="s">
        <v>993</v>
      </c>
      <c r="B606" t="s">
        <v>1205</v>
      </c>
      <c r="C606" t="s">
        <v>1207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/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45">
      <c r="A607" t="s">
        <v>993</v>
      </c>
      <c r="B607" t="s">
        <v>1027</v>
      </c>
      <c r="C607" t="s">
        <v>1028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Union Representation Perc by ISIC Code.xlsx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45">
      <c r="A608" t="s">
        <v>993</v>
      </c>
      <c r="B608" t="s">
        <v>1027</v>
      </c>
      <c r="C608" t="s">
        <v>1029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Union Representation Perc by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993</v>
      </c>
      <c r="B609" t="s">
        <v>443</v>
      </c>
      <c r="C609" t="s">
        <v>444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Worker Marg Income Tax Rate.xlsx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45">
      <c r="A610" t="s">
        <v>993</v>
      </c>
      <c r="B610" t="s">
        <v>443</v>
      </c>
      <c r="C610" t="s">
        <v>445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Worker Marg Income Tax Rate.xlsx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45">
      <c r="A611" t="s">
        <v>446</v>
      </c>
      <c r="B611" t="s">
        <v>1138</v>
      </c>
      <c r="G611" t="str">
        <f t="shared" si="20"/>
        <v/>
      </c>
      <c r="H611" s="5" t="str">
        <f>IFERROR(IF(B611="FoPITY",INDEX(Customizations!$C$2:$C$19,MATCH(Sheet1!C611,Customizations!$B$2:$B$19,0),1),INDEX(About!C:C,MATCH(Sheet1!B611,About!B:B,0),1)),"")</f>
        <v/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45">
      <c r="A612" t="s">
        <v>446</v>
      </c>
      <c r="B612" t="s">
        <v>447</v>
      </c>
      <c r="C612" t="s">
        <v>448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Annual Ongoing Cost of Land Use Pol per Unit Area.xlsx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45">
      <c r="A613" t="s">
        <v>446</v>
      </c>
      <c r="B613" t="s">
        <v>447</v>
      </c>
      <c r="C613" t="s">
        <v>449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Annual Ongoing Cost of Land Use Pol per Unit Area.xlsx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446</v>
      </c>
      <c r="B614" t="s">
        <v>450</v>
      </c>
      <c r="C614" t="s">
        <v>451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LULUCF Anthro Pollutant Emis.xlsx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45">
      <c r="A615" t="s">
        <v>446</v>
      </c>
      <c r="B615" t="s">
        <v>450</v>
      </c>
      <c r="C615" t="s">
        <v>452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LULUCF Anthro Pollutant Emis.xlsx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446</v>
      </c>
      <c r="B616" t="s">
        <v>453</v>
      </c>
      <c r="C616" t="s">
        <v>454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CO2 Abated per Unit Land Area by Impr For Mgmt.xlsx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446</v>
      </c>
      <c r="B617" t="s">
        <v>453</v>
      </c>
      <c r="C617" t="s">
        <v>455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CO2 Abated per Unit Land Area by Impr For Mgmt.xlsx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45">
      <c r="A618" t="s">
        <v>446</v>
      </c>
      <c r="B618" t="s">
        <v>456</v>
      </c>
      <c r="C618" t="s">
        <v>457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Chg in Land Val per Unit Area Affected by Pol.xlsx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45">
      <c r="A619" t="s">
        <v>446</v>
      </c>
      <c r="B619" t="s">
        <v>456</v>
      </c>
      <c r="C619" t="s">
        <v>458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Chg in Land Val per Unit Area Affected by Pol.xlsx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446</v>
      </c>
      <c r="B620" t="s">
        <v>459</v>
      </c>
      <c r="C620" t="s">
        <v>460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CO2 Sequestered per Unit Land Area per Year by Pol.xlsx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45">
      <c r="A621" t="s">
        <v>446</v>
      </c>
      <c r="B621" t="s">
        <v>459</v>
      </c>
      <c r="C621" t="s">
        <v>461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CO2 Sequestered per Unit Land Area per Year by Pol.xlsx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446</v>
      </c>
      <c r="B622" t="s">
        <v>462</v>
      </c>
      <c r="C622" t="s">
        <v>463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Fraction of Forests Owned by Entity.xlsx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446</v>
      </c>
      <c r="B623" t="s">
        <v>462</v>
      </c>
      <c r="C623" t="s">
        <v>464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Fraction of Forests Owned by Entity.xlsx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45">
      <c r="A624" t="s">
        <v>446</v>
      </c>
      <c r="B624" t="s">
        <v>465</v>
      </c>
      <c r="C624" t="s">
        <v>466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Impl Cost of Land Use Policies per Unit Area.xlsx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446</v>
      </c>
      <c r="B625" t="s">
        <v>465</v>
      </c>
      <c r="C625" t="s">
        <v>467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Impl Cost of Land Use Policies per Unit Area.xlsx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45">
      <c r="A626" t="s">
        <v>446</v>
      </c>
      <c r="B626" t="s">
        <v>468</v>
      </c>
      <c r="C626" t="s">
        <v>469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Potential Land Area Newly Affected by Pol in a Single Yr.xlsx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446</v>
      </c>
      <c r="B627" t="s">
        <v>468</v>
      </c>
      <c r="C627" t="s">
        <v>470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Potential Land Area Newly Affected by Pol in a Single Yr.xlsx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45">
      <c r="A628" t="s">
        <v>446</v>
      </c>
      <c r="B628" t="s">
        <v>471</v>
      </c>
      <c r="C628" t="s">
        <v>472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Rebound Pol Emis per Unit Avoided CO2 Emis.xlsx</v>
      </c>
      <c r="I628" s="5">
        <f>IFERROR(INDEX(About!$D:$D,MATCH(Sheet1!H628,About!$C:$C,0),1),0)</f>
        <v>1</v>
      </c>
      <c r="J628" s="6">
        <f t="shared" si="21"/>
        <v>0</v>
      </c>
    </row>
    <row r="629" spans="1:10" x14ac:dyDescent="0.45">
      <c r="A629" t="s">
        <v>446</v>
      </c>
      <c r="B629" t="s">
        <v>471</v>
      </c>
      <c r="C629" t="s">
        <v>473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Rebound Pol Emis per Unit Avoided CO2 Emis.xlsx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487</v>
      </c>
      <c r="B630" t="s">
        <v>488</v>
      </c>
      <c r="C630" t="s">
        <v>489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487</v>
      </c>
      <c r="B631" t="s">
        <v>488</v>
      </c>
      <c r="C631" t="s">
        <v>490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487</v>
      </c>
      <c r="B632" t="s">
        <v>488</v>
      </c>
      <c r="C632" t="s">
        <v>491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- 2 - RMI.xlsx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487</v>
      </c>
      <c r="B633" t="s">
        <v>488</v>
      </c>
      <c r="C633" t="s">
        <v>492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- 2 - RMI.xlsx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487</v>
      </c>
      <c r="B634" t="s">
        <v>488</v>
      </c>
      <c r="C634" t="s">
        <v>859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- 3 - 1.5.xlsx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487</v>
      </c>
      <c r="B635" t="s">
        <v>488</v>
      </c>
      <c r="C635" t="s">
        <v>493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- 3 - 1.5.xlsx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487</v>
      </c>
      <c r="B636" t="s">
        <v>488</v>
      </c>
      <c r="C636" t="s">
        <v>860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487</v>
      </c>
      <c r="B637" t="s">
        <v>488</v>
      </c>
      <c r="C637" t="s">
        <v>494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487</v>
      </c>
      <c r="B638" t="s">
        <v>488</v>
      </c>
      <c r="C638" t="s">
        <v>495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- 1 - Default.xlsx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487</v>
      </c>
      <c r="B639" t="s">
        <v>488</v>
      </c>
      <c r="C639" t="s">
        <v>496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Frac of Pol Impl This Yr - 1 - Default.xlsx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45">
      <c r="A640" t="s">
        <v>487</v>
      </c>
      <c r="B640" t="s">
        <v>488</v>
      </c>
      <c r="C640" t="s">
        <v>497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487</v>
      </c>
      <c r="B641" t="s">
        <v>488</v>
      </c>
      <c r="C641" t="s">
        <v>498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487</v>
      </c>
      <c r="B642" t="s">
        <v>488</v>
      </c>
      <c r="C642" t="s">
        <v>499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- 1 - Default.xlsx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487</v>
      </c>
      <c r="B643" t="s">
        <v>488</v>
      </c>
      <c r="C643" t="s">
        <v>1212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/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45">
      <c r="A644" t="s">
        <v>487</v>
      </c>
      <c r="B644" t="s">
        <v>488</v>
      </c>
      <c r="C644" t="s">
        <v>500</v>
      </c>
      <c r="G644" t="str">
        <f t="shared" si="20"/>
        <v>xlsx</v>
      </c>
      <c r="H644" s="5" t="str">
        <f>IFERROR(IF(B644="FoPITY",INDEX(Customizations!$C$2:$C$19,MATCH(Sheet1!C644,Customizations!$B$2:$B$19,0),1),INDEX(About!C:C,MATCH(Sheet1!B644,About!B:B,0),1)),"")</f>
        <v/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45">
      <c r="A645" t="s">
        <v>487</v>
      </c>
      <c r="B645" t="s">
        <v>488</v>
      </c>
      <c r="C645" t="s">
        <v>1213</v>
      </c>
      <c r="G645" t="str">
        <f t="shared" si="20"/>
        <v>xlsx</v>
      </c>
      <c r="H645" s="5" t="str">
        <f>IFERROR(IF(B645="FoPITY",INDEX(Customizations!$C$2:$C$19,MATCH(Sheet1!C645,Customizations!$B$2:$B$19,0),1),INDEX(About!C:C,MATCH(Sheet1!B645,About!B:B,0),1)),"")</f>
        <v/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45">
      <c r="A646" t="s">
        <v>487</v>
      </c>
      <c r="B646" t="s">
        <v>488</v>
      </c>
      <c r="C646" t="s">
        <v>1214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45">
      <c r="A647" t="s">
        <v>487</v>
      </c>
      <c r="B647" t="s">
        <v>501</v>
      </c>
      <c r="C647" t="s">
        <v>502</v>
      </c>
      <c r="G647" t="str">
        <f t="shared" ref="G647:G710" si="22">RIGHT(C647,"4")</f>
        <v>xlsx</v>
      </c>
      <c r="H647" s="5" t="str">
        <f>IFERROR(IF(B647="FoPITY",INDEX(Customizations!$C$2:$C$19,MATCH(Sheet1!C647,Customizations!$B$2:$B$19,0),1),INDEX(About!C:C,MATCH(Sheet1!B647,About!B:B,0),1)),"")</f>
        <v>Final Time.xlsx</v>
      </c>
      <c r="I647" s="5">
        <f>IFERROR(INDEX(About!$D:$D,MATCH(Sheet1!H647,About!$C:$C,0),1),0)</f>
        <v>1</v>
      </c>
      <c r="J647" s="6">
        <f t="shared" ref="J647:J710" si="23">IF(G647=".csv",1,0)*I647</f>
        <v>0</v>
      </c>
    </row>
    <row r="648" spans="1:10" x14ac:dyDescent="0.45">
      <c r="A648" t="s">
        <v>487</v>
      </c>
      <c r="B648" t="s">
        <v>501</v>
      </c>
      <c r="C648" t="s">
        <v>503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Final Time.xlsx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487</v>
      </c>
      <c r="B649" t="s">
        <v>504</v>
      </c>
      <c r="C649" t="s">
        <v>505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Initial Time.xlsx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45">
      <c r="A650" t="s">
        <v>487</v>
      </c>
      <c r="B650" t="s">
        <v>504</v>
      </c>
      <c r="C650" t="s">
        <v>506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Initial Time.xlsx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507</v>
      </c>
      <c r="B651" t="s">
        <v>1138</v>
      </c>
      <c r="G651" t="str">
        <f t="shared" si="22"/>
        <v/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45">
      <c r="A652" t="s">
        <v>507</v>
      </c>
      <c r="B652" t="s">
        <v>508</v>
      </c>
      <c r="C652" t="s">
        <v>509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Avg Vehicle Lifetime.xlsx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45">
      <c r="A653" t="s">
        <v>507</v>
      </c>
      <c r="B653" t="s">
        <v>508</v>
      </c>
      <c r="C653" t="s">
        <v>510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Avg Vehicle Lifetime.xlsx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507</v>
      </c>
      <c r="B654" t="s">
        <v>511</v>
      </c>
      <c r="C654" t="s">
        <v>512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Avg Vehicle Loading.xlsx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45">
      <c r="A655" t="s">
        <v>507</v>
      </c>
      <c r="B655" t="s">
        <v>511</v>
      </c>
      <c r="C655" t="s">
        <v>513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Avg Vehicle Loading.xlsx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507</v>
      </c>
      <c r="B656" t="s">
        <v>511</v>
      </c>
      <c r="C656" t="s">
        <v>514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Avg Vehicle Loading.xlsx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507</v>
      </c>
      <c r="B657" t="s">
        <v>924</v>
      </c>
      <c r="C657" t="s">
        <v>925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Annual Vehicle Maint Cost.xlsx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45">
      <c r="A658" t="s">
        <v>507</v>
      </c>
      <c r="B658" t="s">
        <v>924</v>
      </c>
      <c r="C658" t="s">
        <v>926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Annual Vehicle Maint Cost.xlsx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507</v>
      </c>
      <c r="B659" t="s">
        <v>924</v>
      </c>
      <c r="C659" t="s">
        <v>927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Annual Vehicle Maint Cost.xlsx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507</v>
      </c>
      <c r="B660" t="s">
        <v>515</v>
      </c>
      <c r="C660" t="s">
        <v>516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Avg Annual Dist Traveled by Veh Type.xlsx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507</v>
      </c>
      <c r="B661" t="s">
        <v>515</v>
      </c>
      <c r="C661" t="s">
        <v>517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Avg Annual Dist Traveled by Veh Type.xlsx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507</v>
      </c>
      <c r="B662" t="s">
        <v>515</v>
      </c>
      <c r="C662" t="s">
        <v>518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Avg Annual Dist Traveled by Veh Type.xlsx</v>
      </c>
      <c r="I662" s="5">
        <f>IFERROR(INDEX(About!$D:$D,MATCH(Sheet1!H662,About!$C:$C,0),1),0)</f>
        <v>1</v>
      </c>
      <c r="J662" s="6">
        <f t="shared" si="23"/>
        <v>0</v>
      </c>
    </row>
    <row r="663" spans="1:10" x14ac:dyDescent="0.45">
      <c r="A663" t="s">
        <v>507</v>
      </c>
      <c r="B663" t="s">
        <v>519</v>
      </c>
      <c r="C663" t="s">
        <v>520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Cargo Dist Transported Relative to Start Yr.xlsx</v>
      </c>
      <c r="I663" s="5">
        <f>IFERROR(INDEX(About!$D:$D,MATCH(Sheet1!H663,About!$C:$C,0),1),0)</f>
        <v>1</v>
      </c>
      <c r="J663" s="6">
        <f t="shared" si="23"/>
        <v>0</v>
      </c>
    </row>
    <row r="664" spans="1:10" x14ac:dyDescent="0.45">
      <c r="A664" t="s">
        <v>507</v>
      </c>
      <c r="B664" t="s">
        <v>519</v>
      </c>
      <c r="C664" t="s">
        <v>521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Cargo Dist Transported Relative to Start Yr.xlsx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507</v>
      </c>
      <c r="B665" t="s">
        <v>519</v>
      </c>
      <c r="C665" t="s">
        <v>522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Cargo Dist Transported Relative to Start Yr.xlsx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507</v>
      </c>
      <c r="B666" t="s">
        <v>523</v>
      </c>
      <c r="C666" t="s">
        <v>524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EV Subsidy Perc.xlsx</v>
      </c>
      <c r="I666" s="5">
        <f>IFERROR(INDEX(About!$D:$D,MATCH(Sheet1!H666,About!$C:$C,0),1),0)</f>
        <v>1</v>
      </c>
      <c r="J666" s="6">
        <f t="shared" si="23"/>
        <v>0</v>
      </c>
    </row>
    <row r="667" spans="1:10" x14ac:dyDescent="0.45">
      <c r="A667" t="s">
        <v>507</v>
      </c>
      <c r="B667" t="s">
        <v>523</v>
      </c>
      <c r="C667" t="s">
        <v>525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EV Subsidy Perc.xlsx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507</v>
      </c>
      <c r="B668" t="s">
        <v>523</v>
      </c>
      <c r="C668" t="s">
        <v>526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EV Subsidy Perc.xlsx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507</v>
      </c>
      <c r="B669" t="s">
        <v>527</v>
      </c>
      <c r="C669" t="s">
        <v>528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45">
      <c r="A670" t="s">
        <v>507</v>
      </c>
      <c r="B670" t="s">
        <v>527</v>
      </c>
      <c r="C670" t="s">
        <v>529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507</v>
      </c>
      <c r="B671" t="s">
        <v>527</v>
      </c>
      <c r="C671" t="s">
        <v>530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507</v>
      </c>
      <c r="B672" t="s">
        <v>527</v>
      </c>
      <c r="C672" t="s">
        <v>531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507</v>
      </c>
      <c r="B673" t="s">
        <v>527</v>
      </c>
      <c r="C673" t="s">
        <v>532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507</v>
      </c>
      <c r="B674" t="s">
        <v>527</v>
      </c>
      <c r="C674" t="s">
        <v>533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507</v>
      </c>
      <c r="B675" t="s">
        <v>527</v>
      </c>
      <c r="C675" t="s">
        <v>534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507</v>
      </c>
      <c r="B676" t="s">
        <v>527</v>
      </c>
      <c r="C676" t="s">
        <v>535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507</v>
      </c>
      <c r="B677" t="s">
        <v>527</v>
      </c>
      <c r="C677" t="s">
        <v>536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507</v>
      </c>
      <c r="B678" t="s">
        <v>527</v>
      </c>
      <c r="C678" t="s">
        <v>537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507</v>
      </c>
      <c r="B679" t="s">
        <v>527</v>
      </c>
      <c r="C679" t="s">
        <v>538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507</v>
      </c>
      <c r="B680" t="s">
        <v>527</v>
      </c>
      <c r="C680" t="s">
        <v>539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507</v>
      </c>
      <c r="B681" t="s">
        <v>527</v>
      </c>
      <c r="C681" t="s">
        <v>540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507</v>
      </c>
      <c r="B682" t="s">
        <v>541</v>
      </c>
      <c r="C682" t="s">
        <v>542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LCFS Perc.xlsx</v>
      </c>
      <c r="I682" s="5">
        <f>IFERROR(INDEX(About!$D:$D,MATCH(Sheet1!H682,About!$C:$C,0),1),0)</f>
        <v>1</v>
      </c>
      <c r="J682" s="6">
        <f t="shared" si="23"/>
        <v>0</v>
      </c>
    </row>
    <row r="683" spans="1:10" x14ac:dyDescent="0.45">
      <c r="A683" t="s">
        <v>507</v>
      </c>
      <c r="B683" t="s">
        <v>541</v>
      </c>
      <c r="C683" t="s">
        <v>543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LCFS Perc.xlsx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507</v>
      </c>
      <c r="B684" t="s">
        <v>544</v>
      </c>
      <c r="C684" t="s">
        <v>545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BAU Min Req EV Sales Perc.xlsx</v>
      </c>
      <c r="I684" s="5">
        <f>IFERROR(INDEX(About!$D:$D,MATCH(Sheet1!H684,About!$C:$C,0),1),0)</f>
        <v>1</v>
      </c>
      <c r="J684" s="6">
        <f t="shared" si="23"/>
        <v>0</v>
      </c>
    </row>
    <row r="685" spans="1:10" x14ac:dyDescent="0.45">
      <c r="A685" t="s">
        <v>507</v>
      </c>
      <c r="B685" t="s">
        <v>544</v>
      </c>
      <c r="C685" t="s">
        <v>546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Min Req EV Sales Perc.xlsx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507</v>
      </c>
      <c r="B686" t="s">
        <v>544</v>
      </c>
      <c r="C686" t="s">
        <v>547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Min Req EV Sales Perc.xlsx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507</v>
      </c>
      <c r="B687" t="s">
        <v>548</v>
      </c>
      <c r="C687" t="s">
        <v>549</v>
      </c>
      <c r="G687" t="str">
        <f t="shared" si="22"/>
        <v>xlsx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1</v>
      </c>
      <c r="J687" s="6">
        <f t="shared" si="23"/>
        <v>0</v>
      </c>
    </row>
    <row r="688" spans="1:10" x14ac:dyDescent="0.45">
      <c r="A688" t="s">
        <v>507</v>
      </c>
      <c r="B688" t="s">
        <v>548</v>
      </c>
      <c r="C688" t="s">
        <v>550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507</v>
      </c>
      <c r="B689" t="s">
        <v>548</v>
      </c>
      <c r="C689" t="s">
        <v>551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507</v>
      </c>
      <c r="B690" t="s">
        <v>548</v>
      </c>
      <c r="C690" t="s">
        <v>552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507</v>
      </c>
      <c r="B691" t="s">
        <v>548</v>
      </c>
      <c r="C691" t="s">
        <v>553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507</v>
      </c>
      <c r="B692" t="s">
        <v>548</v>
      </c>
      <c r="C692" t="s">
        <v>554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507</v>
      </c>
      <c r="B693" t="s">
        <v>548</v>
      </c>
      <c r="C693" t="s">
        <v>555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507</v>
      </c>
      <c r="B694" t="s">
        <v>548</v>
      </c>
      <c r="C694" t="s">
        <v>556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507</v>
      </c>
      <c r="B695" t="s">
        <v>548</v>
      </c>
      <c r="C695" t="s">
        <v>557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507</v>
      </c>
      <c r="B696" t="s">
        <v>548</v>
      </c>
      <c r="C696" t="s">
        <v>558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507</v>
      </c>
      <c r="B697" t="s">
        <v>548</v>
      </c>
      <c r="C697" t="s">
        <v>559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507</v>
      </c>
      <c r="B698" t="s">
        <v>548</v>
      </c>
      <c r="C698" t="s">
        <v>560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507</v>
      </c>
      <c r="B699" t="s">
        <v>548</v>
      </c>
      <c r="C699" t="s">
        <v>561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507</v>
      </c>
      <c r="B700" t="s">
        <v>562</v>
      </c>
      <c r="C700" t="s">
        <v>563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1</v>
      </c>
      <c r="J700" s="6">
        <f t="shared" si="23"/>
        <v>0</v>
      </c>
    </row>
    <row r="701" spans="1:10" x14ac:dyDescent="0.45">
      <c r="A701" t="s">
        <v>507</v>
      </c>
      <c r="B701" t="s">
        <v>562</v>
      </c>
      <c r="C701" t="s">
        <v>564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507</v>
      </c>
      <c r="B702" t="s">
        <v>562</v>
      </c>
      <c r="C702" t="s">
        <v>565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507</v>
      </c>
      <c r="B703" t="s">
        <v>562</v>
      </c>
      <c r="C703" t="s">
        <v>566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507</v>
      </c>
      <c r="B704" t="s">
        <v>562</v>
      </c>
      <c r="C704" t="s">
        <v>567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507</v>
      </c>
      <c r="B705" t="s">
        <v>562</v>
      </c>
      <c r="C705" t="s">
        <v>568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507</v>
      </c>
      <c r="B706" t="s">
        <v>562</v>
      </c>
      <c r="C706" t="s">
        <v>569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507</v>
      </c>
      <c r="B707" t="s">
        <v>562</v>
      </c>
      <c r="C707" t="s">
        <v>570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507</v>
      </c>
      <c r="B708" t="s">
        <v>562</v>
      </c>
      <c r="C708" t="s">
        <v>571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507</v>
      </c>
      <c r="B709" t="s">
        <v>562</v>
      </c>
      <c r="C709" t="s">
        <v>572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507</v>
      </c>
      <c r="B710" t="s">
        <v>562</v>
      </c>
      <c r="C710" t="s">
        <v>573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507</v>
      </c>
      <c r="B711" t="s">
        <v>562</v>
      </c>
      <c r="C711" t="s">
        <v>574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507</v>
      </c>
      <c r="B712" t="s">
        <v>562</v>
      </c>
      <c r="C712" t="s">
        <v>575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507</v>
      </c>
      <c r="B713" t="s">
        <v>576</v>
      </c>
      <c r="C713" t="s">
        <v>577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45">
      <c r="A714" t="s">
        <v>507</v>
      </c>
      <c r="B714" t="s">
        <v>576</v>
      </c>
      <c r="C714" t="s">
        <v>578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507</v>
      </c>
      <c r="B715" t="s">
        <v>576</v>
      </c>
      <c r="C715" t="s">
        <v>579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507</v>
      </c>
      <c r="B716" t="s">
        <v>576</v>
      </c>
      <c r="C716" t="s">
        <v>580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507</v>
      </c>
      <c r="B717" t="s">
        <v>576</v>
      </c>
      <c r="C717" t="s">
        <v>581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507</v>
      </c>
      <c r="B718" t="s">
        <v>576</v>
      </c>
      <c r="C718" t="s">
        <v>582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507</v>
      </c>
      <c r="B719" t="s">
        <v>576</v>
      </c>
      <c r="C719" t="s">
        <v>583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507</v>
      </c>
      <c r="B720" t="s">
        <v>576</v>
      </c>
      <c r="C720" t="s">
        <v>584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507</v>
      </c>
      <c r="B721" t="s">
        <v>576</v>
      </c>
      <c r="C721" t="s">
        <v>585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507</v>
      </c>
      <c r="B722" t="s">
        <v>576</v>
      </c>
      <c r="C722" t="s">
        <v>586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507</v>
      </c>
      <c r="B723" t="s">
        <v>576</v>
      </c>
      <c r="C723" t="s">
        <v>587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507</v>
      </c>
      <c r="B724" t="s">
        <v>576</v>
      </c>
      <c r="C724" t="s">
        <v>588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507</v>
      </c>
      <c r="B725" t="s">
        <v>576</v>
      </c>
      <c r="C725" t="s">
        <v>589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507</v>
      </c>
      <c r="B726" t="s">
        <v>576</v>
      </c>
      <c r="C726" t="s">
        <v>590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507</v>
      </c>
      <c r="B727" t="s">
        <v>576</v>
      </c>
      <c r="C727" t="s">
        <v>591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507</v>
      </c>
      <c r="B728" t="s">
        <v>576</v>
      </c>
      <c r="C728" t="s">
        <v>592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507</v>
      </c>
      <c r="B729" t="s">
        <v>576</v>
      </c>
      <c r="C729" t="s">
        <v>593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507</v>
      </c>
      <c r="B730" t="s">
        <v>576</v>
      </c>
      <c r="C730" t="s">
        <v>594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507</v>
      </c>
      <c r="B731" t="s">
        <v>576</v>
      </c>
      <c r="C731" t="s">
        <v>595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507</v>
      </c>
      <c r="B732" t="s">
        <v>576</v>
      </c>
      <c r="C732" t="s">
        <v>596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507</v>
      </c>
      <c r="B733" t="s">
        <v>576</v>
      </c>
      <c r="C733" t="s">
        <v>597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507</v>
      </c>
      <c r="B734" t="s">
        <v>576</v>
      </c>
      <c r="C734" t="s">
        <v>598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507</v>
      </c>
      <c r="B735" t="s">
        <v>576</v>
      </c>
      <c r="C735" t="s">
        <v>599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507</v>
      </c>
      <c r="B736" t="s">
        <v>576</v>
      </c>
      <c r="C736" t="s">
        <v>600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507</v>
      </c>
      <c r="B737" t="s">
        <v>576</v>
      </c>
      <c r="C737" t="s">
        <v>601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507</v>
      </c>
      <c r="B738" t="s">
        <v>576</v>
      </c>
      <c r="C738" t="s">
        <v>602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507</v>
      </c>
      <c r="B739" t="s">
        <v>576</v>
      </c>
      <c r="C739" t="s">
        <v>603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507</v>
      </c>
      <c r="B740" t="s">
        <v>576</v>
      </c>
      <c r="C740" t="s">
        <v>604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507</v>
      </c>
      <c r="B741" t="s">
        <v>576</v>
      </c>
      <c r="C741" t="s">
        <v>605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507</v>
      </c>
      <c r="B742" t="s">
        <v>576</v>
      </c>
      <c r="C742" t="s">
        <v>606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507</v>
      </c>
      <c r="B743" t="s">
        <v>576</v>
      </c>
      <c r="C743" t="s">
        <v>607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507</v>
      </c>
      <c r="B744" t="s">
        <v>576</v>
      </c>
      <c r="C744" t="s">
        <v>608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507</v>
      </c>
      <c r="B745" t="s">
        <v>576</v>
      </c>
      <c r="C745" t="s">
        <v>609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45">
      <c r="A746" t="s">
        <v>507</v>
      </c>
      <c r="B746" t="s">
        <v>576</v>
      </c>
      <c r="C746" t="s">
        <v>610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507</v>
      </c>
      <c r="B747" t="s">
        <v>576</v>
      </c>
      <c r="C747" t="s">
        <v>611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507</v>
      </c>
      <c r="B748" t="s">
        <v>576</v>
      </c>
      <c r="C748" t="s">
        <v>612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507</v>
      </c>
      <c r="B749" t="s">
        <v>576</v>
      </c>
      <c r="C749" t="s">
        <v>613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507</v>
      </c>
      <c r="B750" t="s">
        <v>576</v>
      </c>
      <c r="C750" t="s">
        <v>614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507</v>
      </c>
      <c r="B751" t="s">
        <v>576</v>
      </c>
      <c r="C751" t="s">
        <v>615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507</v>
      </c>
      <c r="B752" t="s">
        <v>576</v>
      </c>
      <c r="C752" t="s">
        <v>616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507</v>
      </c>
      <c r="B753" t="s">
        <v>576</v>
      </c>
      <c r="C753" t="s">
        <v>617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45">
      <c r="A754" t="s">
        <v>507</v>
      </c>
      <c r="B754" t="s">
        <v>576</v>
      </c>
      <c r="C754" t="s">
        <v>618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507</v>
      </c>
      <c r="B755" t="s">
        <v>576</v>
      </c>
      <c r="C755" t="s">
        <v>619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45">
      <c r="A756" t="s">
        <v>507</v>
      </c>
      <c r="B756" t="s">
        <v>576</v>
      </c>
      <c r="C756" t="s">
        <v>620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507</v>
      </c>
      <c r="B757" t="s">
        <v>576</v>
      </c>
      <c r="C757" t="s">
        <v>621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45">
      <c r="A758" t="s">
        <v>507</v>
      </c>
      <c r="B758" t="s">
        <v>576</v>
      </c>
      <c r="C758" t="s">
        <v>622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507</v>
      </c>
      <c r="B759" t="s">
        <v>576</v>
      </c>
      <c r="C759" t="s">
        <v>623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507</v>
      </c>
      <c r="B760" t="s">
        <v>576</v>
      </c>
      <c r="C760" t="s">
        <v>624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507</v>
      </c>
      <c r="B761" t="s">
        <v>576</v>
      </c>
      <c r="C761" t="s">
        <v>625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507</v>
      </c>
      <c r="B762" t="s">
        <v>576</v>
      </c>
      <c r="C762" t="s">
        <v>626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507</v>
      </c>
      <c r="B763" t="s">
        <v>576</v>
      </c>
      <c r="C763" t="s">
        <v>627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507</v>
      </c>
      <c r="B764" t="s">
        <v>576</v>
      </c>
      <c r="C764" t="s">
        <v>628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507</v>
      </c>
      <c r="B765" t="s">
        <v>576</v>
      </c>
      <c r="C765" t="s">
        <v>629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45">
      <c r="A766" t="s">
        <v>507</v>
      </c>
      <c r="B766" t="s">
        <v>576</v>
      </c>
      <c r="C766" t="s">
        <v>630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507</v>
      </c>
      <c r="B767" t="s">
        <v>576</v>
      </c>
      <c r="C767" t="s">
        <v>631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45">
      <c r="A768" t="s">
        <v>507</v>
      </c>
      <c r="B768" t="s">
        <v>576</v>
      </c>
      <c r="C768" t="s">
        <v>632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507</v>
      </c>
      <c r="B769" t="s">
        <v>576</v>
      </c>
      <c r="C769" t="s">
        <v>633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507</v>
      </c>
      <c r="B770" t="s">
        <v>576</v>
      </c>
      <c r="C770" t="s">
        <v>634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45">
      <c r="A771" t="s">
        <v>507</v>
      </c>
      <c r="B771" t="s">
        <v>576</v>
      </c>
      <c r="C771" t="s">
        <v>635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507</v>
      </c>
      <c r="B772" t="s">
        <v>576</v>
      </c>
      <c r="C772" t="s">
        <v>636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45">
      <c r="A773" t="s">
        <v>507</v>
      </c>
      <c r="B773" t="s">
        <v>576</v>
      </c>
      <c r="C773" t="s">
        <v>637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45">
      <c r="A774" t="s">
        <v>507</v>
      </c>
      <c r="B774" t="s">
        <v>576</v>
      </c>
      <c r="C774" t="s">
        <v>638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45">
      <c r="A775" t="s">
        <v>507</v>
      </c>
      <c r="B775" t="s">
        <v>576</v>
      </c>
      <c r="C775" t="s">
        <v>639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45">
      <c r="A776" t="s">
        <v>507</v>
      </c>
      <c r="B776" t="s">
        <v>576</v>
      </c>
      <c r="C776" t="s">
        <v>640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507</v>
      </c>
      <c r="B777" t="s">
        <v>576</v>
      </c>
      <c r="C777" t="s">
        <v>641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507</v>
      </c>
      <c r="B778" t="s">
        <v>576</v>
      </c>
      <c r="C778" t="s">
        <v>642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507</v>
      </c>
      <c r="B779" t="s">
        <v>576</v>
      </c>
      <c r="C779" t="s">
        <v>643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507</v>
      </c>
      <c r="B780" t="s">
        <v>576</v>
      </c>
      <c r="C780" t="s">
        <v>644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507</v>
      </c>
      <c r="B781" t="s">
        <v>576</v>
      </c>
      <c r="C781" t="s">
        <v>645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507</v>
      </c>
      <c r="B782" t="s">
        <v>576</v>
      </c>
      <c r="C782" t="s">
        <v>646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507</v>
      </c>
      <c r="B783" t="s">
        <v>576</v>
      </c>
      <c r="C783" t="s">
        <v>647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507</v>
      </c>
      <c r="B784" t="s">
        <v>576</v>
      </c>
      <c r="C784" t="s">
        <v>648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507</v>
      </c>
      <c r="B785" t="s">
        <v>576</v>
      </c>
      <c r="C785" t="s">
        <v>649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507</v>
      </c>
      <c r="B786" t="s">
        <v>650</v>
      </c>
      <c r="C786" t="s">
        <v>651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BAU Rng Anxiety and Charge Time Shadow Costs.xlsx</v>
      </c>
      <c r="I786" s="5">
        <f>IFERROR(INDEX(About!$D:$D,MATCH(Sheet1!H786,About!$C:$C,0),1),0)</f>
        <v>1</v>
      </c>
      <c r="J786" s="6">
        <f t="shared" si="27"/>
        <v>0</v>
      </c>
    </row>
    <row r="787" spans="1:10" x14ac:dyDescent="0.45">
      <c r="A787" t="s">
        <v>507</v>
      </c>
      <c r="B787" t="s">
        <v>650</v>
      </c>
      <c r="C787" t="s">
        <v>652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Rng Anxiety and Charge Time Shadow Costs.xlsx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507</v>
      </c>
      <c r="B788" t="s">
        <v>653</v>
      </c>
      <c r="C788" t="s">
        <v>654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Boolean Veh Types Subject to LCFS.xlsx</v>
      </c>
      <c r="I788" s="5">
        <f>IFERROR(INDEX(About!$D:$D,MATCH(Sheet1!H788,About!$C:$C,0),1),0)</f>
        <v>1</v>
      </c>
      <c r="J788" s="6">
        <f t="shared" si="27"/>
        <v>0</v>
      </c>
    </row>
    <row r="789" spans="1:10" x14ac:dyDescent="0.45">
      <c r="A789" t="s">
        <v>507</v>
      </c>
      <c r="B789" t="s">
        <v>653</v>
      </c>
      <c r="C789" t="s">
        <v>655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Boolean Veh Types Subject to LCFS.xlsx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507</v>
      </c>
      <c r="B790" t="s">
        <v>656</v>
      </c>
      <c r="C790" t="s">
        <v>657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Carbon Intensity Ratios by Transport Fuel.xlsx</v>
      </c>
      <c r="I790" s="5">
        <f>IFERROR(INDEX(About!$D:$D,MATCH(Sheet1!H790,About!$C:$C,0),1),0)</f>
        <v>1</v>
      </c>
      <c r="J790" s="6">
        <f t="shared" si="27"/>
        <v>0</v>
      </c>
    </row>
    <row r="791" spans="1:10" x14ac:dyDescent="0.45">
      <c r="A791" t="s">
        <v>507</v>
      </c>
      <c r="B791" t="s">
        <v>656</v>
      </c>
      <c r="C791" t="s">
        <v>658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Carbon Intensity Ratios by Transport Fuel.xlsx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507</v>
      </c>
      <c r="B792" t="s">
        <v>659</v>
      </c>
      <c r="C792" t="s">
        <v>660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Embedded Carbon per Vehicle.xlsx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507</v>
      </c>
      <c r="B793" t="s">
        <v>659</v>
      </c>
      <c r="C793" t="s">
        <v>661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Embedded Carbon per Vehicle.xlsx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507</v>
      </c>
      <c r="B794" t="s">
        <v>659</v>
      </c>
      <c r="C794" t="s">
        <v>662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Embedded Carbon per Vehicle.xlsx</v>
      </c>
      <c r="I794" s="5">
        <f>IFERROR(INDEX(About!$D:$D,MATCH(Sheet1!H794,About!$C:$C,0),1),0)</f>
        <v>1</v>
      </c>
      <c r="J794" s="6">
        <f t="shared" si="27"/>
        <v>0</v>
      </c>
    </row>
    <row r="795" spans="1:10" x14ac:dyDescent="0.45">
      <c r="A795" t="s">
        <v>507</v>
      </c>
      <c r="B795" t="s">
        <v>663</v>
      </c>
      <c r="C795" t="s">
        <v>664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Effect of Charging Stations on EV Market Share.xlsx</v>
      </c>
      <c r="I795" s="5">
        <f>IFERROR(INDEX(About!$D:$D,MATCH(Sheet1!H795,About!$C:$C,0),1),0)</f>
        <v>1</v>
      </c>
      <c r="J795" s="6">
        <f t="shared" si="27"/>
        <v>0</v>
      </c>
    </row>
    <row r="796" spans="1:10" x14ac:dyDescent="0.45">
      <c r="A796" t="s">
        <v>507</v>
      </c>
      <c r="B796" t="s">
        <v>663</v>
      </c>
      <c r="C796" t="s">
        <v>665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Effect of Charging Stations on EV Market Share.xlsx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507</v>
      </c>
      <c r="B797" t="s">
        <v>666</v>
      </c>
      <c r="C797" t="s">
        <v>667</v>
      </c>
      <c r="G797" t="str">
        <f t="shared" si="26"/>
        <v>xlsx</v>
      </c>
      <c r="H797" s="5" t="str">
        <f>IFERROR(IF(B797="FoPITY",INDEX(Customizations!$C$2:$C$19,MATCH(Sheet1!C797,Customizations!$B$2:$B$19,0),1),INDEX(About!C:C,MATCH(Sheet1!B797,About!B:B,0),1)),"")</f>
        <v>Elast of Demand for Veh Use wrt Fuel Cost.xlsx</v>
      </c>
      <c r="I797" s="5">
        <f>IFERROR(INDEX(About!$D:$D,MATCH(Sheet1!H797,About!$C:$C,0),1),0)</f>
        <v>1</v>
      </c>
      <c r="J797" s="6">
        <f t="shared" si="27"/>
        <v>0</v>
      </c>
    </row>
    <row r="798" spans="1:10" x14ac:dyDescent="0.45">
      <c r="A798" t="s">
        <v>507</v>
      </c>
      <c r="B798" t="s">
        <v>666</v>
      </c>
      <c r="C798" t="s">
        <v>668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Demand for Veh Use wrt Fuel Cost.xlsx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507</v>
      </c>
      <c r="B799" t="s">
        <v>669</v>
      </c>
      <c r="C799" t="s">
        <v>670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Effect of Feebate on New Veh Fuel Econ.xlsx</v>
      </c>
      <c r="I799" s="5">
        <f>IFERROR(INDEX(About!$D:$D,MATCH(Sheet1!H799,About!$C:$C,0),1),0)</f>
        <v>1</v>
      </c>
      <c r="J799" s="6">
        <f t="shared" si="27"/>
        <v>0</v>
      </c>
    </row>
    <row r="800" spans="1:10" x14ac:dyDescent="0.45">
      <c r="A800" t="s">
        <v>507</v>
      </c>
      <c r="B800" t="s">
        <v>669</v>
      </c>
      <c r="C800" t="s">
        <v>671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Effect of Feebate on New Veh Fuel Econ.xlsx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507</v>
      </c>
      <c r="B801" t="s">
        <v>672</v>
      </c>
      <c r="C801" t="s">
        <v>673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1</v>
      </c>
      <c r="J801" s="6">
        <f t="shared" si="27"/>
        <v>0</v>
      </c>
    </row>
    <row r="802" spans="1:10" x14ac:dyDescent="0.45">
      <c r="A802" t="s">
        <v>507</v>
      </c>
      <c r="B802" t="s">
        <v>672</v>
      </c>
      <c r="C802" t="s">
        <v>674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507</v>
      </c>
      <c r="B803" t="s">
        <v>672</v>
      </c>
      <c r="C803" t="s">
        <v>675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507</v>
      </c>
      <c r="B804" t="s">
        <v>672</v>
      </c>
      <c r="C804" t="s">
        <v>676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507</v>
      </c>
      <c r="B805" t="s">
        <v>672</v>
      </c>
      <c r="C805" t="s">
        <v>677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Elast of New Veh Fuel Econ wrt Fuel Cost.xlsx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507</v>
      </c>
      <c r="B806" t="s">
        <v>672</v>
      </c>
      <c r="C806" t="s">
        <v>678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507</v>
      </c>
      <c r="B807" t="s">
        <v>672</v>
      </c>
      <c r="C807" t="s">
        <v>679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507</v>
      </c>
      <c r="B808" t="s">
        <v>680</v>
      </c>
      <c r="C808" t="s">
        <v>681</v>
      </c>
      <c r="G808" t="str">
        <f t="shared" si="26"/>
        <v>xlsx</v>
      </c>
      <c r="H808" s="5" t="str">
        <f>IFERROR(IF(B808="FoPITY",INDEX(Customizations!$C$2:$C$19,MATCH(Sheet1!C808,Customizations!$B$2:$B$19,0),1),INDEX(About!C:C,MATCH(Sheet1!B808,About!B:B,0),1)),"")</f>
        <v>Elasticity of Veh Price wrt Fuel Econ.xlsx</v>
      </c>
      <c r="I808" s="5">
        <f>IFERROR(INDEX(About!$D:$D,MATCH(Sheet1!H808,About!$C:$C,0),1),0)</f>
        <v>1</v>
      </c>
      <c r="J808" s="6">
        <f t="shared" si="27"/>
        <v>0</v>
      </c>
    </row>
    <row r="809" spans="1:10" x14ac:dyDescent="0.45">
      <c r="A809" t="s">
        <v>507</v>
      </c>
      <c r="B809" t="s">
        <v>680</v>
      </c>
      <c r="C809" t="s">
        <v>682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Elasticity of Veh Price wrt Fuel Econ.xlsx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507</v>
      </c>
      <c r="B810" t="s">
        <v>1030</v>
      </c>
      <c r="C810" t="s">
        <v>1031</v>
      </c>
      <c r="G810" t="str">
        <f t="shared" si="26"/>
        <v>xlsx</v>
      </c>
      <c r="H810" s="5" t="str">
        <f>IFERROR(IF(B810="FoPITY",INDEX(Customizations!$C$2:$C$19,MATCH(Sheet1!C810,Customizations!$B$2:$B$19,0),1),INDEX(About!C:C,MATCH(Sheet1!B810,About!B:B,0),1)),"")</f>
        <v>EV Charger Cost.xlsx</v>
      </c>
      <c r="I810" s="5">
        <f>IFERROR(INDEX(About!$D:$D,MATCH(Sheet1!H810,About!$C:$C,0),1),0)</f>
        <v>1</v>
      </c>
      <c r="J810" s="6">
        <f t="shared" si="27"/>
        <v>0</v>
      </c>
    </row>
    <row r="811" spans="1:10" x14ac:dyDescent="0.45">
      <c r="A811" t="s">
        <v>507</v>
      </c>
      <c r="B811" t="s">
        <v>1030</v>
      </c>
      <c r="C811" t="s">
        <v>1032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EV Charger Cost.xlsx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507</v>
      </c>
      <c r="B812" t="s">
        <v>1133</v>
      </c>
      <c r="C812" t="s">
        <v>1134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EV Charger Revenue Share by Recip ISIC Code.xlsx</v>
      </c>
      <c r="I812" s="5">
        <f>IFERROR(INDEX(About!$D:$D,MATCH(Sheet1!H812,About!$C:$C,0),1),0)</f>
        <v>1</v>
      </c>
      <c r="J812" s="6">
        <f t="shared" si="27"/>
        <v>0</v>
      </c>
    </row>
    <row r="813" spans="1:10" x14ac:dyDescent="0.45">
      <c r="A813" t="s">
        <v>507</v>
      </c>
      <c r="B813" t="s">
        <v>1133</v>
      </c>
      <c r="C813" t="s">
        <v>1135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EV Charger Revenue Share by Recip ISIC Code.xlsx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45">
      <c r="A814" t="s">
        <v>507</v>
      </c>
      <c r="B814" t="s">
        <v>683</v>
      </c>
      <c r="C814" t="s">
        <v>684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Fraction of Veh Owned by Entity.xlsx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45">
      <c r="A815" t="s">
        <v>507</v>
      </c>
      <c r="B815" t="s">
        <v>683</v>
      </c>
      <c r="C815" t="s">
        <v>685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Fraction of Veh Owned by Entity.xlsx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507</v>
      </c>
      <c r="B816" t="s">
        <v>683</v>
      </c>
      <c r="C816" t="s">
        <v>686</v>
      </c>
      <c r="G816" t="str">
        <f t="shared" si="26"/>
        <v>xlsx</v>
      </c>
      <c r="H816" s="5" t="str">
        <f>IFERROR(IF(B816="FoPITY",INDEX(Customizations!$C$2:$C$19,MATCH(Sheet1!C816,Customizations!$B$2:$B$19,0),1),INDEX(About!C:C,MATCH(Sheet1!B816,About!B:B,0),1)),"")</f>
        <v>Fraction of Veh Owned by Entity.xlsx</v>
      </c>
      <c r="I816" s="5">
        <f>IFERROR(INDEX(About!$D:$D,MATCH(Sheet1!H816,About!$C:$C,0),1),0)</f>
        <v>1</v>
      </c>
      <c r="J816" s="6">
        <f t="shared" si="27"/>
        <v>0</v>
      </c>
    </row>
    <row r="817" spans="1:10" x14ac:dyDescent="0.45">
      <c r="A817" t="s">
        <v>507</v>
      </c>
      <c r="B817" t="s">
        <v>687</v>
      </c>
      <c r="C817" t="s">
        <v>688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Grams CO2e Avoided per LCFS Credit.xlsx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507</v>
      </c>
      <c r="B818" t="s">
        <v>687</v>
      </c>
      <c r="C818" t="s">
        <v>689</v>
      </c>
      <c r="G818" t="str">
        <f t="shared" ref="G818:G881" si="28">RIGHT(C818,"4")</f>
        <v>xlsx</v>
      </c>
      <c r="H818" s="5" t="str">
        <f>IFERROR(IF(B818="FoPITY",INDEX(Customizations!$C$2:$C$19,MATCH(Sheet1!C818,Customizations!$B$2:$B$19,0),1),INDEX(About!C:C,MATCH(Sheet1!B818,About!B:B,0),1)),"")</f>
        <v>Grams CO2e Avoided per LCFS Credit.xlsx</v>
      </c>
      <c r="I818" s="5">
        <f>IFERROR(INDEX(About!$D:$D,MATCH(Sheet1!H818,About!$C:$C,0),1),0)</f>
        <v>1</v>
      </c>
      <c r="J818" s="6">
        <f t="shared" ref="J818:J881" si="29">IF(G818=".csv",1,0)*I818</f>
        <v>0</v>
      </c>
    </row>
    <row r="819" spans="1:10" x14ac:dyDescent="0.45">
      <c r="A819" t="s">
        <v>507</v>
      </c>
      <c r="B819" t="s">
        <v>690</v>
      </c>
      <c r="C819" t="s">
        <v>691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Incremental Cost to Produce Substitute Fuel for LCFS.xlsx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507</v>
      </c>
      <c r="B820" t="s">
        <v>690</v>
      </c>
      <c r="C820" t="s">
        <v>692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Incremental Cost to Produce Substitute Fuel for LCFS.xlsx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45">
      <c r="A821" t="s">
        <v>507</v>
      </c>
      <c r="B821" t="s">
        <v>693</v>
      </c>
      <c r="C821" t="s">
        <v>694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LCFS Credit Price Cap.xlsx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45">
      <c r="A822" t="s">
        <v>507</v>
      </c>
      <c r="B822" t="s">
        <v>693</v>
      </c>
      <c r="C822" t="s">
        <v>695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LCFS Credit Price Cap.xlsx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507</v>
      </c>
      <c r="B823" t="s">
        <v>696</v>
      </c>
      <c r="C823" t="s">
        <v>697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45">
      <c r="A824" t="s">
        <v>507</v>
      </c>
      <c r="B824" t="s">
        <v>696</v>
      </c>
      <c r="C824" t="s">
        <v>698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507</v>
      </c>
      <c r="B825" t="s">
        <v>696</v>
      </c>
      <c r="C825" t="s">
        <v>699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507</v>
      </c>
      <c r="B826" t="s">
        <v>696</v>
      </c>
      <c r="C826" t="s">
        <v>700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507</v>
      </c>
      <c r="B827" t="s">
        <v>696</v>
      </c>
      <c r="C827" t="s">
        <v>701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507</v>
      </c>
      <c r="B828" t="s">
        <v>696</v>
      </c>
      <c r="C828" t="s">
        <v>702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New Veh by Technology.xlsx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507</v>
      </c>
      <c r="B829" t="s">
        <v>696</v>
      </c>
      <c r="C829" t="s">
        <v>703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New Veh by Technology.xlsx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507</v>
      </c>
      <c r="B830" t="s">
        <v>696</v>
      </c>
      <c r="C830" t="s">
        <v>704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New Veh by Technology.xlsx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507</v>
      </c>
      <c r="B831" t="s">
        <v>696</v>
      </c>
      <c r="C831" t="s">
        <v>705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New Veh by Technology.xlsx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507</v>
      </c>
      <c r="B832" t="s">
        <v>696</v>
      </c>
      <c r="C832" t="s">
        <v>706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New Veh by Technology.xlsx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507</v>
      </c>
      <c r="B833" t="s">
        <v>696</v>
      </c>
      <c r="C833" t="s">
        <v>707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New Veh by Technology.xlsx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507</v>
      </c>
      <c r="B834" t="s">
        <v>696</v>
      </c>
      <c r="C834" t="s">
        <v>708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New Veh by Technology.xlsx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507</v>
      </c>
      <c r="B835" t="s">
        <v>696</v>
      </c>
      <c r="C835" t="s">
        <v>709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New Veh by Technology.xlsx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507</v>
      </c>
      <c r="B836" t="s">
        <v>710</v>
      </c>
      <c r="C836" t="s">
        <v>711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0</v>
      </c>
    </row>
    <row r="837" spans="1:10" x14ac:dyDescent="0.45">
      <c r="A837" t="s">
        <v>507</v>
      </c>
      <c r="B837" t="s">
        <v>710</v>
      </c>
      <c r="C837" t="s">
        <v>712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507</v>
      </c>
      <c r="B838" t="s">
        <v>710</v>
      </c>
      <c r="C838" t="s">
        <v>713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507</v>
      </c>
      <c r="B839" t="s">
        <v>710</v>
      </c>
      <c r="C839" t="s">
        <v>714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507</v>
      </c>
      <c r="B840" t="s">
        <v>710</v>
      </c>
      <c r="C840" t="s">
        <v>715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507</v>
      </c>
      <c r="B841" t="s">
        <v>710</v>
      </c>
      <c r="C841" t="s">
        <v>716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507</v>
      </c>
      <c r="B842" t="s">
        <v>710</v>
      </c>
      <c r="C842" t="s">
        <v>717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507</v>
      </c>
      <c r="B843" t="s">
        <v>710</v>
      </c>
      <c r="C843" t="s">
        <v>718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507</v>
      </c>
      <c r="B844" t="s">
        <v>710</v>
      </c>
      <c r="C844" t="s">
        <v>719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507</v>
      </c>
      <c r="B845" t="s">
        <v>710</v>
      </c>
      <c r="C845" t="s">
        <v>720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507</v>
      </c>
      <c r="B846" t="s">
        <v>710</v>
      </c>
      <c r="C846" t="s">
        <v>721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507</v>
      </c>
      <c r="B847" t="s">
        <v>710</v>
      </c>
      <c r="C847" t="s">
        <v>722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507</v>
      </c>
      <c r="B848" t="s">
        <v>710</v>
      </c>
      <c r="C848" t="s">
        <v>723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507</v>
      </c>
      <c r="B849" t="s">
        <v>710</v>
      </c>
      <c r="C849" t="s">
        <v>724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507</v>
      </c>
      <c r="B850" t="s">
        <v>710</v>
      </c>
      <c r="C850" t="s">
        <v>725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507</v>
      </c>
      <c r="B851" t="s">
        <v>710</v>
      </c>
      <c r="C851" t="s">
        <v>726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507</v>
      </c>
      <c r="B852" t="s">
        <v>710</v>
      </c>
      <c r="C852" t="s">
        <v>727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507</v>
      </c>
      <c r="B853" t="s">
        <v>710</v>
      </c>
      <c r="C853" t="s">
        <v>728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45">
      <c r="A854" t="s">
        <v>507</v>
      </c>
      <c r="B854" t="s">
        <v>710</v>
      </c>
      <c r="C854" t="s">
        <v>729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507</v>
      </c>
      <c r="B855" t="s">
        <v>710</v>
      </c>
      <c r="C855" t="s">
        <v>730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507</v>
      </c>
      <c r="B856" t="s">
        <v>710</v>
      </c>
      <c r="C856" t="s">
        <v>731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507</v>
      </c>
      <c r="B857" t="s">
        <v>710</v>
      </c>
      <c r="C857" t="s">
        <v>732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507</v>
      </c>
      <c r="B858" t="s">
        <v>710</v>
      </c>
      <c r="C858" t="s">
        <v>733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507</v>
      </c>
      <c r="B859" t="s">
        <v>710</v>
      </c>
      <c r="C859" t="s">
        <v>734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507</v>
      </c>
      <c r="B860" t="s">
        <v>710</v>
      </c>
      <c r="C860" t="s">
        <v>735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45">
      <c r="A861" t="s">
        <v>507</v>
      </c>
      <c r="B861" t="s">
        <v>710</v>
      </c>
      <c r="C861" t="s">
        <v>736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45">
      <c r="A862" t="s">
        <v>507</v>
      </c>
      <c r="B862" t="s">
        <v>710</v>
      </c>
      <c r="C862" t="s">
        <v>737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45">
      <c r="A863" t="s">
        <v>507</v>
      </c>
      <c r="B863" t="s">
        <v>710</v>
      </c>
      <c r="C863" t="s">
        <v>738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45">
      <c r="A864" t="s">
        <v>507</v>
      </c>
      <c r="B864" t="s">
        <v>710</v>
      </c>
      <c r="C864" t="s">
        <v>739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45">
      <c r="A865" t="s">
        <v>507</v>
      </c>
      <c r="B865" t="s">
        <v>710</v>
      </c>
      <c r="C865" t="s">
        <v>740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507</v>
      </c>
      <c r="B866" t="s">
        <v>710</v>
      </c>
      <c r="C866" t="s">
        <v>741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45">
      <c r="A867" t="s">
        <v>507</v>
      </c>
      <c r="B867" t="s">
        <v>710</v>
      </c>
      <c r="C867" t="s">
        <v>742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45">
      <c r="A868" t="s">
        <v>507</v>
      </c>
      <c r="B868" t="s">
        <v>710</v>
      </c>
      <c r="C868" t="s">
        <v>743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45">
      <c r="A869" t="s">
        <v>507</v>
      </c>
      <c r="B869" t="s">
        <v>710</v>
      </c>
      <c r="C869" t="s">
        <v>744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45">
      <c r="A870" t="s">
        <v>507</v>
      </c>
      <c r="B870" t="s">
        <v>710</v>
      </c>
      <c r="C870" t="s">
        <v>745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45">
      <c r="A871" t="s">
        <v>507</v>
      </c>
      <c r="B871" t="s">
        <v>710</v>
      </c>
      <c r="C871" t="s">
        <v>746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45">
      <c r="A872" t="s">
        <v>507</v>
      </c>
      <c r="B872" t="s">
        <v>710</v>
      </c>
      <c r="C872" t="s">
        <v>747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45">
      <c r="A873" t="s">
        <v>507</v>
      </c>
      <c r="B873" t="s">
        <v>710</v>
      </c>
      <c r="C873" t="s">
        <v>748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45">
      <c r="A874" t="s">
        <v>507</v>
      </c>
      <c r="B874" t="s">
        <v>710</v>
      </c>
      <c r="C874" t="s">
        <v>749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45">
      <c r="A875" t="s">
        <v>507</v>
      </c>
      <c r="B875" t="s">
        <v>710</v>
      </c>
      <c r="C875" t="s">
        <v>750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45">
      <c r="A876" t="s">
        <v>507</v>
      </c>
      <c r="B876" t="s">
        <v>710</v>
      </c>
      <c r="C876" t="s">
        <v>751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45">
      <c r="A877" t="s">
        <v>507</v>
      </c>
      <c r="B877" t="s">
        <v>710</v>
      </c>
      <c r="C877" t="s">
        <v>752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45">
      <c r="A878" t="s">
        <v>507</v>
      </c>
      <c r="B878" t="s">
        <v>710</v>
      </c>
      <c r="C878" t="s">
        <v>753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45">
      <c r="A879" t="s">
        <v>507</v>
      </c>
      <c r="B879" t="s">
        <v>710</v>
      </c>
      <c r="C879" t="s">
        <v>754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45">
      <c r="A880" t="s">
        <v>507</v>
      </c>
      <c r="B880" t="s">
        <v>710</v>
      </c>
      <c r="C880" t="s">
        <v>755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45">
      <c r="A881" t="s">
        <v>507</v>
      </c>
      <c r="B881" t="s">
        <v>710</v>
      </c>
      <c r="C881" t="s">
        <v>756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45">
      <c r="A882" t="s">
        <v>507</v>
      </c>
      <c r="B882" t="s">
        <v>710</v>
      </c>
      <c r="C882" t="s">
        <v>757</v>
      </c>
      <c r="G882" t="str">
        <f t="shared" ref="G882:G941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ref="J882:J941" si="31">IF(G882=".csv",1,0)*I882</f>
        <v>1</v>
      </c>
    </row>
    <row r="883" spans="1:10" x14ac:dyDescent="0.45">
      <c r="A883" t="s">
        <v>507</v>
      </c>
      <c r="B883" t="s">
        <v>710</v>
      </c>
      <c r="C883" t="s">
        <v>758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45">
      <c r="A884" t="s">
        <v>507</v>
      </c>
      <c r="B884" t="s">
        <v>710</v>
      </c>
      <c r="C884" t="s">
        <v>759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45">
      <c r="A885" t="s">
        <v>507</v>
      </c>
      <c r="B885" t="s">
        <v>710</v>
      </c>
      <c r="C885" t="s">
        <v>760</v>
      </c>
      <c r="G885" t="str">
        <f t="shared" si="30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1"/>
        <v>1</v>
      </c>
    </row>
    <row r="886" spans="1:10" x14ac:dyDescent="0.45">
      <c r="A886" t="s">
        <v>507</v>
      </c>
      <c r="B886" t="s">
        <v>710</v>
      </c>
      <c r="C886" t="s">
        <v>761</v>
      </c>
      <c r="G886" t="str">
        <f t="shared" si="30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1"/>
        <v>1</v>
      </c>
    </row>
    <row r="887" spans="1:10" x14ac:dyDescent="0.45">
      <c r="A887" t="s">
        <v>507</v>
      </c>
      <c r="B887" t="s">
        <v>710</v>
      </c>
      <c r="C887" t="s">
        <v>762</v>
      </c>
      <c r="G887" t="str">
        <f t="shared" si="30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1"/>
        <v>1</v>
      </c>
    </row>
    <row r="888" spans="1:10" x14ac:dyDescent="0.45">
      <c r="A888" t="s">
        <v>507</v>
      </c>
      <c r="B888" t="s">
        <v>710</v>
      </c>
      <c r="C888" t="s">
        <v>763</v>
      </c>
      <c r="G888" t="str">
        <f t="shared" si="30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1"/>
        <v>1</v>
      </c>
    </row>
    <row r="889" spans="1:10" x14ac:dyDescent="0.45">
      <c r="A889" t="s">
        <v>507</v>
      </c>
      <c r="B889" t="s">
        <v>710</v>
      </c>
      <c r="C889" t="s">
        <v>764</v>
      </c>
      <c r="G889" t="str">
        <f t="shared" si="30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1"/>
        <v>1</v>
      </c>
    </row>
    <row r="890" spans="1:10" x14ac:dyDescent="0.45">
      <c r="A890" t="s">
        <v>507</v>
      </c>
      <c r="B890" t="s">
        <v>710</v>
      </c>
      <c r="C890" t="s">
        <v>765</v>
      </c>
      <c r="G890" t="str">
        <f t="shared" si="30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1"/>
        <v>1</v>
      </c>
    </row>
    <row r="891" spans="1:10" x14ac:dyDescent="0.45">
      <c r="A891" t="s">
        <v>507</v>
      </c>
      <c r="B891" t="s">
        <v>710</v>
      </c>
      <c r="C891" t="s">
        <v>766</v>
      </c>
      <c r="G891" t="str">
        <f t="shared" si="30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1"/>
        <v>1</v>
      </c>
    </row>
    <row r="892" spans="1:10" x14ac:dyDescent="0.45">
      <c r="A892" t="s">
        <v>507</v>
      </c>
      <c r="B892" t="s">
        <v>710</v>
      </c>
      <c r="C892" t="s">
        <v>767</v>
      </c>
      <c r="G892" t="str">
        <f t="shared" si="30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1"/>
        <v>1</v>
      </c>
    </row>
    <row r="893" spans="1:10" x14ac:dyDescent="0.45">
      <c r="A893" t="s">
        <v>507</v>
      </c>
      <c r="B893" t="s">
        <v>710</v>
      </c>
      <c r="C893" t="s">
        <v>768</v>
      </c>
      <c r="G893" t="str">
        <f t="shared" si="30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1"/>
        <v>1</v>
      </c>
    </row>
    <row r="894" spans="1:10" x14ac:dyDescent="0.45">
      <c r="A894" t="s">
        <v>507</v>
      </c>
      <c r="B894" t="s">
        <v>710</v>
      </c>
      <c r="C894" t="s">
        <v>769</v>
      </c>
      <c r="G894" t="str">
        <f t="shared" si="30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1"/>
        <v>1</v>
      </c>
    </row>
    <row r="895" spans="1:10" x14ac:dyDescent="0.45">
      <c r="A895" t="s">
        <v>507</v>
      </c>
      <c r="B895" t="s">
        <v>710</v>
      </c>
      <c r="C895" t="s">
        <v>770</v>
      </c>
      <c r="G895" t="str">
        <f t="shared" si="30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1"/>
        <v>1</v>
      </c>
    </row>
    <row r="896" spans="1:10" x14ac:dyDescent="0.45">
      <c r="A896" t="s">
        <v>507</v>
      </c>
      <c r="B896" t="s">
        <v>710</v>
      </c>
      <c r="C896" t="s">
        <v>771</v>
      </c>
      <c r="G896" t="str">
        <f t="shared" si="30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1"/>
        <v>1</v>
      </c>
    </row>
    <row r="897" spans="1:10" x14ac:dyDescent="0.45">
      <c r="A897" t="s">
        <v>507</v>
      </c>
      <c r="B897" t="s">
        <v>710</v>
      </c>
      <c r="C897" t="s">
        <v>772</v>
      </c>
      <c r="G897" t="str">
        <f t="shared" si="30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1"/>
        <v>1</v>
      </c>
    </row>
    <row r="898" spans="1:10" x14ac:dyDescent="0.45">
      <c r="A898" t="s">
        <v>507</v>
      </c>
      <c r="B898" t="s">
        <v>710</v>
      </c>
      <c r="C898" t="s">
        <v>773</v>
      </c>
      <c r="G898" t="str">
        <f t="shared" si="30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1"/>
        <v>1</v>
      </c>
    </row>
    <row r="899" spans="1:10" x14ac:dyDescent="0.45">
      <c r="A899" t="s">
        <v>507</v>
      </c>
      <c r="B899" t="s">
        <v>710</v>
      </c>
      <c r="C899" t="s">
        <v>774</v>
      </c>
      <c r="G899" t="str">
        <f t="shared" si="30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1"/>
        <v>1</v>
      </c>
    </row>
    <row r="900" spans="1:10" x14ac:dyDescent="0.45">
      <c r="A900" t="s">
        <v>507</v>
      </c>
      <c r="B900" t="s">
        <v>710</v>
      </c>
      <c r="C900" t="s">
        <v>775</v>
      </c>
      <c r="G900" t="str">
        <f t="shared" si="30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1"/>
        <v>1</v>
      </c>
    </row>
    <row r="901" spans="1:10" x14ac:dyDescent="0.45">
      <c r="A901" t="s">
        <v>507</v>
      </c>
      <c r="B901" t="s">
        <v>710</v>
      </c>
      <c r="C901" t="s">
        <v>776</v>
      </c>
      <c r="G901" t="str">
        <f t="shared" si="30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1"/>
        <v>1</v>
      </c>
    </row>
    <row r="902" spans="1:10" x14ac:dyDescent="0.45">
      <c r="A902" t="s">
        <v>507</v>
      </c>
      <c r="B902" t="s">
        <v>710</v>
      </c>
      <c r="C902" t="s">
        <v>777</v>
      </c>
      <c r="G902" t="str">
        <f t="shared" si="30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1"/>
        <v>1</v>
      </c>
    </row>
    <row r="903" spans="1:10" x14ac:dyDescent="0.45">
      <c r="A903" t="s">
        <v>507</v>
      </c>
      <c r="B903" t="s">
        <v>710</v>
      </c>
      <c r="C903" t="s">
        <v>778</v>
      </c>
      <c r="G903" t="str">
        <f t="shared" si="30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si="31"/>
        <v>1</v>
      </c>
    </row>
    <row r="904" spans="1:10" x14ac:dyDescent="0.45">
      <c r="A904" t="s">
        <v>507</v>
      </c>
      <c r="B904" t="s">
        <v>710</v>
      </c>
      <c r="C904" t="s">
        <v>779</v>
      </c>
      <c r="G904" t="str">
        <f t="shared" si="30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1"/>
        <v>1</v>
      </c>
    </row>
    <row r="905" spans="1:10" x14ac:dyDescent="0.45">
      <c r="A905" t="s">
        <v>507</v>
      </c>
      <c r="B905" t="s">
        <v>710</v>
      </c>
      <c r="C905" t="s">
        <v>780</v>
      </c>
      <c r="G905" t="str">
        <f t="shared" si="30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1"/>
        <v>1</v>
      </c>
    </row>
    <row r="906" spans="1:10" x14ac:dyDescent="0.45">
      <c r="A906" t="s">
        <v>507</v>
      </c>
      <c r="B906" t="s">
        <v>710</v>
      </c>
      <c r="C906" t="s">
        <v>781</v>
      </c>
      <c r="G906" t="str">
        <f t="shared" si="30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1"/>
        <v>1</v>
      </c>
    </row>
    <row r="907" spans="1:10" x14ac:dyDescent="0.45">
      <c r="A907" t="s">
        <v>507</v>
      </c>
      <c r="B907" t="s">
        <v>710</v>
      </c>
      <c r="C907" t="s">
        <v>782</v>
      </c>
      <c r="G907" t="str">
        <f t="shared" si="30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1"/>
        <v>1</v>
      </c>
    </row>
    <row r="908" spans="1:10" x14ac:dyDescent="0.45">
      <c r="A908" t="s">
        <v>507</v>
      </c>
      <c r="B908" t="s">
        <v>710</v>
      </c>
      <c r="C908" t="s">
        <v>783</v>
      </c>
      <c r="G908" t="str">
        <f t="shared" si="30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1"/>
        <v>1</v>
      </c>
    </row>
    <row r="909" spans="1:10" x14ac:dyDescent="0.45">
      <c r="A909" t="s">
        <v>507</v>
      </c>
      <c r="B909" t="s">
        <v>1167</v>
      </c>
      <c r="C909" t="s">
        <v>1168</v>
      </c>
      <c r="G909" t="str">
        <f t="shared" si="30"/>
        <v>xlsx</v>
      </c>
      <c r="H909" s="5" t="str">
        <f>IFERROR(IF(B909="FoPITY",INDEX(Customizations!$C$2:$C$19,MATCH(Sheet1!C909,Customizations!$B$2:$B$19,0),1),INDEX(About!C:C,MATCH(Sheet1!B909,About!B:B,0),1)),"")</f>
        <v>Population.xlsx</v>
      </c>
      <c r="I909" s="5">
        <f>IFERROR(INDEX(About!$D:$D,MATCH(Sheet1!H909,About!$C:$C,0),1),0)</f>
        <v>1</v>
      </c>
      <c r="J909" s="6">
        <f t="shared" si="31"/>
        <v>0</v>
      </c>
    </row>
    <row r="910" spans="1:10" x14ac:dyDescent="0.45">
      <c r="A910" t="s">
        <v>507</v>
      </c>
      <c r="B910" t="s">
        <v>784</v>
      </c>
      <c r="C910" t="s">
        <v>785</v>
      </c>
      <c r="G910" t="str">
        <f t="shared" si="30"/>
        <v>.csv</v>
      </c>
      <c r="H910" s="5" t="str">
        <f>IFERROR(IF(B910="FoPITY",INDEX(Customizations!$C$2:$C$19,MATCH(Sheet1!C910,Customizations!$B$2:$B$19,0),1),INDEX(About!C:C,MATCH(Sheet1!B910,About!B:B,0),1)),"")</f>
        <v>Perc Chng in Cargo Dist Transported due to TDM.xlsx</v>
      </c>
      <c r="I910" s="5">
        <f>IFERROR(INDEX(About!$D:$D,MATCH(Sheet1!H910,About!$C:$C,0),1),0)</f>
        <v>1</v>
      </c>
      <c r="J910" s="6">
        <f t="shared" si="31"/>
        <v>1</v>
      </c>
    </row>
    <row r="911" spans="1:10" x14ac:dyDescent="0.45">
      <c r="A911" t="s">
        <v>507</v>
      </c>
      <c r="B911" t="s">
        <v>784</v>
      </c>
      <c r="C911" t="s">
        <v>786</v>
      </c>
      <c r="G911" t="str">
        <f t="shared" si="30"/>
        <v>xlsx</v>
      </c>
      <c r="H911" s="5" t="str">
        <f>IFERROR(IF(B911="FoPITY",INDEX(Customizations!$C$2:$C$19,MATCH(Sheet1!C911,Customizations!$B$2:$B$19,0),1),INDEX(About!C:C,MATCH(Sheet1!B911,About!B:B,0),1)),"")</f>
        <v>Perc Chng in Cargo Dist Transported due to TDM.xlsx</v>
      </c>
      <c r="I911" s="5">
        <f>IFERROR(INDEX(About!$D:$D,MATCH(Sheet1!H911,About!$C:$C,0),1),0)</f>
        <v>1</v>
      </c>
      <c r="J911" s="6">
        <f t="shared" si="31"/>
        <v>0</v>
      </c>
    </row>
    <row r="912" spans="1:10" x14ac:dyDescent="0.45">
      <c r="A912" t="s">
        <v>507</v>
      </c>
      <c r="B912" t="s">
        <v>787</v>
      </c>
      <c r="C912" t="s">
        <v>788</v>
      </c>
      <c r="G912" t="str">
        <f t="shared" si="30"/>
        <v>xlsx</v>
      </c>
      <c r="H912" s="5" t="str">
        <f>IFERROR(IF(B912="FoPITY",INDEX(Customizations!$C$2:$C$19,MATCH(Sheet1!C912,Customizations!$B$2:$B$19,0),1),INDEX(About!C:C,MATCH(Sheet1!B912,About!B:B,0),1)),"")</f>
        <v>Perc Trans Fuel Use Reduction for Elec.xlsx</v>
      </c>
      <c r="I912" s="5">
        <f>IFERROR(INDEX(About!$D:$D,MATCH(Sheet1!H912,About!$C:$C,0),1),0)</f>
        <v>1</v>
      </c>
      <c r="J912" s="6">
        <f t="shared" si="31"/>
        <v>0</v>
      </c>
    </row>
    <row r="913" spans="1:10" x14ac:dyDescent="0.45">
      <c r="A913" t="s">
        <v>507</v>
      </c>
      <c r="B913" t="s">
        <v>787</v>
      </c>
      <c r="C913" t="s">
        <v>789</v>
      </c>
      <c r="G913" t="str">
        <f t="shared" si="30"/>
        <v>.csv</v>
      </c>
      <c r="H913" s="5" t="str">
        <f>IFERROR(IF(B913="FoPITY",INDEX(Customizations!$C$2:$C$19,MATCH(Sheet1!C913,Customizations!$B$2:$B$19,0),1),INDEX(About!C:C,MATCH(Sheet1!B913,About!B:B,0),1)),"")</f>
        <v>Perc Trans Fuel Use Reduction for Elec.xlsx</v>
      </c>
      <c r="I913" s="5">
        <f>IFERROR(INDEX(About!$D:$D,MATCH(Sheet1!H913,About!$C:$C,0),1),0)</f>
        <v>1</v>
      </c>
      <c r="J913" s="6">
        <f t="shared" si="31"/>
        <v>1</v>
      </c>
    </row>
    <row r="914" spans="1:10" x14ac:dyDescent="0.45">
      <c r="A914" t="s">
        <v>507</v>
      </c>
      <c r="B914" t="s">
        <v>1033</v>
      </c>
      <c r="C914" t="s">
        <v>1034</v>
      </c>
      <c r="G914" t="str">
        <f t="shared" si="30"/>
        <v>.csv</v>
      </c>
      <c r="H914" s="5" t="str">
        <f>IFERROR(IF(B914="FoPITY",INDEX(Customizations!$C$2:$C$19,MATCH(Sheet1!C914,Customizations!$B$2:$B$19,0),1),INDEX(About!C:C,MATCH(Sheet1!B914,About!B:B,0),1)),"")</f>
        <v>Quantization Size for Vehicles.xlsx</v>
      </c>
      <c r="I914" s="5">
        <f>IFERROR(INDEX(About!$D:$D,MATCH(Sheet1!H914,About!$C:$C,0),1),0)</f>
        <v>1</v>
      </c>
      <c r="J914" s="6">
        <f t="shared" si="31"/>
        <v>1</v>
      </c>
    </row>
    <row r="915" spans="1:10" x14ac:dyDescent="0.45">
      <c r="A915" t="s">
        <v>507</v>
      </c>
      <c r="B915" t="s">
        <v>1033</v>
      </c>
      <c r="C915" t="s">
        <v>1035</v>
      </c>
      <c r="G915" t="str">
        <f t="shared" si="30"/>
        <v>xlsx</v>
      </c>
      <c r="H915" s="5" t="str">
        <f>IFERROR(IF(B915="FoPITY",INDEX(Customizations!$C$2:$C$19,MATCH(Sheet1!C915,Customizations!$B$2:$B$19,0),1),INDEX(About!C:C,MATCH(Sheet1!B915,About!B:B,0),1)),"")</f>
        <v>Quantization Size for Vehicles.xlsx</v>
      </c>
      <c r="I915" s="5">
        <f>IFERROR(INDEX(About!$D:$D,MATCH(Sheet1!H915,About!$C:$C,0),1),0)</f>
        <v>1</v>
      </c>
      <c r="J915" s="6">
        <f t="shared" si="31"/>
        <v>0</v>
      </c>
    </row>
    <row r="916" spans="1:10" x14ac:dyDescent="0.45">
      <c r="A916" t="s">
        <v>507</v>
      </c>
      <c r="B916" t="s">
        <v>1215</v>
      </c>
      <c r="C916" t="s">
        <v>1216</v>
      </c>
      <c r="G916" t="str">
        <f t="shared" si="30"/>
        <v>xlsx</v>
      </c>
      <c r="H916" s="5" t="str">
        <f>IFERROR(IF(B916="FoPITY",INDEX(Customizations!$C$2:$C$19,MATCH(Sheet1!C916,Customizations!$B$2:$B$19,0),1),INDEX(About!C:C,MATCH(Sheet1!B916,About!B:B,0),1)),"")</f>
        <v/>
      </c>
      <c r="I916" s="5">
        <f>IFERROR(INDEX(About!$D:$D,MATCH(Sheet1!H916,About!$C:$C,0),1),0)</f>
        <v>0</v>
      </c>
      <c r="J916" s="6">
        <f t="shared" si="31"/>
        <v>0</v>
      </c>
    </row>
    <row r="917" spans="1:10" x14ac:dyDescent="0.45">
      <c r="A917" t="s">
        <v>507</v>
      </c>
      <c r="B917" t="s">
        <v>1215</v>
      </c>
      <c r="C917" t="s">
        <v>1217</v>
      </c>
      <c r="G917" t="str">
        <f t="shared" si="30"/>
        <v>.csv</v>
      </c>
      <c r="H917" s="5" t="str">
        <f>IFERROR(IF(B917="FoPITY",INDEX(Customizations!$C$2:$C$19,MATCH(Sheet1!C917,Customizations!$B$2:$B$19,0),1),INDEX(About!C:C,MATCH(Sheet1!B917,About!B:B,0),1)),"")</f>
        <v/>
      </c>
      <c r="I917" s="5">
        <f>IFERROR(INDEX(About!$D:$D,MATCH(Sheet1!H917,About!$C:$C,0),1),0)</f>
        <v>0</v>
      </c>
      <c r="J917" s="6">
        <f t="shared" si="31"/>
        <v>0</v>
      </c>
    </row>
    <row r="918" spans="1:10" x14ac:dyDescent="0.45">
      <c r="A918" t="s">
        <v>507</v>
      </c>
      <c r="B918" t="s">
        <v>1215</v>
      </c>
      <c r="C918" t="s">
        <v>1218</v>
      </c>
      <c r="G918" t="str">
        <f t="shared" si="30"/>
        <v>.csv</v>
      </c>
      <c r="H918" s="5" t="str">
        <f>IFERROR(IF(B918="FoPITY",INDEX(Customizations!$C$2:$C$19,MATCH(Sheet1!C918,Customizations!$B$2:$B$19,0),1),INDEX(About!C:C,MATCH(Sheet1!B918,About!B:B,0),1)),"")</f>
        <v/>
      </c>
      <c r="I918" s="5">
        <f>IFERROR(INDEX(About!$D:$D,MATCH(Sheet1!H918,About!$C:$C,0),1),0)</f>
        <v>0</v>
      </c>
      <c r="J918" s="6">
        <f t="shared" si="31"/>
        <v>0</v>
      </c>
    </row>
    <row r="919" spans="1:10" x14ac:dyDescent="0.45">
      <c r="A919" t="s">
        <v>507</v>
      </c>
      <c r="B919" t="s">
        <v>790</v>
      </c>
      <c r="C919" t="s">
        <v>791</v>
      </c>
      <c r="G919" t="str">
        <f t="shared" si="30"/>
        <v>.csv</v>
      </c>
      <c r="H919" s="5" t="str">
        <f>IFERROR(IF(B919="FoPITY",INDEX(Customizations!$C$2:$C$19,MATCH(Sheet1!C919,Customizations!$B$2:$B$19,0),1),INDEX(About!C:C,MATCH(Sheet1!B919,About!B:B,0),1)),"")</f>
        <v>Std Dev of Veh Prices by Technology.xlsx</v>
      </c>
      <c r="I919" s="5">
        <f>IFERROR(INDEX(About!$D:$D,MATCH(Sheet1!H919,About!$C:$C,0),1),0)</f>
        <v>1</v>
      </c>
      <c r="J919" s="6">
        <f t="shared" si="31"/>
        <v>1</v>
      </c>
    </row>
    <row r="920" spans="1:10" x14ac:dyDescent="0.45">
      <c r="A920" t="s">
        <v>507</v>
      </c>
      <c r="B920" t="s">
        <v>790</v>
      </c>
      <c r="C920" t="s">
        <v>792</v>
      </c>
      <c r="G920" t="str">
        <f t="shared" si="30"/>
        <v>.csv</v>
      </c>
      <c r="H920" s="5" t="str">
        <f>IFERROR(IF(B920="FoPITY",INDEX(Customizations!$C$2:$C$19,MATCH(Sheet1!C920,Customizations!$B$2:$B$19,0),1),INDEX(About!C:C,MATCH(Sheet1!B920,About!B:B,0),1)),"")</f>
        <v>Std Dev of Veh Prices by Technology.xlsx</v>
      </c>
      <c r="I920" s="5">
        <f>IFERROR(INDEX(About!$D:$D,MATCH(Sheet1!H920,About!$C:$C,0),1),0)</f>
        <v>1</v>
      </c>
      <c r="J920" s="6">
        <f t="shared" si="31"/>
        <v>1</v>
      </c>
    </row>
    <row r="921" spans="1:10" x14ac:dyDescent="0.45">
      <c r="A921" t="s">
        <v>507</v>
      </c>
      <c r="B921" t="s">
        <v>790</v>
      </c>
      <c r="C921" t="s">
        <v>793</v>
      </c>
      <c r="G921" t="str">
        <f t="shared" si="30"/>
        <v>xlsx</v>
      </c>
      <c r="H921" s="5" t="str">
        <f>IFERROR(IF(B921="FoPITY",INDEX(Customizations!$C$2:$C$19,MATCH(Sheet1!C921,Customizations!$B$2:$B$19,0),1),INDEX(About!C:C,MATCH(Sheet1!B921,About!B:B,0),1)),"")</f>
        <v>Std Dev of Veh Prices by Technology.xlsx</v>
      </c>
      <c r="I921" s="5">
        <f>IFERROR(INDEX(About!$D:$D,MATCH(Sheet1!H921,About!$C:$C,0),1),0)</f>
        <v>1</v>
      </c>
      <c r="J921" s="6">
        <f t="shared" si="31"/>
        <v>0</v>
      </c>
    </row>
    <row r="922" spans="1:10" x14ac:dyDescent="0.45">
      <c r="A922" t="s">
        <v>507</v>
      </c>
      <c r="B922" t="s">
        <v>794</v>
      </c>
      <c r="C922" t="s">
        <v>795</v>
      </c>
      <c r="G922" t="str">
        <f t="shared" si="30"/>
        <v>xlsx</v>
      </c>
      <c r="H922" s="5" t="str">
        <f>IFERROR(IF(B922="FoPITY",INDEX(Customizations!$C$2:$C$19,MATCH(Sheet1!C922,Customizations!$B$2:$B$19,0),1),INDEX(About!C:C,MATCH(Sheet1!B922,About!B:B,0),1)),"")</f>
        <v>Share of Cargo Dist Transported that is New This Year.xlsx</v>
      </c>
      <c r="I922" s="5">
        <f>IFERROR(INDEX(About!$D:$D,MATCH(Sheet1!H922,About!$C:$C,0),1),0)</f>
        <v>1</v>
      </c>
      <c r="J922" s="6">
        <f t="shared" si="31"/>
        <v>0</v>
      </c>
    </row>
    <row r="923" spans="1:10" x14ac:dyDescent="0.45">
      <c r="A923" t="s">
        <v>507</v>
      </c>
      <c r="B923" t="s">
        <v>794</v>
      </c>
      <c r="C923" t="s">
        <v>898</v>
      </c>
      <c r="G923" t="str">
        <f t="shared" si="30"/>
        <v>.csv</v>
      </c>
      <c r="H923" s="5" t="str">
        <f>IFERROR(IF(B923="FoPITY",INDEX(Customizations!$C$2:$C$19,MATCH(Sheet1!C923,Customizations!$B$2:$B$19,0),1),INDEX(About!C:C,MATCH(Sheet1!B923,About!B:B,0),1)),"")</f>
        <v>Share of Cargo Dist Transported that is New This Year.xlsx</v>
      </c>
      <c r="I923" s="5">
        <f>IFERROR(INDEX(About!$D:$D,MATCH(Sheet1!H923,About!$C:$C,0),1),0)</f>
        <v>1</v>
      </c>
      <c r="J923" s="6">
        <f t="shared" si="31"/>
        <v>1</v>
      </c>
    </row>
    <row r="924" spans="1:10" x14ac:dyDescent="0.45">
      <c r="A924" t="s">
        <v>507</v>
      </c>
      <c r="B924" t="s">
        <v>794</v>
      </c>
      <c r="C924" t="s">
        <v>899</v>
      </c>
      <c r="G924" t="str">
        <f t="shared" si="30"/>
        <v>.csv</v>
      </c>
      <c r="H924" s="5" t="str">
        <f>IFERROR(IF(B924="FoPITY",INDEX(Customizations!$C$2:$C$19,MATCH(Sheet1!C924,Customizations!$B$2:$B$19,0),1),INDEX(About!C:C,MATCH(Sheet1!B924,About!B:B,0),1)),"")</f>
        <v>Share of Cargo Dist Transported that is New This Year.xlsx</v>
      </c>
      <c r="I924" s="5">
        <f>IFERROR(INDEX(About!$D:$D,MATCH(Sheet1!H924,About!$C:$C,0),1),0)</f>
        <v>1</v>
      </c>
      <c r="J924" s="6">
        <f t="shared" si="31"/>
        <v>1</v>
      </c>
    </row>
    <row r="925" spans="1:10" x14ac:dyDescent="0.45">
      <c r="A925" t="s">
        <v>507</v>
      </c>
      <c r="B925" t="s">
        <v>796</v>
      </c>
      <c r="C925" t="s">
        <v>797</v>
      </c>
      <c r="G925" t="str">
        <f t="shared" si="30"/>
        <v>xlsx</v>
      </c>
      <c r="H925" s="5" t="str">
        <f>IFERROR(IF(B925="FoPITY",INDEX(Customizations!$C$2:$C$19,MATCH(Sheet1!C925,Customizations!$B$2:$B$19,0),1),INDEX(About!C:C,MATCH(Sheet1!B925,About!B:B,0),1)),"")</f>
        <v>Separately Regulated Pollutants by Vehicle Type.xlsx</v>
      </c>
      <c r="I925" s="5">
        <f>IFERROR(INDEX(About!$D:$D,MATCH(Sheet1!H925,About!$C:$C,0),1),0)</f>
        <v>1</v>
      </c>
      <c r="J925" s="6">
        <f t="shared" si="31"/>
        <v>0</v>
      </c>
    </row>
    <row r="926" spans="1:10" x14ac:dyDescent="0.45">
      <c r="A926" t="s">
        <v>507</v>
      </c>
      <c r="B926" t="s">
        <v>796</v>
      </c>
      <c r="C926" t="s">
        <v>798</v>
      </c>
      <c r="G926" t="str">
        <f t="shared" si="30"/>
        <v>.csv</v>
      </c>
      <c r="H926" s="5" t="str">
        <f>IFERROR(IF(B926="FoPITY",INDEX(Customizations!$C$2:$C$19,MATCH(Sheet1!C926,Customizations!$B$2:$B$19,0),1),INDEX(About!C:C,MATCH(Sheet1!B926,About!B:B,0),1)),"")</f>
        <v>Separately Regulated Pollutants by Vehicle Type.xlsx</v>
      </c>
      <c r="I926" s="5">
        <f>IFERROR(INDEX(About!$D:$D,MATCH(Sheet1!H926,About!$C:$C,0),1),0)</f>
        <v>1</v>
      </c>
      <c r="J926" s="6">
        <f t="shared" si="31"/>
        <v>1</v>
      </c>
    </row>
    <row r="927" spans="1:10" x14ac:dyDescent="0.45">
      <c r="A927" t="s">
        <v>507</v>
      </c>
      <c r="B927" t="s">
        <v>799</v>
      </c>
      <c r="C927" t="s">
        <v>800</v>
      </c>
      <c r="G927" t="str">
        <f t="shared" si="30"/>
        <v>xlsx</v>
      </c>
      <c r="H927" s="5" t="str">
        <f>IFERROR(IF(B927="FoPITY",INDEX(Customizations!$C$2:$C$19,MATCH(Sheet1!C927,Customizations!$B$2:$B$19,0),1),INDEX(About!C:C,MATCH(Sheet1!B927,About!B:B,0),1)),"")</f>
        <v>Start Year Battery Share of EV Price.xlsx</v>
      </c>
      <c r="I927" s="5">
        <f>IFERROR(INDEX(About!$D:$D,MATCH(Sheet1!H927,About!$C:$C,0),1),0)</f>
        <v>1</v>
      </c>
      <c r="J927" s="6">
        <f t="shared" si="31"/>
        <v>0</v>
      </c>
    </row>
    <row r="928" spans="1:10" x14ac:dyDescent="0.45">
      <c r="A928" t="s">
        <v>507</v>
      </c>
      <c r="B928" t="s">
        <v>799</v>
      </c>
      <c r="C928" t="s">
        <v>801</v>
      </c>
      <c r="G928" t="str">
        <f t="shared" si="30"/>
        <v>.csv</v>
      </c>
      <c r="H928" s="5" t="str">
        <f>IFERROR(IF(B928="FoPITY",INDEX(Customizations!$C$2:$C$19,MATCH(Sheet1!C928,Customizations!$B$2:$B$19,0),1),INDEX(About!C:C,MATCH(Sheet1!B928,About!B:B,0),1)),"")</f>
        <v>Start Year Battery Share of EV Price.xlsx</v>
      </c>
      <c r="I928" s="5">
        <f>IFERROR(INDEX(About!$D:$D,MATCH(Sheet1!H928,About!$C:$C,0),1),0)</f>
        <v>1</v>
      </c>
      <c r="J928" s="6">
        <f t="shared" si="31"/>
        <v>1</v>
      </c>
    </row>
    <row r="929" spans="1:10" x14ac:dyDescent="0.45">
      <c r="A929" t="s">
        <v>507</v>
      </c>
      <c r="B929" t="s">
        <v>802</v>
      </c>
      <c r="C929" t="s">
        <v>803</v>
      </c>
      <c r="G929" t="str">
        <f t="shared" si="30"/>
        <v>xlsx</v>
      </c>
      <c r="H929" s="5" t="str">
        <f>IFERROR(IF(B929="FoPITY",INDEX(Customizations!$C$2:$C$19,MATCH(Sheet1!C929,Customizations!$B$2:$B$19,0),1),INDEX(About!C:C,MATCH(Sheet1!B929,About!B:B,0),1)),"")</f>
        <v>Start Year Fleet Avg Fuel Economy.xlsx</v>
      </c>
      <c r="I929" s="5">
        <f>IFERROR(INDEX(About!$D:$D,MATCH(Sheet1!H929,About!$C:$C,0),1),0)</f>
        <v>1</v>
      </c>
      <c r="J929" s="6">
        <f t="shared" si="31"/>
        <v>0</v>
      </c>
    </row>
    <row r="930" spans="1:10" x14ac:dyDescent="0.45">
      <c r="A930" t="s">
        <v>507</v>
      </c>
      <c r="B930" t="s">
        <v>802</v>
      </c>
      <c r="C930" t="s">
        <v>804</v>
      </c>
      <c r="G930" t="str">
        <f t="shared" si="30"/>
        <v>.csv</v>
      </c>
      <c r="H930" s="5" t="str">
        <f>IFERROR(IF(B930="FoPITY",INDEX(Customizations!$C$2:$C$19,MATCH(Sheet1!C930,Customizations!$B$2:$B$19,0),1),INDEX(About!C:C,MATCH(Sheet1!B930,About!B:B,0),1)),"")</f>
        <v>Start Year Fleet Avg Fuel Economy.xlsx</v>
      </c>
      <c r="I930" s="5">
        <f>IFERROR(INDEX(About!$D:$D,MATCH(Sheet1!H930,About!$C:$C,0),1),0)</f>
        <v>1</v>
      </c>
      <c r="J930" s="6">
        <f t="shared" si="31"/>
        <v>1</v>
      </c>
    </row>
    <row r="931" spans="1:10" x14ac:dyDescent="0.45">
      <c r="A931" t="s">
        <v>507</v>
      </c>
      <c r="B931" t="s">
        <v>802</v>
      </c>
      <c r="C931" t="s">
        <v>805</v>
      </c>
      <c r="G931" t="str">
        <f t="shared" si="30"/>
        <v>.csv</v>
      </c>
      <c r="H931" s="5" t="str">
        <f>IFERROR(IF(B931="FoPITY",INDEX(Customizations!$C$2:$C$19,MATCH(Sheet1!C931,Customizations!$B$2:$B$19,0),1),INDEX(About!C:C,MATCH(Sheet1!B931,About!B:B,0),1)),"")</f>
        <v>Start Year Fleet Avg Fuel Economy.xlsx</v>
      </c>
      <c r="I931" s="5">
        <f>IFERROR(INDEX(About!$D:$D,MATCH(Sheet1!H931,About!$C:$C,0),1),0)</f>
        <v>1</v>
      </c>
      <c r="J931" s="6">
        <f t="shared" si="31"/>
        <v>1</v>
      </c>
    </row>
    <row r="932" spans="1:10" x14ac:dyDescent="0.45">
      <c r="A932" t="s">
        <v>507</v>
      </c>
      <c r="B932" t="s">
        <v>806</v>
      </c>
      <c r="C932" t="s">
        <v>807</v>
      </c>
      <c r="G932" t="str">
        <f t="shared" si="30"/>
        <v>xlsx</v>
      </c>
      <c r="H932" s="5" t="str">
        <f>IFERROR(IF(B932="FoPITY",INDEX(Customizations!$C$2:$C$19,MATCH(Sheet1!C932,Customizations!$B$2:$B$19,0),1),INDEX(About!C:C,MATCH(Sheet1!B932,About!B:B,0),1)),"")</f>
        <v>Start Year Vehicles by Technology.xlsx</v>
      </c>
      <c r="I932" s="5">
        <f>IFERROR(INDEX(About!$D:$D,MATCH(Sheet1!H932,About!$C:$C,0),1),0)</f>
        <v>1</v>
      </c>
      <c r="J932" s="6">
        <f t="shared" si="31"/>
        <v>0</v>
      </c>
    </row>
    <row r="933" spans="1:10" x14ac:dyDescent="0.45">
      <c r="A933" t="s">
        <v>507</v>
      </c>
      <c r="B933" t="s">
        <v>806</v>
      </c>
      <c r="C933" t="s">
        <v>808</v>
      </c>
      <c r="G933" t="str">
        <f t="shared" si="30"/>
        <v>.csv</v>
      </c>
      <c r="H933" s="5" t="str">
        <f>IFERROR(IF(B933="FoPITY",INDEX(Customizations!$C$2:$C$19,MATCH(Sheet1!C933,Customizations!$B$2:$B$19,0),1),INDEX(About!C:C,MATCH(Sheet1!B933,About!B:B,0),1)),"")</f>
        <v>Start Year Vehicles by Technology.xlsx</v>
      </c>
      <c r="I933" s="5">
        <f>IFERROR(INDEX(About!$D:$D,MATCH(Sheet1!H933,About!$C:$C,0),1),0)</f>
        <v>1</v>
      </c>
      <c r="J933" s="6">
        <f t="shared" si="31"/>
        <v>1</v>
      </c>
    </row>
    <row r="934" spans="1:10" x14ac:dyDescent="0.45">
      <c r="A934" t="s">
        <v>507</v>
      </c>
      <c r="B934" t="s">
        <v>806</v>
      </c>
      <c r="C934" t="s">
        <v>809</v>
      </c>
      <c r="G934" t="str">
        <f t="shared" si="30"/>
        <v>.csv</v>
      </c>
      <c r="H934" s="5" t="str">
        <f>IFERROR(IF(B934="FoPITY",INDEX(Customizations!$C$2:$C$19,MATCH(Sheet1!C934,Customizations!$B$2:$B$19,0),1),INDEX(About!C:C,MATCH(Sheet1!B934,About!B:B,0),1)),"")</f>
        <v>Start Year Vehicles by Technology.xlsx</v>
      </c>
      <c r="I934" s="5">
        <f>IFERROR(INDEX(About!$D:$D,MATCH(Sheet1!H934,About!$C:$C,0),1),0)</f>
        <v>1</v>
      </c>
      <c r="J934" s="6">
        <f t="shared" si="31"/>
        <v>1</v>
      </c>
    </row>
    <row r="935" spans="1:10" x14ac:dyDescent="0.45">
      <c r="A935" t="s">
        <v>507</v>
      </c>
      <c r="B935" t="s">
        <v>810</v>
      </c>
      <c r="C935" t="s">
        <v>811</v>
      </c>
      <c r="G935" t="str">
        <f t="shared" si="30"/>
        <v>.csv</v>
      </c>
      <c r="H935" s="5" t="str">
        <f>IFERROR(IF(B935="FoPITY",INDEX(Customizations!$C$2:$C$19,MATCH(Sheet1!C935,Customizations!$B$2:$B$19,0),1),INDEX(About!C:C,MATCH(Sheet1!B935,About!B:B,0),1)),"")</f>
        <v>Veh Buyer Discount Rate.xlsx</v>
      </c>
      <c r="I935" s="5">
        <f>IFERROR(INDEX(About!$D:$D,MATCH(Sheet1!H935,About!$C:$C,0),1),0)</f>
        <v>1</v>
      </c>
      <c r="J935" s="6">
        <f t="shared" si="31"/>
        <v>1</v>
      </c>
    </row>
    <row r="936" spans="1:10" x14ac:dyDescent="0.45">
      <c r="A936" t="s">
        <v>507</v>
      </c>
      <c r="B936" t="s">
        <v>810</v>
      </c>
      <c r="C936" t="s">
        <v>812</v>
      </c>
      <c r="G936" t="str">
        <f t="shared" si="30"/>
        <v>xlsx</v>
      </c>
      <c r="H936" s="5" t="str">
        <f>IFERROR(IF(B936="FoPITY",INDEX(Customizations!$C$2:$C$19,MATCH(Sheet1!C936,Customizations!$B$2:$B$19,0),1),INDEX(About!C:C,MATCH(Sheet1!B936,About!B:B,0),1)),"")</f>
        <v>Veh Buyer Discount Rate.xlsx</v>
      </c>
      <c r="I936" s="5">
        <f>IFERROR(INDEX(About!$D:$D,MATCH(Sheet1!H936,About!$C:$C,0),1),0)</f>
        <v>1</v>
      </c>
      <c r="J936" s="6">
        <f t="shared" si="31"/>
        <v>0</v>
      </c>
    </row>
    <row r="937" spans="1:10" x14ac:dyDescent="0.45">
      <c r="A937" t="s">
        <v>507</v>
      </c>
      <c r="B937" t="s">
        <v>813</v>
      </c>
      <c r="C937" t="s">
        <v>814</v>
      </c>
      <c r="G937" t="str">
        <f t="shared" si="30"/>
        <v>xlsx</v>
      </c>
      <c r="H937" s="5" t="str">
        <f>IFERROR(IF(B937="FoPITY",INDEX(Customizations!$C$2:$C$19,MATCH(Sheet1!C937,Customizations!$B$2:$B$19,0),1),INDEX(About!C:C,MATCH(Sheet1!B937,About!B:B,0),1)),"")</f>
        <v>Veh Techs Subject to Fuel Econ Std.xlsx</v>
      </c>
      <c r="I937" s="5">
        <f>IFERROR(INDEX(About!$D:$D,MATCH(Sheet1!H937,About!$C:$C,0),1),0)</f>
        <v>1</v>
      </c>
      <c r="J937" s="6">
        <f t="shared" si="31"/>
        <v>0</v>
      </c>
    </row>
    <row r="938" spans="1:10" x14ac:dyDescent="0.45">
      <c r="A938" t="s">
        <v>507</v>
      </c>
      <c r="B938" t="s">
        <v>813</v>
      </c>
      <c r="C938" t="s">
        <v>815</v>
      </c>
      <c r="G938" t="str">
        <f t="shared" si="30"/>
        <v>.csv</v>
      </c>
      <c r="H938" s="5" t="str">
        <f>IFERROR(IF(B938="FoPITY",INDEX(Customizations!$C$2:$C$19,MATCH(Sheet1!C938,Customizations!$B$2:$B$19,0),1),INDEX(About!C:C,MATCH(Sheet1!B938,About!B:B,0),1)),"")</f>
        <v>Veh Techs Subject to Fuel Econ Std.xlsx</v>
      </c>
      <c r="I938" s="5">
        <f>IFERROR(INDEX(About!$D:$D,MATCH(Sheet1!H938,About!$C:$C,0),1),0)</f>
        <v>1</v>
      </c>
      <c r="J938" s="6">
        <f t="shared" si="31"/>
        <v>1</v>
      </c>
    </row>
    <row r="939" spans="1:10" x14ac:dyDescent="0.45">
      <c r="A939" t="s">
        <v>816</v>
      </c>
      <c r="B939" t="s">
        <v>817</v>
      </c>
      <c r="C939" t="s">
        <v>818</v>
      </c>
      <c r="G939" t="str">
        <f t="shared" si="30"/>
        <v>.csv</v>
      </c>
      <c r="H939" s="5" t="str">
        <f>IFERROR(IF(B939="FoPITY",INDEX(Customizations!$C$2:$C$19,MATCH(Sheet1!C939,Customizations!$B$2:$B$19,0),1),INDEX(About!C:C,MATCH(Sheet1!B939,About!B:B,0),1)),"")</f>
        <v>BTU Conversion Factors.xlsx</v>
      </c>
      <c r="I939" s="5">
        <f>IFERROR(INDEX(About!$D:$D,MATCH(Sheet1!H939,About!$C:$C,0),1),0)</f>
        <v>1</v>
      </c>
      <c r="J939" s="6">
        <f t="shared" si="31"/>
        <v>1</v>
      </c>
    </row>
    <row r="940" spans="1:10" x14ac:dyDescent="0.45">
      <c r="A940" t="s">
        <v>816</v>
      </c>
      <c r="B940" t="s">
        <v>817</v>
      </c>
      <c r="C940" t="s">
        <v>819</v>
      </c>
      <c r="G940" t="str">
        <f t="shared" si="30"/>
        <v>.csv</v>
      </c>
      <c r="H940" s="5" t="str">
        <f>IFERROR(IF(B940="FoPITY",INDEX(Customizations!$C$2:$C$19,MATCH(Sheet1!C940,Customizations!$B$2:$B$19,0),1),INDEX(About!C:C,MATCH(Sheet1!B940,About!B:B,0),1)),"")</f>
        <v>BTU Conversion Factors.xlsx</v>
      </c>
      <c r="I940" s="5">
        <f>IFERROR(INDEX(About!$D:$D,MATCH(Sheet1!H940,About!$C:$C,0),1),0)</f>
        <v>1</v>
      </c>
      <c r="J940" s="6">
        <f t="shared" si="31"/>
        <v>1</v>
      </c>
    </row>
    <row r="941" spans="1:10" x14ac:dyDescent="0.45">
      <c r="A941" t="s">
        <v>816</v>
      </c>
      <c r="B941" t="s">
        <v>817</v>
      </c>
      <c r="C941" t="s">
        <v>820</v>
      </c>
      <c r="G941" t="str">
        <f t="shared" si="30"/>
        <v>.csv</v>
      </c>
      <c r="H941" s="5" t="str">
        <f>IFERROR(IF(B941="FoPITY",INDEX(Customizations!$C$2:$C$19,MATCH(Sheet1!C941,Customizations!$B$2:$B$19,0),1),INDEX(About!C:C,MATCH(Sheet1!B941,About!B:B,0),1)),"")</f>
        <v>BTU Conversion Factors.xlsx</v>
      </c>
      <c r="I941" s="5">
        <f>IFERROR(INDEX(About!$D:$D,MATCH(Sheet1!H941,About!$C:$C,0),1),0)</f>
        <v>1</v>
      </c>
      <c r="J941" s="6">
        <f t="shared" si="31"/>
        <v>1</v>
      </c>
    </row>
    <row r="942" spans="1:10" x14ac:dyDescent="0.45">
      <c r="A942" t="s">
        <v>816</v>
      </c>
      <c r="B942" t="s">
        <v>817</v>
      </c>
      <c r="C942" t="s">
        <v>821</v>
      </c>
    </row>
    <row r="943" spans="1:10" x14ac:dyDescent="0.45">
      <c r="A943" t="s">
        <v>816</v>
      </c>
      <c r="B943" t="s">
        <v>817</v>
      </c>
      <c r="C943" t="s">
        <v>822</v>
      </c>
    </row>
    <row r="944" spans="1:10" x14ac:dyDescent="0.45">
      <c r="A944" t="s">
        <v>816</v>
      </c>
      <c r="B944" t="s">
        <v>823</v>
      </c>
      <c r="C944" t="s">
        <v>900</v>
      </c>
    </row>
    <row r="945" spans="1:3" x14ac:dyDescent="0.45">
      <c r="A945" t="s">
        <v>816</v>
      </c>
      <c r="B945" t="s">
        <v>823</v>
      </c>
      <c r="C945" t="s">
        <v>901</v>
      </c>
    </row>
    <row r="946" spans="1:3" x14ac:dyDescent="0.45">
      <c r="A946" t="s">
        <v>816</v>
      </c>
      <c r="B946" t="s">
        <v>823</v>
      </c>
      <c r="C946" t="s">
        <v>824</v>
      </c>
    </row>
    <row r="947" spans="1:3" x14ac:dyDescent="0.45">
      <c r="A947" t="s">
        <v>816</v>
      </c>
      <c r="B947" t="s">
        <v>825</v>
      </c>
      <c r="C947" t="s">
        <v>826</v>
      </c>
    </row>
    <row r="948" spans="1:3" x14ac:dyDescent="0.45">
      <c r="A948" t="s">
        <v>816</v>
      </c>
      <c r="B948" t="s">
        <v>825</v>
      </c>
      <c r="C948" t="s">
        <v>827</v>
      </c>
    </row>
    <row r="949" spans="1:3" x14ac:dyDescent="0.45">
      <c r="A949" t="s">
        <v>816</v>
      </c>
      <c r="B949" t="s">
        <v>825</v>
      </c>
      <c r="C949" t="s">
        <v>828</v>
      </c>
    </row>
    <row r="950" spans="1:3" x14ac:dyDescent="0.45">
      <c r="A950" t="s">
        <v>816</v>
      </c>
      <c r="B950" t="s">
        <v>829</v>
      </c>
      <c r="C950" t="s">
        <v>830</v>
      </c>
    </row>
    <row r="951" spans="1:3" x14ac:dyDescent="0.45">
      <c r="A951" t="s">
        <v>816</v>
      </c>
      <c r="B951" t="s">
        <v>829</v>
      </c>
      <c r="C951" t="s">
        <v>831</v>
      </c>
    </row>
    <row r="952" spans="1:3" x14ac:dyDescent="0.45">
      <c r="A952" t="s">
        <v>816</v>
      </c>
      <c r="B952" t="s">
        <v>832</v>
      </c>
      <c r="C952" t="s">
        <v>833</v>
      </c>
    </row>
    <row r="953" spans="1:3" x14ac:dyDescent="0.45">
      <c r="A953" t="s">
        <v>816</v>
      </c>
      <c r="B953" t="s">
        <v>832</v>
      </c>
      <c r="C953" t="s">
        <v>834</v>
      </c>
    </row>
    <row r="954" spans="1:3" x14ac:dyDescent="0.45">
      <c r="A954" t="s">
        <v>816</v>
      </c>
      <c r="B954" t="s">
        <v>832</v>
      </c>
      <c r="C954" t="s">
        <v>835</v>
      </c>
    </row>
    <row r="955" spans="1:3" x14ac:dyDescent="0.45">
      <c r="A955" t="s">
        <v>816</v>
      </c>
      <c r="B955" t="s">
        <v>832</v>
      </c>
      <c r="C955" t="s">
        <v>836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857</v>
      </c>
      <c r="B1" s="7" t="s">
        <v>858</v>
      </c>
      <c r="C1" s="7" t="s">
        <v>838</v>
      </c>
    </row>
    <row r="2" spans="1:3" x14ac:dyDescent="0.45">
      <c r="A2" t="s">
        <v>487</v>
      </c>
      <c r="B2" t="s">
        <v>490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487</v>
      </c>
      <c r="B3" t="s">
        <v>489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487</v>
      </c>
      <c r="B4" t="s">
        <v>492</v>
      </c>
      <c r="C4" s="7" t="str">
        <f>IFERROR(INDEX(About!C:C,MATCH("*"&amp;CONCATENATE("Frac of Pol Impl This Yr - ",ROUNDUP(COUNTIF($A$2:A4,A4)/2,0)," -")&amp;"*",About!C:C,0),1),$C$3)</f>
        <v>Frac of Pol Impl This Yr - 2 - RMI.xlsx</v>
      </c>
    </row>
    <row r="5" spans="1:3" x14ac:dyDescent="0.45">
      <c r="A5" t="s">
        <v>487</v>
      </c>
      <c r="B5" t="s">
        <v>491</v>
      </c>
      <c r="C5" s="7" t="str">
        <f>IFERROR(INDEX(About!C:C,MATCH("*"&amp;CONCATENATE("Frac of Pol Impl This Yr - ",ROUNDUP(COUNTIF($A$2:A5,A5)/2,0)," -")&amp;"*",About!C:C,0),1),$C$3)</f>
        <v>Frac of Pol Impl This Yr - 2 - RMI.xlsx</v>
      </c>
    </row>
    <row r="6" spans="1:3" x14ac:dyDescent="0.45">
      <c r="A6" t="s">
        <v>487</v>
      </c>
      <c r="B6" t="s">
        <v>493</v>
      </c>
      <c r="C6" s="7" t="str">
        <f>IFERROR(INDEX(About!C:C,MATCH("*"&amp;CONCATENATE("Frac of Pol Impl This Yr - ",ROUNDUP(COUNTIF($A$2:A6,A6)/2,0)," -")&amp;"*",About!C:C,0),1),$C$3)</f>
        <v>Frac of Pol Impl This Yr - 3 - 1.5.xlsx</v>
      </c>
    </row>
    <row r="7" spans="1:3" x14ac:dyDescent="0.45">
      <c r="A7" t="s">
        <v>487</v>
      </c>
      <c r="B7" t="s">
        <v>859</v>
      </c>
      <c r="C7" s="7" t="str">
        <f>IFERROR(INDEX(About!C:C,MATCH("*"&amp;CONCATENATE("Frac of Pol Impl This Yr - ",ROUNDUP(COUNTIF($A$2:A7,A7)/2,0)," -")&amp;"*",About!C:C,0),1),$C$3)</f>
        <v>Frac of Pol Impl This Yr - 3 - 1.5.xlsx</v>
      </c>
    </row>
    <row r="8" spans="1:3" x14ac:dyDescent="0.45">
      <c r="A8" t="s">
        <v>487</v>
      </c>
      <c r="B8" t="s">
        <v>494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487</v>
      </c>
      <c r="B9" t="s">
        <v>860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487</v>
      </c>
      <c r="B10" t="s">
        <v>495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487</v>
      </c>
      <c r="B11" t="s">
        <v>861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487</v>
      </c>
      <c r="B12" t="s">
        <v>496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487</v>
      </c>
      <c r="B13" t="s">
        <v>862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487</v>
      </c>
      <c r="B14" t="s">
        <v>497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487</v>
      </c>
      <c r="B15" t="s">
        <v>863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487</v>
      </c>
      <c r="B16" t="s">
        <v>498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487</v>
      </c>
      <c r="B17" t="s">
        <v>864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487</v>
      </c>
      <c r="B18" t="s">
        <v>499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487</v>
      </c>
      <c r="B19" t="s">
        <v>865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2020-11-19T20:14:31Z</dcterms:modified>
</cp:coreProperties>
</file>