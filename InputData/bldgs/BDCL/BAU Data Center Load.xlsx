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bldgs\BDCL\"/>
    </mc:Choice>
  </mc:AlternateContent>
  <xr:revisionPtr revIDLastSave="0" documentId="8_{C5EE574D-D343-4099-AEC8-089199B48D6F}"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U167" i="10"/>
  <c r="V167" i="10" s="1"/>
  <c r="W167" i="10" s="1"/>
  <c r="X167" i="10" s="1"/>
  <c r="Y167" i="10" s="1"/>
  <c r="Z167" i="10" s="1"/>
  <c r="AA167" i="10" s="1"/>
  <c r="AB167" i="10" s="1"/>
  <c r="J167" i="10"/>
  <c r="K167" i="10" s="1"/>
  <c r="L167" i="10" s="1"/>
  <c r="M167" i="10" s="1"/>
  <c r="N167" i="10" s="1"/>
  <c r="O167" i="10" s="1"/>
  <c r="P167" i="10" s="1"/>
  <c r="Q167" i="10" s="1"/>
  <c r="R167" i="10" s="1"/>
  <c r="S167" i="10" s="1"/>
  <c r="T167" i="10" s="1"/>
  <c r="D167" i="10"/>
  <c r="E167" i="10" s="1"/>
  <c r="F167" i="10" s="1"/>
  <c r="G167" i="10" s="1"/>
  <c r="H167" i="10" s="1"/>
  <c r="I167" i="10" s="1"/>
  <c r="C167" i="10"/>
  <c r="B167" i="10"/>
  <c r="AC166" i="10"/>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AC160" i="10"/>
  <c r="F160" i="10"/>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C160" i="10"/>
  <c r="D160" i="10" s="1"/>
  <c r="E160" i="10" s="1"/>
  <c r="B160" i="10"/>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Y158" i="10"/>
  <c r="Z158" i="10" s="1"/>
  <c r="AA158" i="10" s="1"/>
  <c r="AB158" i="10" s="1"/>
  <c r="K158" i="10"/>
  <c r="L158" i="10" s="1"/>
  <c r="M158" i="10" s="1"/>
  <c r="N158" i="10" s="1"/>
  <c r="O158" i="10" s="1"/>
  <c r="P158" i="10" s="1"/>
  <c r="Q158" i="10" s="1"/>
  <c r="R158" i="10" s="1"/>
  <c r="S158" i="10" s="1"/>
  <c r="T158" i="10" s="1"/>
  <c r="U158" i="10" s="1"/>
  <c r="V158" i="10" s="1"/>
  <c r="W158" i="10" s="1"/>
  <c r="X158" i="10" s="1"/>
  <c r="D158" i="10"/>
  <c r="E158" i="10" s="1"/>
  <c r="F158" i="10" s="1"/>
  <c r="G158" i="10" s="1"/>
  <c r="H158" i="10" s="1"/>
  <c r="I158" i="10" s="1"/>
  <c r="J158" i="10" s="1"/>
  <c r="C158" i="10"/>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F155" i="10"/>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D155" i="10"/>
  <c r="E155" i="10" s="1"/>
  <c r="B155" i="10"/>
  <c r="C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E152" i="10"/>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D152" i="10"/>
  <c r="C152" i="10"/>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I150" i="10"/>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C150" i="10"/>
  <c r="D150" i="10" s="1"/>
  <c r="E150" i="10" s="1"/>
  <c r="F150" i="10" s="1"/>
  <c r="G150" i="10" s="1"/>
  <c r="H150" i="10" s="1"/>
  <c r="B150" i="10"/>
  <c r="AC149" i="10"/>
  <c r="G149" i="10"/>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E149" i="10"/>
  <c r="F149" i="10" s="1"/>
  <c r="B149" i="10"/>
  <c r="C149" i="10" s="1"/>
  <c r="D149" i="10" s="1"/>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B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AC146" i="10"/>
  <c r="B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AC145" i="10"/>
  <c r="C145" i="10" s="1"/>
  <c r="D145" i="10" s="1"/>
  <c r="E145" i="10" s="1"/>
  <c r="F145" i="10" s="1"/>
  <c r="G145" i="10"/>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E144" i="10"/>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D144" i="10"/>
  <c r="B144" i="10"/>
  <c r="C144" i="10" s="1"/>
  <c r="AC143" i="10"/>
  <c r="R143" i="10"/>
  <c r="S143" i="10" s="1"/>
  <c r="T143" i="10" s="1"/>
  <c r="U143" i="10" s="1"/>
  <c r="V143" i="10" s="1"/>
  <c r="W143" i="10" s="1"/>
  <c r="X143" i="10" s="1"/>
  <c r="Y143" i="10" s="1"/>
  <c r="Z143" i="10" s="1"/>
  <c r="AA143" i="10" s="1"/>
  <c r="AB143" i="10" s="1"/>
  <c r="E143" i="10"/>
  <c r="F143" i="10" s="1"/>
  <c r="G143" i="10" s="1"/>
  <c r="H143" i="10" s="1"/>
  <c r="I143" i="10" s="1"/>
  <c r="J143" i="10" s="1"/>
  <c r="K143" i="10" s="1"/>
  <c r="L143" i="10" s="1"/>
  <c r="M143" i="10" s="1"/>
  <c r="N143" i="10" s="1"/>
  <c r="O143" i="10" s="1"/>
  <c r="P143" i="10" s="1"/>
  <c r="Q143" i="10" s="1"/>
  <c r="B143" i="10"/>
  <c r="C143" i="10" s="1"/>
  <c r="D143" i="10" s="1"/>
  <c r="AC142" i="10"/>
  <c r="M142" i="10"/>
  <c r="N142" i="10" s="1"/>
  <c r="O142" i="10" s="1"/>
  <c r="P142" i="10" s="1"/>
  <c r="Q142" i="10" s="1"/>
  <c r="R142" i="10" s="1"/>
  <c r="S142" i="10" s="1"/>
  <c r="T142" i="10" s="1"/>
  <c r="U142" i="10" s="1"/>
  <c r="V142" i="10" s="1"/>
  <c r="W142" i="10" s="1"/>
  <c r="X142" i="10" s="1"/>
  <c r="Y142" i="10" s="1"/>
  <c r="Z142" i="10" s="1"/>
  <c r="AA142" i="10" s="1"/>
  <c r="AB142" i="10" s="1"/>
  <c r="B142" i="10"/>
  <c r="C142" i="10" s="1"/>
  <c r="D142" i="10" s="1"/>
  <c r="E142" i="10" s="1"/>
  <c r="F142" i="10" s="1"/>
  <c r="G142" i="10" s="1"/>
  <c r="H142" i="10" s="1"/>
  <c r="I142" i="10" s="1"/>
  <c r="J142" i="10" s="1"/>
  <c r="K142" i="10" s="1"/>
  <c r="L142" i="10" s="1"/>
  <c r="AC141" i="10"/>
  <c r="B141" i="10"/>
  <c r="AC140" i="10"/>
  <c r="C140" i="10" s="1"/>
  <c r="D140" i="10" s="1"/>
  <c r="E140" i="10" s="1"/>
  <c r="F140" i="10" s="1"/>
  <c r="G140" i="10" s="1"/>
  <c r="H140" i="10" s="1"/>
  <c r="I140" i="10" s="1"/>
  <c r="J140" i="10" s="1"/>
  <c r="K140" i="10" s="1"/>
  <c r="L140" i="10" s="1"/>
  <c r="M140" i="10" s="1"/>
  <c r="N140" i="10" s="1"/>
  <c r="O140" i="10" s="1"/>
  <c r="P140" i="10"/>
  <c r="Q140" i="10" s="1"/>
  <c r="R140" i="10" s="1"/>
  <c r="S140" i="10" s="1"/>
  <c r="T140" i="10" s="1"/>
  <c r="U140" i="10" s="1"/>
  <c r="V140" i="10" s="1"/>
  <c r="W140" i="10" s="1"/>
  <c r="X140" i="10" s="1"/>
  <c r="Y140" i="10" s="1"/>
  <c r="Z140" i="10" s="1"/>
  <c r="AA140" i="10" s="1"/>
  <c r="AB140" i="10" s="1"/>
  <c r="B140" i="10"/>
  <c r="AC139" i="10"/>
  <c r="B139" i="10"/>
  <c r="AC138" i="10"/>
  <c r="C138" i="10" s="1"/>
  <c r="D138" i="10" s="1"/>
  <c r="E138" i="10" s="1"/>
  <c r="F138" i="10"/>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AA137" i="10"/>
  <c r="AB137" i="10" s="1"/>
  <c r="N137" i="10"/>
  <c r="O137" i="10" s="1"/>
  <c r="P137" i="10" s="1"/>
  <c r="Q137" i="10" s="1"/>
  <c r="R137" i="10" s="1"/>
  <c r="S137" i="10" s="1"/>
  <c r="T137" i="10" s="1"/>
  <c r="U137" i="10" s="1"/>
  <c r="V137" i="10" s="1"/>
  <c r="W137" i="10" s="1"/>
  <c r="X137" i="10" s="1"/>
  <c r="Y137" i="10" s="1"/>
  <c r="Z137" i="10" s="1"/>
  <c r="E137" i="10"/>
  <c r="F137" i="10" s="1"/>
  <c r="G137" i="10" s="1"/>
  <c r="H137" i="10" s="1"/>
  <c r="I137" i="10" s="1"/>
  <c r="J137" i="10" s="1"/>
  <c r="K137" i="10" s="1"/>
  <c r="L137" i="10" s="1"/>
  <c r="M137" i="10" s="1"/>
  <c r="D137" i="10"/>
  <c r="C137" i="10"/>
  <c r="B137" i="10"/>
  <c r="AC136" i="10"/>
  <c r="B136" i="10"/>
  <c r="C136" i="10" s="1"/>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AC135" i="10"/>
  <c r="B135" i="10"/>
  <c r="AC134" i="10"/>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F133" i="10"/>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E133" i="10"/>
  <c r="B133" i="10"/>
  <c r="C133" i="10" s="1"/>
  <c r="D133" i="10" s="1"/>
  <c r="AC132" i="10"/>
  <c r="B132" i="10"/>
  <c r="AC131" i="10"/>
  <c r="D131" i="10"/>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C131" i="10" s="1"/>
  <c r="AC130" i="10"/>
  <c r="G130" i="10"/>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D130" i="10"/>
  <c r="E130" i="10" s="1"/>
  <c r="F130" i="10" s="1"/>
  <c r="B130" i="10"/>
  <c r="C130" i="10" s="1"/>
  <c r="AC129" i="10"/>
  <c r="D129" i="10"/>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C129" i="10"/>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C126" i="10" s="1"/>
  <c r="D126" i="10" s="1"/>
  <c r="E126" i="10" s="1"/>
  <c r="F126" i="10"/>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I125" i="10"/>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E125" i="10"/>
  <c r="F125" i="10" s="1"/>
  <c r="G125" i="10" s="1"/>
  <c r="H125" i="10" s="1"/>
  <c r="C125" i="10"/>
  <c r="D125" i="10" s="1"/>
  <c r="B125" i="10"/>
  <c r="AC124" i="10"/>
  <c r="D124" i="10"/>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C124" i="10" s="1"/>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AA122" i="10"/>
  <c r="AB122" i="10" s="1"/>
  <c r="E122" i="10"/>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B122" i="10"/>
  <c r="C122" i="10" s="1"/>
  <c r="D122" i="10" s="1"/>
  <c r="AC121" i="10"/>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D119" i="10"/>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C119" i="10" s="1"/>
  <c r="AC118" i="10"/>
  <c r="J118" i="10"/>
  <c r="K118" i="10" s="1"/>
  <c r="L118" i="10" s="1"/>
  <c r="M118" i="10" s="1"/>
  <c r="N118" i="10" s="1"/>
  <c r="O118" i="10" s="1"/>
  <c r="P118" i="10" s="1"/>
  <c r="Q118" i="10" s="1"/>
  <c r="R118" i="10" s="1"/>
  <c r="S118" i="10" s="1"/>
  <c r="T118" i="10" s="1"/>
  <c r="U118" i="10" s="1"/>
  <c r="V118" i="10" s="1"/>
  <c r="W118" i="10" s="1"/>
  <c r="X118" i="10" s="1"/>
  <c r="Y118" i="10" s="1"/>
  <c r="Z118" i="10" s="1"/>
  <c r="AA118" i="10" s="1"/>
  <c r="AB118" i="10" s="1"/>
  <c r="H118" i="10"/>
  <c r="I118" i="10" s="1"/>
  <c r="G118" i="10"/>
  <c r="C118" i="10"/>
  <c r="D118" i="10" s="1"/>
  <c r="E118" i="10" s="1"/>
  <c r="F118" i="10" s="1"/>
  <c r="B118" i="10"/>
  <c r="AC117" i="10"/>
  <c r="D117" i="10"/>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C117" i="10"/>
  <c r="B117" i="10"/>
  <c r="AC116" i="10"/>
  <c r="C116" i="10" s="1"/>
  <c r="D116" i="10" s="1"/>
  <c r="E116" i="10" s="1"/>
  <c r="F116" i="10" s="1"/>
  <c r="G116" i="10" s="1"/>
  <c r="H116" i="10" s="1"/>
  <c r="I116" i="10" s="1"/>
  <c r="J116" i="10" s="1"/>
  <c r="K116" i="10" s="1"/>
  <c r="L116" i="10" s="1"/>
  <c r="M116" i="10" s="1"/>
  <c r="N116" i="10" s="1"/>
  <c r="O116" i="10" s="1"/>
  <c r="P116" i="10" s="1"/>
  <c r="Q116" i="10" s="1"/>
  <c r="R116" i="10" s="1"/>
  <c r="S116" i="10" s="1"/>
  <c r="T116" i="10"/>
  <c r="U116" i="10" s="1"/>
  <c r="V116" i="10" s="1"/>
  <c r="W116" i="10" s="1"/>
  <c r="X116" i="10" s="1"/>
  <c r="Y116" i="10" s="1"/>
  <c r="Z116" i="10" s="1"/>
  <c r="AA116" i="10" s="1"/>
  <c r="AB116" i="10" s="1"/>
  <c r="B116" i="10"/>
  <c r="AC115" i="10"/>
  <c r="D115" i="10"/>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B115" i="10"/>
  <c r="C115" i="10" s="1"/>
  <c r="AC114" i="10"/>
  <c r="H114" i="10"/>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14" i="10"/>
  <c r="D114" i="10" s="1"/>
  <c r="E114" i="10" s="1"/>
  <c r="F114" i="10" s="1"/>
  <c r="G114" i="10" s="1"/>
  <c r="B114" i="10"/>
  <c r="AC113" i="10"/>
  <c r="C113" i="10"/>
  <c r="B113" i="10"/>
  <c r="AC108"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F106" i="10"/>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D106" i="10"/>
  <c r="E106" i="10" s="1"/>
  <c r="C106" i="10"/>
  <c r="AC105" i="10"/>
  <c r="C105" i="10" s="1"/>
  <c r="D105" i="10"/>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C103" i="10" s="1"/>
  <c r="D103" i="10" s="1"/>
  <c r="E103" i="10" s="1"/>
  <c r="F103" i="10" s="1"/>
  <c r="G103" i="10" s="1"/>
  <c r="H103" i="10" s="1"/>
  <c r="I103" i="10" s="1"/>
  <c r="J103" i="10" s="1"/>
  <c r="K103" i="10" s="1"/>
  <c r="L103" i="10" s="1"/>
  <c r="M103" i="10" s="1"/>
  <c r="N103" i="10" s="1"/>
  <c r="O103" i="10" s="1"/>
  <c r="P103" i="10" s="1"/>
  <c r="Q103" i="10" s="1"/>
  <c r="R103" i="10" s="1"/>
  <c r="S103" i="10"/>
  <c r="T103" i="10" s="1"/>
  <c r="U103" i="10" s="1"/>
  <c r="V103" i="10" s="1"/>
  <c r="W103" i="10" s="1"/>
  <c r="X103" i="10" s="1"/>
  <c r="Y103" i="10" s="1"/>
  <c r="Z103" i="10" s="1"/>
  <c r="AA103" i="10" s="1"/>
  <c r="AB103" i="10" s="1"/>
  <c r="B103" i="10"/>
  <c r="AC102" i="10"/>
  <c r="B102" i="10"/>
  <c r="AC101" i="10"/>
  <c r="D101" i="10"/>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C101" i="10" s="1"/>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D98" i="10"/>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C98" i="10"/>
  <c r="B98" i="10"/>
  <c r="AC97" i="10"/>
  <c r="H97" i="10"/>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C97" i="10"/>
  <c r="D97" i="10" s="1"/>
  <c r="E97" i="10" s="1"/>
  <c r="F97" i="10" s="1"/>
  <c r="G97" i="10" s="1"/>
  <c r="B97" i="10"/>
  <c r="AC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D95" i="10"/>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C95" i="10" s="1"/>
  <c r="AC94" i="10"/>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C92" i="10" s="1"/>
  <c r="D92" i="10" s="1"/>
  <c r="E92" i="10" s="1"/>
  <c r="F92" i="10"/>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AC91" i="10"/>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AC90" i="10"/>
  <c r="E90" i="10"/>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D90" i="10"/>
  <c r="B90" i="10"/>
  <c r="C90" i="10" s="1"/>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C88" i="10" s="1"/>
  <c r="D88" i="10" s="1"/>
  <c r="E88" i="10" s="1"/>
  <c r="F88" i="10" s="1"/>
  <c r="G88" i="10" s="1"/>
  <c r="H88" i="10" s="1"/>
  <c r="I88" i="10" s="1"/>
  <c r="J88" i="10" s="1"/>
  <c r="K88" i="10" s="1"/>
  <c r="L88" i="10" s="1"/>
  <c r="M88" i="10" s="1"/>
  <c r="N88" i="10"/>
  <c r="O88" i="10" s="1"/>
  <c r="P88" i="10" s="1"/>
  <c r="Q88" i="10" s="1"/>
  <c r="R88" i="10" s="1"/>
  <c r="S88" i="10" s="1"/>
  <c r="T88" i="10" s="1"/>
  <c r="U88" i="10" s="1"/>
  <c r="V88" i="10" s="1"/>
  <c r="W88" i="10" s="1"/>
  <c r="X88" i="10" s="1"/>
  <c r="Y88" i="10" s="1"/>
  <c r="Z88" i="10" s="1"/>
  <c r="AA88" i="10" s="1"/>
  <c r="AB88" i="10" s="1"/>
  <c r="B88" i="10"/>
  <c r="AC87" i="10"/>
  <c r="C87" i="10" s="1"/>
  <c r="D87" i="10"/>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AC83"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AC82" i="10"/>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B79" i="10"/>
  <c r="AC78" i="10"/>
  <c r="F78" i="10"/>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E78" i="10"/>
  <c r="B78" i="10"/>
  <c r="C78" i="10" s="1"/>
  <c r="D78" i="10" s="1"/>
  <c r="AC77" i="10"/>
  <c r="P77" i="10"/>
  <c r="Q77" i="10" s="1"/>
  <c r="R77" i="10" s="1"/>
  <c r="S77" i="10" s="1"/>
  <c r="T77" i="10" s="1"/>
  <c r="U77" i="10" s="1"/>
  <c r="V77" i="10" s="1"/>
  <c r="W77" i="10" s="1"/>
  <c r="X77" i="10" s="1"/>
  <c r="Y77" i="10" s="1"/>
  <c r="Z77" i="10" s="1"/>
  <c r="AA77" i="10" s="1"/>
  <c r="AB77" i="10" s="1"/>
  <c r="E77" i="10"/>
  <c r="F77" i="10" s="1"/>
  <c r="G77" i="10" s="1"/>
  <c r="H77" i="10" s="1"/>
  <c r="I77" i="10" s="1"/>
  <c r="J77" i="10" s="1"/>
  <c r="K77" i="10" s="1"/>
  <c r="L77" i="10" s="1"/>
  <c r="M77" i="10" s="1"/>
  <c r="N77" i="10" s="1"/>
  <c r="O77" i="10" s="1"/>
  <c r="C77" i="10"/>
  <c r="D77" i="10" s="1"/>
  <c r="B77" i="10"/>
  <c r="AC76" i="10"/>
  <c r="C76" i="10" s="1"/>
  <c r="D76" i="10" s="1"/>
  <c r="E76" i="10"/>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B75" i="10"/>
  <c r="AC74" i="10"/>
  <c r="G74" i="10"/>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E74" i="10"/>
  <c r="F74" i="10" s="1"/>
  <c r="D74" i="10"/>
  <c r="C74" i="10"/>
  <c r="B74" i="10"/>
  <c r="AC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C71" i="10" s="1"/>
  <c r="D71" i="10"/>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D69" i="10"/>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C69" i="10" s="1"/>
  <c r="AC68" i="10"/>
  <c r="P68" i="10"/>
  <c r="Q68" i="10" s="1"/>
  <c r="R68" i="10" s="1"/>
  <c r="S68" i="10" s="1"/>
  <c r="T68" i="10" s="1"/>
  <c r="U68" i="10" s="1"/>
  <c r="V68" i="10" s="1"/>
  <c r="W68" i="10" s="1"/>
  <c r="X68" i="10" s="1"/>
  <c r="Y68" i="10" s="1"/>
  <c r="Z68" i="10" s="1"/>
  <c r="AA68" i="10" s="1"/>
  <c r="AB68" i="10" s="1"/>
  <c r="L68" i="10"/>
  <c r="M68" i="10" s="1"/>
  <c r="N68" i="10" s="1"/>
  <c r="O68" i="10" s="1"/>
  <c r="C68" i="10"/>
  <c r="D68" i="10" s="1"/>
  <c r="E68" i="10" s="1"/>
  <c r="F68" i="10" s="1"/>
  <c r="G68" i="10" s="1"/>
  <c r="H68" i="10" s="1"/>
  <c r="I68" i="10" s="1"/>
  <c r="J68" i="10" s="1"/>
  <c r="K68" i="10" s="1"/>
  <c r="B68" i="10"/>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B66" i="10"/>
  <c r="AC65" i="10"/>
  <c r="B65" i="10"/>
  <c r="AC64" i="10"/>
  <c r="B64" i="10"/>
  <c r="AC63" i="10"/>
  <c r="B63" i="10"/>
  <c r="AC62" i="10"/>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AC61" i="10"/>
  <c r="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B49" i="10"/>
  <c r="AC48" i="10"/>
  <c r="C48" i="10"/>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AC44" i="10"/>
  <c r="W44" i="10"/>
  <c r="X44" i="10" s="1"/>
  <c r="Y44" i="10" s="1"/>
  <c r="Z44" i="10" s="1"/>
  <c r="AA44" i="10" s="1"/>
  <c r="AB44" i="10" s="1"/>
  <c r="G44" i="10"/>
  <c r="H44" i="10" s="1"/>
  <c r="I44" i="10" s="1"/>
  <c r="J44" i="10" s="1"/>
  <c r="K44" i="10" s="1"/>
  <c r="L44" i="10" s="1"/>
  <c r="M44" i="10" s="1"/>
  <c r="N44" i="10" s="1"/>
  <c r="O44" i="10" s="1"/>
  <c r="P44" i="10" s="1"/>
  <c r="Q44" i="10" s="1"/>
  <c r="R44" i="10" s="1"/>
  <c r="S44" i="10" s="1"/>
  <c r="T44" i="10" s="1"/>
  <c r="U44" i="10" s="1"/>
  <c r="V44" i="10" s="1"/>
  <c r="E44" i="10"/>
  <c r="F44" i="10" s="1"/>
  <c r="D44" i="10"/>
  <c r="B44" i="10"/>
  <c r="C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V42" i="10"/>
  <c r="W42" i="10" s="1"/>
  <c r="X42" i="10" s="1"/>
  <c r="Y42" i="10" s="1"/>
  <c r="Z42" i="10" s="1"/>
  <c r="AA42" i="10" s="1"/>
  <c r="AB42" i="10" s="1"/>
  <c r="C42" i="10"/>
  <c r="D42" i="10" s="1"/>
  <c r="E42" i="10" s="1"/>
  <c r="F42" i="10" s="1"/>
  <c r="G42" i="10" s="1"/>
  <c r="H42" i="10" s="1"/>
  <c r="I42" i="10" s="1"/>
  <c r="J42" i="10" s="1"/>
  <c r="K42" i="10" s="1"/>
  <c r="L42" i="10" s="1"/>
  <c r="M42" i="10" s="1"/>
  <c r="N42" i="10" s="1"/>
  <c r="O42" i="10" s="1"/>
  <c r="P42" i="10" s="1"/>
  <c r="Q42" i="10" s="1"/>
  <c r="R42" i="10" s="1"/>
  <c r="S42" i="10" s="1"/>
  <c r="T42" i="10" s="1"/>
  <c r="U42" i="10" s="1"/>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B40" i="10"/>
  <c r="AC39" i="10"/>
  <c r="B39" i="10"/>
  <c r="AC38" i="10"/>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Y34" i="10"/>
  <c r="Z34" i="10" s="1"/>
  <c r="AA34" i="10" s="1"/>
  <c r="AB34" i="10" s="1"/>
  <c r="T34" i="10"/>
  <c r="U34" i="10" s="1"/>
  <c r="V34" i="10" s="1"/>
  <c r="W34" i="10" s="1"/>
  <c r="X34" i="10" s="1"/>
  <c r="S34" i="10"/>
  <c r="N34" i="10"/>
  <c r="O34" i="10" s="1"/>
  <c r="P34" i="10" s="1"/>
  <c r="Q34" i="10" s="1"/>
  <c r="R34" i="10" s="1"/>
  <c r="B34" i="10"/>
  <c r="C34" i="10" s="1"/>
  <c r="D34" i="10" s="1"/>
  <c r="E34" i="10" s="1"/>
  <c r="F34" i="10" s="1"/>
  <c r="G34" i="10" s="1"/>
  <c r="H34" i="10" s="1"/>
  <c r="I34" i="10" s="1"/>
  <c r="J34" i="10" s="1"/>
  <c r="K34" i="10" s="1"/>
  <c r="L34" i="10" s="1"/>
  <c r="M34" i="10" s="1"/>
  <c r="AC33" i="10"/>
  <c r="C33" i="10" s="1"/>
  <c r="D33" i="10" s="1"/>
  <c r="E33" i="10" s="1"/>
  <c r="F33" i="10" s="1"/>
  <c r="G33" i="10" s="1"/>
  <c r="H33" i="10" s="1"/>
  <c r="I33" i="10"/>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E32" i="10"/>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C32" i="10"/>
  <c r="D32" i="10" s="1"/>
  <c r="B32" i="10"/>
  <c r="AC31" i="10"/>
  <c r="G31" i="10"/>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F31" i="10"/>
  <c r="E31" i="10"/>
  <c r="B31" i="10"/>
  <c r="C31" i="10" s="1"/>
  <c r="D31" i="10" s="1"/>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L29" i="10"/>
  <c r="M29" i="10" s="1"/>
  <c r="N29" i="10" s="1"/>
  <c r="O29" i="10" s="1"/>
  <c r="P29" i="10" s="1"/>
  <c r="Q29" i="10" s="1"/>
  <c r="R29" i="10" s="1"/>
  <c r="S29" i="10" s="1"/>
  <c r="T29" i="10" s="1"/>
  <c r="U29" i="10" s="1"/>
  <c r="V29" i="10" s="1"/>
  <c r="W29" i="10" s="1"/>
  <c r="X29" i="10" s="1"/>
  <c r="Y29" i="10" s="1"/>
  <c r="Z29" i="10" s="1"/>
  <c r="AA29" i="10" s="1"/>
  <c r="AB29" i="10" s="1"/>
  <c r="B29" i="10"/>
  <c r="C29" i="10" s="1"/>
  <c r="D29" i="10" s="1"/>
  <c r="E29" i="10" s="1"/>
  <c r="F29" i="10" s="1"/>
  <c r="G29" i="10" s="1"/>
  <c r="H29" i="10" s="1"/>
  <c r="I29" i="10" s="1"/>
  <c r="J29" i="10" s="1"/>
  <c r="K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B27" i="10"/>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D25" i="10"/>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C25" i="10"/>
  <c r="B25" i="10"/>
  <c r="AC24" i="10"/>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C22" i="10" s="1"/>
  <c r="D22" i="10" s="1"/>
  <c r="E22" i="10" s="1"/>
  <c r="F22" i="10" s="1"/>
  <c r="G22" i="10" s="1"/>
  <c r="H22" i="10" s="1"/>
  <c r="I22" i="10" s="1"/>
  <c r="J22" i="10" s="1"/>
  <c r="K22" i="10" s="1"/>
  <c r="L22" i="10" s="1"/>
  <c r="M22" i="10" s="1"/>
  <c r="N22" i="10" s="1"/>
  <c r="O22" i="10" s="1"/>
  <c r="P22" i="10" s="1"/>
  <c r="Q22" i="10"/>
  <c r="R22" i="10" s="1"/>
  <c r="S22" i="10" s="1"/>
  <c r="T22" i="10" s="1"/>
  <c r="U22" i="10" s="1"/>
  <c r="V22" i="10" s="1"/>
  <c r="W22" i="10" s="1"/>
  <c r="X22" i="10" s="1"/>
  <c r="Y22" i="10" s="1"/>
  <c r="Z22" i="10" s="1"/>
  <c r="AA22" i="10" s="1"/>
  <c r="AB22" i="10" s="1"/>
  <c r="B22" i="10"/>
  <c r="AC21" i="10"/>
  <c r="C21" i="10" s="1"/>
  <c r="D21" i="10"/>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C19" i="10" s="1"/>
  <c r="D19" i="10" s="1"/>
  <c r="E19" i="10"/>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AC15" i="10"/>
  <c r="C15" i="10" s="1"/>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T13" i="10"/>
  <c r="U13" i="10" s="1"/>
  <c r="V13" i="10" s="1"/>
  <c r="W13" i="10" s="1"/>
  <c r="X13" i="10" s="1"/>
  <c r="Y13" i="10" s="1"/>
  <c r="Z13" i="10" s="1"/>
  <c r="AA13" i="10" s="1"/>
  <c r="AB13" i="10" s="1"/>
  <c r="C13" i="10"/>
  <c r="D13" i="10" s="1"/>
  <c r="E13" i="10" s="1"/>
  <c r="F13" i="10" s="1"/>
  <c r="G13" i="10" s="1"/>
  <c r="H13" i="10" s="1"/>
  <c r="I13" i="10" s="1"/>
  <c r="J13" i="10" s="1"/>
  <c r="K13" i="10" s="1"/>
  <c r="L13" i="10" s="1"/>
  <c r="M13" i="10" s="1"/>
  <c r="N13" i="10" s="1"/>
  <c r="O13" i="10" s="1"/>
  <c r="P13" i="10" s="1"/>
  <c r="Q13" i="10" s="1"/>
  <c r="R13" i="10" s="1"/>
  <c r="S13" i="10" s="1"/>
  <c r="B13" i="10"/>
  <c r="AC12" i="10"/>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AC9" i="10"/>
  <c r="B9" i="10"/>
  <c r="B57" i="10" s="1"/>
  <c r="B5" i="10"/>
  <c r="B4" i="10"/>
  <c r="G9" i="9"/>
  <c r="C9" i="9"/>
  <c r="B9" i="9"/>
  <c r="D9" i="9" s="1"/>
  <c r="F9" i="9" s="1"/>
  <c r="A9" i="9"/>
  <c r="AA5" i="9"/>
  <c r="Z5" i="9"/>
  <c r="X5" i="9"/>
  <c r="W5" i="9"/>
  <c r="V5" i="9"/>
  <c r="U5" i="9"/>
  <c r="S5" i="9"/>
  <c r="B2" i="9"/>
  <c r="R5" i="9" s="1"/>
  <c r="B1" i="9"/>
  <c r="F54" i="7"/>
  <c r="E54" i="7"/>
  <c r="D54" i="7"/>
  <c r="H54" i="7" s="1"/>
  <c r="C54" i="7"/>
  <c r="F53" i="7"/>
  <c r="E53" i="7"/>
  <c r="D53" i="7"/>
  <c r="G53" i="7" s="1"/>
  <c r="C53" i="7"/>
  <c r="H52" i="7"/>
  <c r="G52" i="7"/>
  <c r="F52" i="7"/>
  <c r="E52" i="7"/>
  <c r="D52" i="7"/>
  <c r="C52" i="7"/>
  <c r="F51" i="7"/>
  <c r="E51" i="7"/>
  <c r="D51" i="7"/>
  <c r="C51" i="7"/>
  <c r="F50" i="7"/>
  <c r="E50" i="7"/>
  <c r="D50" i="7"/>
  <c r="H50" i="7" s="1"/>
  <c r="C50" i="7"/>
  <c r="H49" i="7"/>
  <c r="F49" i="7"/>
  <c r="G49" i="7" s="1"/>
  <c r="E49" i="7"/>
  <c r="D49" i="7"/>
  <c r="C49" i="7"/>
  <c r="H48" i="7"/>
  <c r="F48" i="7"/>
  <c r="E48" i="7"/>
  <c r="D48" i="7"/>
  <c r="G48" i="7" s="1"/>
  <c r="C48" i="7"/>
  <c r="F47" i="7"/>
  <c r="E47" i="7"/>
  <c r="D47" i="7"/>
  <c r="C47" i="7"/>
  <c r="F46" i="7"/>
  <c r="E46" i="7"/>
  <c r="D46" i="7"/>
  <c r="G46" i="7" s="1"/>
  <c r="C46" i="7"/>
  <c r="F45" i="7"/>
  <c r="E45" i="7"/>
  <c r="D45" i="7"/>
  <c r="G45" i="7" s="1"/>
  <c r="C45" i="7"/>
  <c r="F44" i="7"/>
  <c r="E44" i="7"/>
  <c r="D44" i="7"/>
  <c r="C44" i="7"/>
  <c r="H43" i="7"/>
  <c r="F43" i="7"/>
  <c r="E43" i="7"/>
  <c r="D43" i="7"/>
  <c r="G43" i="7" s="1"/>
  <c r="C43" i="7"/>
  <c r="F42" i="7"/>
  <c r="E42" i="7"/>
  <c r="D42" i="7"/>
  <c r="G42" i="7" s="1"/>
  <c r="C42" i="7"/>
  <c r="F41" i="7"/>
  <c r="G41" i="7" s="1"/>
  <c r="E41" i="7"/>
  <c r="H41" i="7" s="1"/>
  <c r="D41" i="7"/>
  <c r="C41" i="7"/>
  <c r="F40" i="7"/>
  <c r="E40" i="7"/>
  <c r="D40" i="7"/>
  <c r="C40" i="7"/>
  <c r="G39" i="7"/>
  <c r="F39" i="7"/>
  <c r="H39" i="7" s="1"/>
  <c r="E39" i="7"/>
  <c r="D39" i="7"/>
  <c r="C39" i="7"/>
  <c r="F38" i="7"/>
  <c r="G38" i="7" s="1"/>
  <c r="E38" i="7"/>
  <c r="H38" i="7" s="1"/>
  <c r="D38" i="7"/>
  <c r="C38" i="7"/>
  <c r="H37" i="7"/>
  <c r="F37" i="7"/>
  <c r="E37" i="7"/>
  <c r="D37" i="7"/>
  <c r="C37" i="7"/>
  <c r="G37" i="7" s="1"/>
  <c r="F36" i="7"/>
  <c r="E36" i="7"/>
  <c r="D36" i="7"/>
  <c r="C36" i="7"/>
  <c r="H35" i="7"/>
  <c r="G35" i="7"/>
  <c r="F35" i="7"/>
  <c r="E35" i="7"/>
  <c r="D35" i="7"/>
  <c r="C35" i="7"/>
  <c r="F34" i="7"/>
  <c r="E34" i="7"/>
  <c r="D34" i="7"/>
  <c r="H34" i="7" s="1"/>
  <c r="C34" i="7"/>
  <c r="F33" i="7"/>
  <c r="E33" i="7"/>
  <c r="D33" i="7"/>
  <c r="C33" i="7"/>
  <c r="F32" i="7"/>
  <c r="E32" i="7"/>
  <c r="D32" i="7"/>
  <c r="C32" i="7"/>
  <c r="G31" i="7"/>
  <c r="F31" i="7"/>
  <c r="H31" i="7" s="1"/>
  <c r="E31" i="7"/>
  <c r="D31" i="7"/>
  <c r="C31" i="7"/>
  <c r="H30" i="7"/>
  <c r="F30" i="7"/>
  <c r="G30" i="7" s="1"/>
  <c r="E30" i="7"/>
  <c r="D30" i="7"/>
  <c r="C30" i="7"/>
  <c r="F29" i="7"/>
  <c r="E29" i="7"/>
  <c r="D29" i="7"/>
  <c r="C29" i="7"/>
  <c r="H28" i="7"/>
  <c r="F28" i="7"/>
  <c r="E28" i="7"/>
  <c r="D28" i="7"/>
  <c r="C28" i="7"/>
  <c r="H27" i="7"/>
  <c r="F27" i="7"/>
  <c r="G27" i="7" s="1"/>
  <c r="E27" i="7"/>
  <c r="D27" i="7"/>
  <c r="C27" i="7"/>
  <c r="H26" i="7"/>
  <c r="F26" i="7"/>
  <c r="E26" i="7"/>
  <c r="D26" i="7"/>
  <c r="C26" i="7"/>
  <c r="G26" i="7" s="1"/>
  <c r="F25" i="7"/>
  <c r="E25" i="7"/>
  <c r="D25" i="7"/>
  <c r="C25" i="7"/>
  <c r="F24" i="7"/>
  <c r="E24" i="7"/>
  <c r="D24" i="7"/>
  <c r="C24" i="7"/>
  <c r="H23" i="7"/>
  <c r="G23" i="7"/>
  <c r="F23" i="7"/>
  <c r="E23" i="7"/>
  <c r="D23" i="7"/>
  <c r="C23" i="7"/>
  <c r="F22" i="7"/>
  <c r="E22" i="7"/>
  <c r="D22" i="7"/>
  <c r="C22" i="7"/>
  <c r="F21" i="7"/>
  <c r="E21" i="7"/>
  <c r="D21" i="7"/>
  <c r="H21" i="7" s="1"/>
  <c r="C21" i="7"/>
  <c r="F20" i="7"/>
  <c r="E20" i="7"/>
  <c r="D20" i="7"/>
  <c r="C20" i="7"/>
  <c r="F19" i="7"/>
  <c r="G19" i="7" s="1"/>
  <c r="E19" i="7"/>
  <c r="H19" i="7" s="1"/>
  <c r="D19" i="7"/>
  <c r="C19" i="7"/>
  <c r="F18" i="7"/>
  <c r="E18" i="7"/>
  <c r="D18" i="7"/>
  <c r="C18" i="7"/>
  <c r="F17" i="7"/>
  <c r="E17" i="7"/>
  <c r="D17" i="7"/>
  <c r="H17" i="7" s="1"/>
  <c r="C17" i="7"/>
  <c r="H16" i="7"/>
  <c r="F16" i="7"/>
  <c r="G16" i="7" s="1"/>
  <c r="E16" i="7"/>
  <c r="D16" i="7"/>
  <c r="C16" i="7"/>
  <c r="H15" i="7"/>
  <c r="F15" i="7"/>
  <c r="E15" i="7"/>
  <c r="D15" i="7"/>
  <c r="C15" i="7"/>
  <c r="G15" i="7" s="1"/>
  <c r="G14" i="7"/>
  <c r="F14" i="7"/>
  <c r="E14" i="7"/>
  <c r="D14" i="7"/>
  <c r="C14" i="7"/>
  <c r="H13" i="7"/>
  <c r="F13" i="7"/>
  <c r="E13" i="7"/>
  <c r="D13" i="7"/>
  <c r="G13" i="7" s="1"/>
  <c r="C13" i="7"/>
  <c r="F12" i="7"/>
  <c r="E12" i="7"/>
  <c r="D12" i="7"/>
  <c r="H12" i="7" s="1"/>
  <c r="C12" i="7"/>
  <c r="F11" i="7"/>
  <c r="E11" i="7"/>
  <c r="D11" i="7"/>
  <c r="C11" i="7"/>
  <c r="H10" i="7"/>
  <c r="G10" i="7"/>
  <c r="F10" i="7"/>
  <c r="E10" i="7"/>
  <c r="D10" i="7"/>
  <c r="C10" i="7"/>
  <c r="H9" i="7"/>
  <c r="F9" i="7"/>
  <c r="E9" i="7"/>
  <c r="D9" i="7"/>
  <c r="G9" i="7" s="1"/>
  <c r="C9" i="7"/>
  <c r="F8" i="7"/>
  <c r="G8" i="7" s="1"/>
  <c r="E8" i="7"/>
  <c r="H8" i="7" s="1"/>
  <c r="D8" i="7"/>
  <c r="C8" i="7"/>
  <c r="F7" i="7"/>
  <c r="E7" i="7"/>
  <c r="D7" i="7"/>
  <c r="C7" i="7"/>
  <c r="B2" i="1"/>
  <c r="O5" i="9" l="1"/>
  <c r="P5" i="9"/>
  <c r="Q5" i="9"/>
  <c r="G28" i="7"/>
  <c r="H24" i="7"/>
  <c r="G24" i="7"/>
  <c r="G32" i="7"/>
  <c r="H32" i="7"/>
  <c r="H20" i="7"/>
  <c r="G20" i="7"/>
  <c r="G40" i="7"/>
  <c r="H40" i="7"/>
  <c r="H7" i="7"/>
  <c r="G7" i="7"/>
  <c r="H36" i="7"/>
  <c r="G36" i="7"/>
  <c r="G12" i="7"/>
  <c r="H25" i="7"/>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H44" i="7"/>
  <c r="H11" i="7"/>
  <c r="H33" i="7"/>
  <c r="B109" i="10"/>
  <c r="G50" i="7"/>
  <c r="G17" i="7"/>
  <c r="G54" i="7"/>
  <c r="H42" i="7"/>
  <c r="H45" i="7"/>
  <c r="B161" i="10"/>
  <c r="G21" i="7"/>
  <c r="G25" i="7"/>
  <c r="H46" i="7"/>
  <c r="G34" i="7"/>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H51" i="7"/>
  <c r="G51" i="7"/>
  <c r="Y5" i="9"/>
  <c r="C5" i="9"/>
  <c r="T5" i="9"/>
  <c r="H5" i="9"/>
  <c r="I5" i="9"/>
  <c r="B5" i="9"/>
  <c r="G5" i="9"/>
  <c r="AB5" i="9"/>
  <c r="F5" i="9"/>
  <c r="D5" i="9"/>
  <c r="E5" i="9"/>
  <c r="L5" i="9"/>
  <c r="K5" i="9"/>
  <c r="C9" i="10"/>
  <c r="G18" i="7"/>
  <c r="H18" i="7"/>
  <c r="J5" i="9"/>
  <c r="H22" i="7"/>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H14" i="7"/>
  <c r="M5" i="9"/>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H53" i="7"/>
  <c r="I9" i="9"/>
  <c r="H9" i="9"/>
  <c r="H47" i="7"/>
  <c r="G47" i="7"/>
  <c r="N5" i="9"/>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G29" i="7"/>
  <c r="H29" i="7"/>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C161" i="10"/>
  <c r="D113"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G11" i="7"/>
  <c r="G22" i="7"/>
  <c r="G33" i="7"/>
  <c r="G44" i="7"/>
  <c r="E9" i="9"/>
  <c r="D61"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173" i="10" l="1"/>
  <c r="B2" i="13" s="1"/>
  <c r="B172" i="10"/>
  <c r="B2" i="12" s="1"/>
  <c r="B171" i="10"/>
  <c r="B2" i="11" s="1"/>
  <c r="C173" i="10"/>
  <c r="C2" i="13" s="1"/>
  <c r="D161" i="10"/>
  <c r="D173" i="10" s="1"/>
  <c r="D2" i="13" s="1"/>
  <c r="E113" i="10"/>
  <c r="D172" i="10"/>
  <c r="D2" i="12" s="1"/>
  <c r="D109" i="10"/>
  <c r="E61" i="10"/>
  <c r="C109" i="10"/>
  <c r="C172" i="10" s="1"/>
  <c r="C2" i="12" s="1"/>
  <c r="C57" i="10"/>
  <c r="C171" i="10" s="1"/>
  <c r="C2" i="11" s="1"/>
  <c r="D9" i="10"/>
  <c r="D57" i="10" l="1"/>
  <c r="D171" i="10" s="1"/>
  <c r="D2" i="11" s="1"/>
  <c r="E9" i="10"/>
  <c r="F113" i="10"/>
  <c r="E161" i="10"/>
  <c r="E173" i="10" s="1"/>
  <c r="E2" i="13" s="1"/>
  <c r="E109" i="10"/>
  <c r="E172" i="10" s="1"/>
  <c r="E2" i="12" s="1"/>
  <c r="F61" i="10"/>
  <c r="G61" i="10" l="1"/>
  <c r="F109" i="10"/>
  <c r="F172" i="10" s="1"/>
  <c r="F2" i="12" s="1"/>
  <c r="F161" i="10"/>
  <c r="F173" i="10" s="1"/>
  <c r="F2" i="13" s="1"/>
  <c r="G113" i="10"/>
  <c r="E57" i="10"/>
  <c r="E171" i="10" s="1"/>
  <c r="E2" i="11" s="1"/>
  <c r="F9" i="10"/>
  <c r="G109" i="10" l="1"/>
  <c r="G172" i="10" s="1"/>
  <c r="G2" i="12" s="1"/>
  <c r="H61" i="10"/>
  <c r="G161" i="10"/>
  <c r="G173" i="10" s="1"/>
  <c r="G2" i="13" s="1"/>
  <c r="H113" i="10"/>
  <c r="F57" i="10"/>
  <c r="F171" i="10" s="1"/>
  <c r="F2" i="11" s="1"/>
  <c r="G9" i="10"/>
  <c r="I61" i="10" l="1"/>
  <c r="H109" i="10"/>
  <c r="H172" i="10" s="1"/>
  <c r="H2" i="12" s="1"/>
  <c r="H9" i="10"/>
  <c r="G57" i="10"/>
  <c r="G171" i="10" s="1"/>
  <c r="G2" i="11" s="1"/>
  <c r="H161" i="10"/>
  <c r="H173" i="10" s="1"/>
  <c r="H2" i="13" s="1"/>
  <c r="I113" i="10"/>
  <c r="J113" i="10" l="1"/>
  <c r="I161" i="10"/>
  <c r="I173" i="10" s="1"/>
  <c r="I2" i="13" s="1"/>
  <c r="I9" i="10"/>
  <c r="H57" i="10"/>
  <c r="H171" i="10" s="1"/>
  <c r="H2" i="11" s="1"/>
  <c r="I109" i="10"/>
  <c r="I172" i="10" s="1"/>
  <c r="I2" i="12" s="1"/>
  <c r="J61" i="10"/>
  <c r="K61" i="10" l="1"/>
  <c r="J109" i="10"/>
  <c r="J172" i="10" s="1"/>
  <c r="J2" i="12" s="1"/>
  <c r="I57" i="10"/>
  <c r="I171" i="10" s="1"/>
  <c r="I2" i="11" s="1"/>
  <c r="J9" i="10"/>
  <c r="J161" i="10"/>
  <c r="J173" i="10" s="1"/>
  <c r="J2" i="13" s="1"/>
  <c r="K113" i="10"/>
  <c r="K9" i="10" l="1"/>
  <c r="J57" i="10"/>
  <c r="J171" i="10" s="1"/>
  <c r="J2" i="11" s="1"/>
  <c r="K161" i="10"/>
  <c r="K173" i="10" s="1"/>
  <c r="K2" i="13" s="1"/>
  <c r="L113" i="10"/>
  <c r="K109" i="10"/>
  <c r="K172" i="10" s="1"/>
  <c r="K2" i="12" s="1"/>
  <c r="L61" i="10"/>
  <c r="L109" i="10" l="1"/>
  <c r="L172" i="10" s="1"/>
  <c r="L2" i="12" s="1"/>
  <c r="M61" i="10"/>
  <c r="M113" i="10"/>
  <c r="L161" i="10"/>
  <c r="L173" i="10" s="1"/>
  <c r="L2" i="13" s="1"/>
  <c r="K57" i="10"/>
  <c r="K171" i="10" s="1"/>
  <c r="K2" i="11" s="1"/>
  <c r="L9" i="10"/>
  <c r="L57" i="10" l="1"/>
  <c r="L171" i="10" s="1"/>
  <c r="L2" i="11" s="1"/>
  <c r="M9" i="10"/>
  <c r="M161" i="10"/>
  <c r="M173" i="10" s="1"/>
  <c r="M2" i="13" s="1"/>
  <c r="N113" i="10"/>
  <c r="M109" i="10"/>
  <c r="M172" i="10" s="1"/>
  <c r="M2" i="12" s="1"/>
  <c r="N61" i="10"/>
  <c r="N9" i="10" l="1"/>
  <c r="M57" i="10"/>
  <c r="M171" i="10" s="1"/>
  <c r="M2" i="11" s="1"/>
  <c r="N109" i="10"/>
  <c r="N172" i="10" s="1"/>
  <c r="N2" i="12" s="1"/>
  <c r="O61" i="10"/>
  <c r="O113" i="10"/>
  <c r="N161" i="10"/>
  <c r="N173" i="10" s="1"/>
  <c r="N2" i="13" s="1"/>
  <c r="O109" i="10" l="1"/>
  <c r="O172" i="10" s="1"/>
  <c r="O2" i="12" s="1"/>
  <c r="P61" i="10"/>
  <c r="P113" i="10"/>
  <c r="O161" i="10"/>
  <c r="O173" i="10" s="1"/>
  <c r="O2" i="13" s="1"/>
  <c r="O9" i="10"/>
  <c r="N57" i="10"/>
  <c r="N171" i="10" s="1"/>
  <c r="N2" i="11" s="1"/>
  <c r="P161" i="10" l="1"/>
  <c r="P173" i="10" s="1"/>
  <c r="P2" i="13" s="1"/>
  <c r="Q113" i="10"/>
  <c r="Q61" i="10"/>
  <c r="P109" i="10"/>
  <c r="P172" i="10" s="1"/>
  <c r="P2" i="12" s="1"/>
  <c r="O57" i="10"/>
  <c r="O171" i="10" s="1"/>
  <c r="O2" i="11" s="1"/>
  <c r="P9" i="10"/>
  <c r="Q9" i="10" l="1"/>
  <c r="P57" i="10"/>
  <c r="P171" i="10" s="1"/>
  <c r="P2" i="11" s="1"/>
  <c r="R61" i="10"/>
  <c r="Q109" i="10"/>
  <c r="Q172" i="10" s="1"/>
  <c r="Q2" i="12" s="1"/>
  <c r="Q161" i="10"/>
  <c r="Q173" i="10" s="1"/>
  <c r="Q2" i="13" s="1"/>
  <c r="R113" i="10"/>
  <c r="R161" i="10" l="1"/>
  <c r="R173" i="10" s="1"/>
  <c r="R2" i="13" s="1"/>
  <c r="S113" i="10"/>
  <c r="R109" i="10"/>
  <c r="R172" i="10" s="1"/>
  <c r="R2" i="12" s="1"/>
  <c r="S61" i="10"/>
  <c r="R9" i="10"/>
  <c r="Q57" i="10"/>
  <c r="Q171" i="10" s="1"/>
  <c r="Q2" i="11" s="1"/>
  <c r="R57" i="10" l="1"/>
  <c r="R171" i="10" s="1"/>
  <c r="R2" i="11" s="1"/>
  <c r="S9" i="10"/>
  <c r="S109" i="10"/>
  <c r="S172" i="10" s="1"/>
  <c r="S2" i="12" s="1"/>
  <c r="T61" i="10"/>
  <c r="S161" i="10"/>
  <c r="S173" i="10" s="1"/>
  <c r="S2" i="13" s="1"/>
  <c r="T113" i="10"/>
  <c r="T161" i="10" l="1"/>
  <c r="T173" i="10" s="1"/>
  <c r="T2" i="13" s="1"/>
  <c r="U113" i="10"/>
  <c r="U61" i="10"/>
  <c r="T109" i="10"/>
  <c r="T172" i="10" s="1"/>
  <c r="T2" i="12" s="1"/>
  <c r="S57" i="10"/>
  <c r="S171" i="10" s="1"/>
  <c r="S2" i="11" s="1"/>
  <c r="T9" i="10"/>
  <c r="U9" i="10" l="1"/>
  <c r="T57" i="10"/>
  <c r="T171" i="10" s="1"/>
  <c r="T2" i="11" s="1"/>
  <c r="U109" i="10"/>
  <c r="U172" i="10" s="1"/>
  <c r="U2" i="12" s="1"/>
  <c r="V61" i="10"/>
  <c r="V113" i="10"/>
  <c r="U161" i="10"/>
  <c r="U173" i="10" s="1"/>
  <c r="U2" i="13" s="1"/>
  <c r="W113" i="10" l="1"/>
  <c r="V161" i="10"/>
  <c r="V173" i="10" s="1"/>
  <c r="V2" i="13" s="1"/>
  <c r="V109" i="10"/>
  <c r="V172" i="10" s="1"/>
  <c r="V2" i="12" s="1"/>
  <c r="W61" i="10"/>
  <c r="U57" i="10"/>
  <c r="U171" i="10" s="1"/>
  <c r="U2" i="11" s="1"/>
  <c r="V9" i="10"/>
  <c r="V57" i="10" l="1"/>
  <c r="V171" i="10" s="1"/>
  <c r="V2" i="11" s="1"/>
  <c r="W9" i="10"/>
  <c r="W109" i="10"/>
  <c r="W172" i="10" s="1"/>
  <c r="W2" i="12" s="1"/>
  <c r="X61" i="10"/>
  <c r="W161" i="10"/>
  <c r="W173" i="10" s="1"/>
  <c r="W2" i="13" s="1"/>
  <c r="X113" i="10"/>
  <c r="X161" i="10" l="1"/>
  <c r="X173" i="10" s="1"/>
  <c r="X2" i="13" s="1"/>
  <c r="Y113" i="10"/>
  <c r="X109" i="10"/>
  <c r="X172" i="10" s="1"/>
  <c r="X2" i="12" s="1"/>
  <c r="Y61" i="10"/>
  <c r="W57" i="10"/>
  <c r="W171" i="10" s="1"/>
  <c r="W2" i="11" s="1"/>
  <c r="X9" i="10"/>
  <c r="X57" i="10" l="1"/>
  <c r="X171" i="10" s="1"/>
  <c r="X2" i="11" s="1"/>
  <c r="Y9" i="10"/>
  <c r="Z61" i="10"/>
  <c r="Y109" i="10"/>
  <c r="Y172" i="10" s="1"/>
  <c r="Y2" i="12" s="1"/>
  <c r="Z113" i="10"/>
  <c r="Y161" i="10"/>
  <c r="Y173" i="10" s="1"/>
  <c r="Y2" i="13" s="1"/>
  <c r="AA113" i="10" l="1"/>
  <c r="Z161" i="10"/>
  <c r="Z173" i="10" s="1"/>
  <c r="Z2" i="13" s="1"/>
  <c r="Y57" i="10"/>
  <c r="Y171" i="10" s="1"/>
  <c r="Y2" i="11" s="1"/>
  <c r="Z9" i="10"/>
  <c r="Z109" i="10"/>
  <c r="Z172" i="10" s="1"/>
  <c r="Z2" i="12" s="1"/>
  <c r="AA61" i="10"/>
  <c r="AA109" i="10" l="1"/>
  <c r="AA172" i="10" s="1"/>
  <c r="AA2" i="12" s="1"/>
  <c r="AB61" i="10"/>
  <c r="AB109" i="10" s="1"/>
  <c r="AB172" i="10" s="1"/>
  <c r="AB2" i="12" s="1"/>
  <c r="Z57" i="10"/>
  <c r="Z171" i="10" s="1"/>
  <c r="Z2" i="11" s="1"/>
  <c r="AA9" i="10"/>
  <c r="AA161" i="10"/>
  <c r="AA173" i="10" s="1"/>
  <c r="AA2" i="13" s="1"/>
  <c r="AB113" i="10"/>
  <c r="AB161" i="10" s="1"/>
  <c r="AB173" i="10" s="1"/>
  <c r="AB2" i="13" s="1"/>
  <c r="AA57" i="10" l="1"/>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<sst xmlns="http://schemas.openxmlformats.org/spreadsheetml/2006/main" count="725" uniqueCount="267">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</sst>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15</v>
      </c>
      <c r="C1" s="11">
        <v>46266</v>
      </c>
      <c r="F1" s="1" t="s">
        <v>2</v>
      </c>
      <c r="G1" s="1" t="s">
        <v>3</v>
      </c>
    </row>
    <row r="2" spans="1:7" x14ac:dyDescent="0.45">
      <c r="A2" s="1" t="s">
        <v>4</v>
      </c>
      <c r="B2" t="str">
        <f>INDEX($G$2:$G$49,MATCH($B$1,$F$2:$F$49,0))</f>
        <v>CO</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Colorado</v>
      </c>
    </row>
    <row r="2" spans="1:28" x14ac:dyDescent="0.45">
      <c r="B2" t="str">
        <f>About!B2</f>
        <v>CO</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Colorado</v>
      </c>
    </row>
    <row r="5" spans="1:29" x14ac:dyDescent="0.45">
      <c r="A5" t="s">
        <v>246</v>
      </c>
      <c r="B5" t="str">
        <f>About!$B$2</f>
        <v>CO</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1115123.4723130313</v>
      </c>
      <c r="C171">
        <f>IF('State Calculations'!C$5&lt;&gt;"",B171*(1+'State Calculations'!C$5),IFERROR(INDEX(C9:C56,MATCH($B$5,$A9:$A56,0))/C57*C165,0))</f>
        <v>1271068.3681923642</v>
      </c>
      <c r="D171">
        <f>IF('State Calculations'!D$5&lt;&gt;"",C171*(1+'State Calculations'!D$5),IFERROR(INDEX(D9:D56,MATCH($B$5,$A9:$A56,0))/D57*D165,0))</f>
        <v>1443846.1361284126</v>
      </c>
      <c r="E171">
        <f>IF('State Calculations'!E$5&lt;&gt;"",D171*(1+'State Calculations'!E$5),IFERROR(INDEX(E9:E56,MATCH($B$5,$A9:$A56,0))/E57*E165,0))</f>
        <v>1633360.5475469576</v>
      </c>
      <c r="F171">
        <f>IF('State Calculations'!F$5&lt;&gt;"",E171*(1+'State Calculations'!F$5),IFERROR(INDEX(F9:F56,MATCH($B$5,$A9:$A56,0))/F57*F165,0))</f>
        <v>1838243.0883552618</v>
      </c>
      <c r="G171">
        <f>IF('State Calculations'!G$5&lt;&gt;"",F171*(1+'State Calculations'!G$5),IFERROR(INDEX(G9:G56,MATCH($B$5,$A9:$A56,0))/G57*G165,0))</f>
        <v>2054835.7757088433</v>
      </c>
      <c r="H171">
        <f>IF('State Calculations'!H$5&lt;&gt;"",G171*(1+'State Calculations'!H$5),IFERROR(INDEX(H9:H56,MATCH($B$5,$A9:$A56,0))/H57*H165,0))</f>
        <v>2275409.8945603105</v>
      </c>
      <c r="I171">
        <f>IF('State Calculations'!I$5&lt;&gt;"",H171*(1+'State Calculations'!I$5),IFERROR(INDEX(I9:I56,MATCH($B$5,$A9:$A56,0))/I57*I165,0))</f>
        <v>2328389.7823724574</v>
      </c>
      <c r="J171">
        <f>IF('State Calculations'!J$5&lt;&gt;"",I171*(1+'State Calculations'!J$5),IFERROR(INDEX(J9:J56,MATCH($B$5,$A9:$A56,0))/J57*J165,0))</f>
        <v>2379022.7923369855</v>
      </c>
      <c r="K171">
        <f>IF('State Calculations'!K$5&lt;&gt;"",J171*(1+'State Calculations'!K$5),IFERROR(INDEX(K9:K56,MATCH($B$5,$A9:$A56,0))/K57*K165,0))</f>
        <v>2426500.526287145</v>
      </c>
      <c r="L171">
        <f>IF('State Calculations'!L$5&lt;&gt;"",K171*(1+'State Calculations'!L$5),IFERROR(INDEX(L9:L56,MATCH($B$5,$A9:$A56,0))/L57*L165,0))</f>
        <v>2469860.1356334104</v>
      </c>
      <c r="M171">
        <f>IF('State Calculations'!M$5&lt;&gt;"",L171*(1+'State Calculations'!M$5),IFERROR(INDEX(M9:M56,MATCH($B$5,$A9:$A56,0))/M57*M165,0))</f>
        <v>2507967.1662823032</v>
      </c>
      <c r="N171">
        <f>IF('State Calculations'!N$5&lt;&gt;"",M171*(1+'State Calculations'!N$5),IFERROR(INDEX(N9:N56,MATCH($B$5,$A9:$A56,0))/N57*N165,0))</f>
        <v>2515839.5889767967</v>
      </c>
      <c r="O171">
        <f>IF('State Calculations'!O$5&lt;&gt;"",N171*(1+'State Calculations'!O$5),IFERROR(INDEX(O9:O56,MATCH($B$5,$A9:$A56,0))/O57*O165,0))</f>
        <v>2523188.9080999345</v>
      </c>
      <c r="P171">
        <f>IF('State Calculations'!P$5&lt;&gt;"",O171*(1+'State Calculations'!P$5),IFERROR(INDEX(P9:P56,MATCH($B$5,$A9:$A56,0))/P57*P165,0))</f>
        <v>2529985.1972178305</v>
      </c>
      <c r="Q171">
        <f>IF('State Calculations'!Q$5&lt;&gt;"",P171*(1+'State Calculations'!Q$5),IFERROR(INDEX(Q9:Q56,MATCH($B$5,$A9:$A56,0))/Q57*Q165,0))</f>
        <v>2536197.5021485616</v>
      </c>
      <c r="R171">
        <f>IF('State Calculations'!R$5&lt;&gt;"",Q171*(1+'State Calculations'!R$5),IFERROR(INDEX(R9:R56,MATCH($B$5,$A9:$A56,0))/R57*R165,0))</f>
        <v>2541793.863374697</v>
      </c>
      <c r="S171">
        <f>IF('State Calculations'!S$5&lt;&gt;"",R171*(1+'State Calculations'!S$5),IFERROR(INDEX(S9:S56,MATCH($B$5,$A9:$A56,0))/S57*S165,0))</f>
        <v>2543026.2969714943</v>
      </c>
      <c r="T171">
        <f>IF('State Calculations'!T$5&lt;&gt;"",S171*(1+'State Calculations'!T$5),IFERROR(INDEX(T9:T56,MATCH($B$5,$A9:$A56,0))/T57*T165,0))</f>
        <v>2544215.5448147249</v>
      </c>
      <c r="U171">
        <f>IF('State Calculations'!U$5&lt;&gt;"",T171*(1+'State Calculations'!U$5),IFERROR(INDEX(U9:U56,MATCH($B$5,$A9:$A56,0))/U57*U165,0))</f>
        <v>2545361.0409614388</v>
      </c>
      <c r="V171">
        <f>IF('State Calculations'!V$5&lt;&gt;"",U171*(1+'State Calculations'!V$5),IFERROR(INDEX(V9:V56,MATCH($B$5,$A9:$A56,0))/V57*V165,0))</f>
        <v>2546462.2155529987</v>
      </c>
      <c r="W171">
        <f>IF('State Calculations'!W$5&lt;&gt;"",V171*(1+'State Calculations'!W$5),IFERROR(INDEX(W9:W56,MATCH($B$5,$A9:$A56,0))/W57*W165,0))</f>
        <v>2547518.4948746888</v>
      </c>
      <c r="X171">
        <f>IF('State Calculations'!X$5&lt;&gt;"",W171*(1+'State Calculations'!X$5),IFERROR(INDEX(X9:X56,MATCH($B$5,$A9:$A56,0))/X57*X165,0))</f>
        <v>2547770.8313560891</v>
      </c>
      <c r="Y171">
        <f>IF('State Calculations'!Y$5&lt;&gt;"",X171*(1+'State Calculations'!Y$5),IFERROR(INDEX(Y9:Y56,MATCH($B$5,$A9:$A56,0))/Y57*Y165,0))</f>
        <v>2548020.2801836957</v>
      </c>
      <c r="Z171">
        <f>IF('State Calculations'!Z$5&lt;&gt;"",Y171*(1+'State Calculations'!Z$5),IFERROR(INDEX(Z9:Z56,MATCH($B$5,$A9:$A56,0))/Z57*Z165,0))</f>
        <v>2548266.8321172562</v>
      </c>
      <c r="AA171">
        <f>IF('State Calculations'!AA$5&lt;&gt;"",Z171*(1+'State Calculations'!AA$5),IFERROR(INDEX(AA9:AA56,MATCH($B$5,$A9:$A56,0))/AA57*AA165,0))</f>
        <v>2548510.4779017274</v>
      </c>
      <c r="AB171">
        <f>IF('State Calculations'!AB$5&lt;&gt;"",AA171*(1+'State Calculations'!AB$5),IFERROR(INDEX(AB9:AB56,MATCH($B$5,$A9:$A56,0))/AB57*AB165,0))</f>
        <v>2548751.2082673484</v>
      </c>
    </row>
    <row r="172" spans="1:29" x14ac:dyDescent="0.45">
      <c r="A172" s="1" t="s">
        <v>262</v>
      </c>
      <c r="B172">
        <f>IF('State Calculations'!B$5&lt;&gt;"",A172*(1+'State Calculations'!B$5),IFERROR(INDEX(B61:B108,MATCH($B$5,$A61:$A108,0))/B109*B166,0))</f>
        <v>1115123.4723130313</v>
      </c>
      <c r="C172">
        <f>IF('State Calculations'!C$5&lt;&gt;"",B172*(1+'State Calculations'!C$5),IFERROR(INDEX(C61:C108,MATCH($B$5,$A61:$A108,0))/C109*C166,0))</f>
        <v>1303736.0962482558</v>
      </c>
      <c r="D172">
        <f>IF('State Calculations'!D$5&lt;&gt;"",C172*(1+'State Calculations'!D$5),IFERROR(INDEX(D61:D108,MATCH($B$5,$A61:$A108,0))/D109*D166,0))</f>
        <v>1514515.9304948815</v>
      </c>
      <c r="E172">
        <f>IF('State Calculations'!E$5&lt;&gt;"",D172*(1+'State Calculations'!E$5),IFERROR(INDEX(E61:E108,MATCH($B$5,$A61:$A108,0))/E109*E166,0))</f>
        <v>1746274.7588985707</v>
      </c>
      <c r="F172">
        <f>IF('State Calculations'!F$5&lt;&gt;"",E172*(1+'State Calculations'!F$5),IFERROR(INDEX(F61:F108,MATCH($B$5,$A61:$A108,0))/F109*F166,0))</f>
        <v>1995476.6908024102</v>
      </c>
      <c r="G172">
        <f>IF('State Calculations'!G$5&lt;&gt;"",F172*(1+'State Calculations'!G$5),IFERROR(INDEX(G61:G108,MATCH($B$5,$A61:$A108,0))/G109*G166,0))</f>
        <v>2254906.851873796</v>
      </c>
      <c r="H172">
        <f>IF('State Calculations'!H$5&lt;&gt;"",G172*(1+'State Calculations'!H$5),IFERROR(INDEX(H61:H108,MATCH($B$5,$A61:$A108,0))/H109*H166,0))</f>
        <v>2511855.9551007203</v>
      </c>
      <c r="I172">
        <f>IF('State Calculations'!I$5&lt;&gt;"",H172*(1+'State Calculations'!I$5),IFERROR(INDEX(I61:I108,MATCH($B$5,$A61:$A108,0))/I109*I166,0))</f>
        <v>2570556.4697237066</v>
      </c>
      <c r="J172">
        <f>IF('State Calculations'!J$5&lt;&gt;"",I172*(1+'State Calculations'!J$5),IFERROR(INDEX(J61:J108,MATCH($B$5,$A61:$A108,0))/J109*J166,0))</f>
        <v>2625114.3563580709</v>
      </c>
      <c r="K172">
        <f>IF('State Calculations'!K$5&lt;&gt;"",J172*(1+'State Calculations'!K$5),IFERROR(INDEX(K61:K108,MATCH($B$5,$A61:$A108,0))/K109*K166,0))</f>
        <v>2674552.6590571506</v>
      </c>
      <c r="L172">
        <f>IF('State Calculations'!L$5&lt;&gt;"",K172*(1+'State Calculations'!L$5),IFERROR(INDEX(L61:L108,MATCH($B$5,$A61:$A108,0))/L109*L166,0))</f>
        <v>2717783.4189014779</v>
      </c>
      <c r="M172">
        <f>IF('State Calculations'!M$5&lt;&gt;"",L172*(1+'State Calculations'!M$5),IFERROR(INDEX(M61:M108,MATCH($B$5,$A61:$A108,0))/M109*M166,0))</f>
        <v>2753611.3866962655</v>
      </c>
      <c r="N172">
        <f>IF('State Calculations'!N$5&lt;&gt;"",M172*(1+'State Calculations'!N$5),IFERROR(INDEX(N61:N108,MATCH($B$5,$A61:$A108,0))/N109*N166,0))</f>
        <v>2760114.0242281076</v>
      </c>
      <c r="O172">
        <f>IF('State Calculations'!O$5&lt;&gt;"",N172*(1+'State Calculations'!O$5),IFERROR(INDEX(O61:O108,MATCH($B$5,$A61:$A108,0))/O109*O166,0))</f>
        <v>2765929.0567266853</v>
      </c>
      <c r="P172">
        <f>IF('State Calculations'!P$5&lt;&gt;"",O172*(1+'State Calculations'!P$5),IFERROR(INDEX(P61:P108,MATCH($B$5,$A61:$A108,0))/P109*P166,0))</f>
        <v>2771028.6035223478</v>
      </c>
      <c r="Q172">
        <f>IF('State Calculations'!Q$5&lt;&gt;"",P172*(1+'State Calculations'!Q$5),IFERROR(INDEX(Q61:Q108,MATCH($B$5,$A61:$A108,0))/Q109*Q166,0))</f>
        <v>2775384.412696904</v>
      </c>
      <c r="R172">
        <f>IF('State Calculations'!R$5&lt;&gt;"",Q172*(1+'State Calculations'!R$5),IFERROR(INDEX(R61:R108,MATCH($B$5,$A61:$A108,0))/R109*R166,0))</f>
        <v>2778967.9173245854</v>
      </c>
      <c r="S172">
        <f>IF('State Calculations'!S$5&lt;&gt;"",R172*(1+'State Calculations'!S$5),IFERROR(INDEX(S61:S108,MATCH($B$5,$A61:$A108,0))/S109*S166,0))</f>
        <v>2779633.5416659736</v>
      </c>
      <c r="T172">
        <f>IF('State Calculations'!T$5&lt;&gt;"",S172*(1+'State Calculations'!T$5),IFERROR(INDEX(T61:T108,MATCH($B$5,$A61:$A108,0))/T109*T166,0))</f>
        <v>2780245.9106827211</v>
      </c>
      <c r="U172">
        <f>IF('State Calculations'!U$5&lt;&gt;"",T172*(1+'State Calculations'!U$5),IFERROR(INDEX(U61:U108,MATCH($B$5,$A61:$A108,0))/U109*U166,0))</f>
        <v>2780804.5352752432</v>
      </c>
      <c r="V172">
        <f>IF('State Calculations'!V$5&lt;&gt;"",U172*(1+'State Calculations'!V$5),IFERROR(INDEX(V61:V108,MATCH($B$5,$A61:$A108,0))/V109*V166,0))</f>
        <v>2781308.9256650466</v>
      </c>
      <c r="W172">
        <f>IF('State Calculations'!W$5&lt;&gt;"",V172*(1+'State Calculations'!W$5),IFERROR(INDEX(W61:W108,MATCH($B$5,$A61:$A108,0))/W109*W166,0))</f>
        <v>2781758.5914829089</v>
      </c>
      <c r="X172">
        <f>IF('State Calculations'!X$5&lt;&gt;"",W172*(1+'State Calculations'!X$5),IFERROR(INDEX(X61:X108,MATCH($B$5,$A61:$A108,0))/X109*X166,0))</f>
        <v>2781855.0726933978</v>
      </c>
      <c r="Y172">
        <f>IF('State Calculations'!Y$5&lt;&gt;"",X172*(1+'State Calculations'!Y$5),IFERROR(INDEX(Y61:Y108,MATCH($B$5,$A61:$A108,0))/Y109*Y166,0))</f>
        <v>2781948.0484561212</v>
      </c>
      <c r="Z172">
        <f>IF('State Calculations'!Z$5&lt;&gt;"",Y172*(1+'State Calculations'!Z$5),IFERROR(INDEX(Z61:Z108,MATCH($B$5,$A61:$A108,0))/Z109*Z166,0))</f>
        <v>2782037.5109411506</v>
      </c>
      <c r="AA172">
        <f>IF('State Calculations'!AA$5&lt;&gt;"",Z172*(1+'State Calculations'!AA$5),IFERROR(INDEX(AA61:AA108,MATCH($B$5,$A61:$A108,0))/AA109*AA166,0))</f>
        <v>2782123.4523170511</v>
      </c>
      <c r="AB172">
        <f>IF('State Calculations'!AB$5&lt;&gt;"",AA172*(1+'State Calculations'!AB$5),IFERROR(INDEX(AB61:AB108,MATCH($B$5,$A61:$A108,0))/AB109*AB166,0))</f>
        <v>2782205.8647509753</v>
      </c>
    </row>
    <row r="173" spans="1:29" x14ac:dyDescent="0.45">
      <c r="A173" s="1" t="s">
        <v>263</v>
      </c>
      <c r="B173">
        <f>IF('State Calculations'!B$5&lt;&gt;"",A173*(1+'State Calculations'!B$5),IFERROR(INDEX(B113:B160,MATCH($B$5,$A113:$A160,0))/B161*B167,0))</f>
        <v>1115123.4723130313</v>
      </c>
      <c r="C173">
        <f>IF('State Calculations'!C$5&lt;&gt;"",B173*(1+'State Calculations'!C$5),IFERROR(INDEX(C113:C160,MATCH($B$5,$A113:$A160,0))/C161*C167,0))</f>
        <v>1347331.189901755</v>
      </c>
      <c r="D173">
        <f>IF('State Calculations'!D$5&lt;&gt;"",C173*(1+'State Calculations'!D$5),IFERROR(INDEX(D113:D160,MATCH($B$5,$A113:$A160,0))/D161*D167,0))</f>
        <v>1615730.8509243471</v>
      </c>
      <c r="E173">
        <f>IF('State Calculations'!E$5&lt;&gt;"",D173*(1+'State Calculations'!E$5),IFERROR(INDEX(E113:E160,MATCH($B$5,$A113:$A160,0))/E161*E167,0))</f>
        <v>1921127.5137521052</v>
      </c>
      <c r="F173">
        <f>IF('State Calculations'!F$5&lt;&gt;"",E173*(1+'State Calculations'!F$5),IFERROR(INDEX(F113:F160,MATCH($B$5,$A113:$A160,0))/F161*F167,0))</f>
        <v>2261403.2511496861</v>
      </c>
      <c r="G173">
        <f>IF('State Calculations'!G$5&lt;&gt;"",F173*(1+'State Calculations'!G$5),IFERROR(INDEX(G113:G160,MATCH($B$5,$A113:$A160,0))/G161*G167,0))</f>
        <v>2629517.5521229156</v>
      </c>
      <c r="H173">
        <f>IF('State Calculations'!H$5&lt;&gt;"",G173*(1+'State Calculations'!H$5),IFERROR(INDEX(H113:H160,MATCH($B$5,$A113:$A160,0))/H161*H167,0))</f>
        <v>3010680.2125475514</v>
      </c>
      <c r="I173">
        <f>IF('State Calculations'!I$5&lt;&gt;"",H173*(1+'State Calculations'!I$5),IFERROR(INDEX(I113:I160,MATCH($B$5,$A113:$A160,0))/I161*I167,0))</f>
        <v>3102139.2500473442</v>
      </c>
      <c r="J173">
        <f>IF('State Calculations'!J$5&lt;&gt;"",I173*(1+'State Calculations'!J$5),IFERROR(INDEX(J113:J160,MATCH($B$5,$A113:$A160,0))/J161*J167,0))</f>
        <v>3188745.2405974371</v>
      </c>
      <c r="K173">
        <f>IF('State Calculations'!K$5&lt;&gt;"",J173*(1+'State Calculations'!K$5),IFERROR(INDEX(K113:K160,MATCH($B$5,$A113:$A160,0))/K161*K167,0))</f>
        <v>3269027.8614878207</v>
      </c>
      <c r="L173">
        <f>IF('State Calculations'!L$5&lt;&gt;"",K173*(1+'State Calculations'!L$5),IFERROR(INDEX(L113:L160,MATCH($B$5,$A113:$A160,0))/L161*L167,0))</f>
        <v>3341333.2851247499</v>
      </c>
      <c r="M173">
        <f>IF('State Calculations'!M$5&lt;&gt;"",L173*(1+'State Calculations'!M$5),IFERROR(INDEX(M113:M160,MATCH($B$5,$A113:$A160,0))/M161*M167,0))</f>
        <v>3403829.664916513</v>
      </c>
      <c r="N173">
        <f>IF('State Calculations'!N$5&lt;&gt;"",M173*(1+'State Calculations'!N$5),IFERROR(INDEX(N113:N160,MATCH($B$5,$A113:$A160,0))/N161*N167,0))</f>
        <v>3415914.4520088006</v>
      </c>
      <c r="O173">
        <f>IF('State Calculations'!O$5&lt;&gt;"",N173*(1+'State Calculations'!O$5),IFERROR(INDEX(O113:O160,MATCH($B$5,$A113:$A160,0))/O161*O167,0))</f>
        <v>3427022.7585788229</v>
      </c>
      <c r="P173">
        <f>IF('State Calculations'!P$5&lt;&gt;"",O173*(1+'State Calculations'!P$5),IFERROR(INDEX(P113:P160,MATCH($B$5,$A113:$A160,0))/P161*P167,0))</f>
        <v>3437110.1800068868</v>
      </c>
      <c r="Q173">
        <f>IF('State Calculations'!Q$5&lt;&gt;"",P173*(1+'State Calculations'!Q$5),IFERROR(INDEX(Q113:Q160,MATCH($B$5,$A113:$A160,0))/Q161*Q167,0))</f>
        <v>3446131.710802726</v>
      </c>
      <c r="R173">
        <f>IF('State Calculations'!R$5&lt;&gt;"",Q173*(1+'State Calculations'!R$5),IFERROR(INDEX(R113:R160,MATCH($B$5,$A113:$A160,0))/R161*R167,0))</f>
        <v>3454041.8480584258</v>
      </c>
      <c r="S173">
        <f>IF('State Calculations'!S$5&lt;&gt;"",R173*(1+'State Calculations'!S$5),IFERROR(INDEX(S113:S160,MATCH($B$5,$A113:$A160,0))/S161*S167,0))</f>
        <v>3455669.2137766848</v>
      </c>
      <c r="T173">
        <f>IF('State Calculations'!T$5&lt;&gt;"",S173*(1+'State Calculations'!T$5),IFERROR(INDEX(T113:T160,MATCH($B$5,$A113:$A160,0))/T161*T167,0))</f>
        <v>3457218.8243023641</v>
      </c>
      <c r="U173">
        <f>IF('State Calculations'!U$5&lt;&gt;"",T173*(1+'State Calculations'!U$5),IFERROR(INDEX(U113:U160,MATCH($B$5,$A113:$A160,0))/U161*U167,0))</f>
        <v>3458689.8950232212</v>
      </c>
      <c r="V173">
        <f>IF('State Calculations'!V$5&lt;&gt;"",U173*(1+'State Calculations'!V$5),IFERROR(INDEX(V113:V160,MATCH($B$5,$A113:$A160,0))/V161*V167,0))</f>
        <v>3460081.640473505</v>
      </c>
      <c r="W173">
        <f>IF('State Calculations'!W$5&lt;&gt;"",V173*(1+'State Calculations'!W$5),IFERROR(INDEX(W113:W160,MATCH($B$5,$A113:$A160,0))/W161*W167,0))</f>
        <v>3461393.2744998038</v>
      </c>
      <c r="X173">
        <f>IF('State Calculations'!X$5&lt;&gt;"",W173*(1+'State Calculations'!X$5),IFERROR(INDEX(X113:X160,MATCH($B$5,$A113:$A160,0))/X161*X167,0))</f>
        <v>3461696.6497618891</v>
      </c>
      <c r="Y173">
        <f>IF('State Calculations'!Y$5&lt;&gt;"",X173*(1+'State Calculations'!Y$5),IFERROR(INDEX(Y113:Y160,MATCH($B$5,$A113:$A160,0))/Y161*Y167,0))</f>
        <v>3461994.8753958675</v>
      </c>
      <c r="Z173">
        <f>IF('State Calculations'!Z$5&lt;&gt;"",Y173*(1+'State Calculations'!Z$5),IFERROR(INDEX(Z113:Z160,MATCH($B$5,$A113:$A160,0))/Z161*Z167,0))</f>
        <v>3462287.9388306672</v>
      </c>
      <c r="AA173">
        <f>IF('State Calculations'!AA$5&lt;&gt;"",Z173*(1+'State Calculations'!AA$5),IFERROR(INDEX(AA113:AA160,MATCH($B$5,$A113:$A160,0))/AA161*AA167,0))</f>
        <v>3462575.8274941179</v>
      </c>
      <c r="AB173">
        <f>IF('State Calculations'!AB$5&lt;&gt;"",AA173*(1+'State Calculations'!AB$5),IFERROR(INDEX(AB113:AB160,MATCH($B$5,$A113:$A160,0))/AB161*AB167,0))</f>
        <v>3462858.5288131428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1115123.4723130313</v>
      </c>
      <c r="C2">
        <f>Calcs!C171</f>
        <v>1271068.3681923642</v>
      </c>
      <c r="D2">
        <f>Calcs!D171</f>
        <v>1443846.1361284126</v>
      </c>
      <c r="E2">
        <f>Calcs!E171</f>
        <v>1633360.5475469576</v>
      </c>
      <c r="F2">
        <f>Calcs!F171</f>
        <v>1838243.0883552618</v>
      </c>
      <c r="G2">
        <f>Calcs!G171</f>
        <v>2054835.7757088433</v>
      </c>
      <c r="H2">
        <f>Calcs!H171</f>
        <v>2275409.8945603105</v>
      </c>
      <c r="I2">
        <f>Calcs!I171</f>
        <v>2328389.7823724574</v>
      </c>
      <c r="J2">
        <f>Calcs!J171</f>
        <v>2379022.7923369855</v>
      </c>
      <c r="K2">
        <f>Calcs!K171</f>
        <v>2426500.526287145</v>
      </c>
      <c r="L2">
        <f>Calcs!L171</f>
        <v>2469860.1356334104</v>
      </c>
      <c r="M2">
        <f>Calcs!M171</f>
        <v>2507967.1662823032</v>
      </c>
      <c r="N2">
        <f>Calcs!N171</f>
        <v>2515839.5889767967</v>
      </c>
      <c r="O2">
        <f>Calcs!O171</f>
        <v>2523188.9080999345</v>
      </c>
      <c r="P2">
        <f>Calcs!P171</f>
        <v>2529985.1972178305</v>
      </c>
      <c r="Q2">
        <f>Calcs!Q171</f>
        <v>2536197.5021485616</v>
      </c>
      <c r="R2">
        <f>Calcs!R171</f>
        <v>2541793.863374697</v>
      </c>
      <c r="S2">
        <f>Calcs!S171</f>
        <v>2543026.2969714943</v>
      </c>
      <c r="T2">
        <f>Calcs!T171</f>
        <v>2544215.5448147249</v>
      </c>
      <c r="U2">
        <f>Calcs!U171</f>
        <v>2545361.0409614388</v>
      </c>
      <c r="V2">
        <f>Calcs!V171</f>
        <v>2546462.2155529987</v>
      </c>
      <c r="W2">
        <f>Calcs!W171</f>
        <v>2547518.4948746888</v>
      </c>
      <c r="X2">
        <f>Calcs!X171</f>
        <v>2547770.8313560891</v>
      </c>
      <c r="Y2">
        <f>Calcs!Y171</f>
        <v>2548020.2801836957</v>
      </c>
      <c r="Z2">
        <f>Calcs!Z171</f>
        <v>2548266.8321172562</v>
      </c>
      <c r="AA2">
        <f>Calcs!AA171</f>
        <v>2548510.4779017274</v>
      </c>
      <c r="AB2">
        <f>Calcs!AB171</f>
        <v>2548751.2082673484</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1115123.4723130313</v>
      </c>
      <c r="C2">
        <f>Calcs!C172</f>
        <v>1303736.0962482558</v>
      </c>
      <c r="D2">
        <f>Calcs!D172</f>
        <v>1514515.9304948815</v>
      </c>
      <c r="E2">
        <f>Calcs!E172</f>
        <v>1746274.7588985707</v>
      </c>
      <c r="F2">
        <f>Calcs!F172</f>
        <v>1995476.6908024102</v>
      </c>
      <c r="G2">
        <f>Calcs!G172</f>
        <v>2254906.851873796</v>
      </c>
      <c r="H2">
        <f>Calcs!H172</f>
        <v>2511855.9551007203</v>
      </c>
      <c r="I2">
        <f>Calcs!I172</f>
        <v>2570556.4697237066</v>
      </c>
      <c r="J2">
        <f>Calcs!J172</f>
        <v>2625114.3563580709</v>
      </c>
      <c r="K2">
        <f>Calcs!K172</f>
        <v>2674552.6590571506</v>
      </c>
      <c r="L2">
        <f>Calcs!L172</f>
        <v>2717783.4189014779</v>
      </c>
      <c r="M2">
        <f>Calcs!M172</f>
        <v>2753611.3866962655</v>
      </c>
      <c r="N2">
        <f>Calcs!N172</f>
        <v>2760114.0242281076</v>
      </c>
      <c r="O2">
        <f>Calcs!O172</f>
        <v>2765929.0567266853</v>
      </c>
      <c r="P2">
        <f>Calcs!P172</f>
        <v>2771028.6035223478</v>
      </c>
      <c r="Q2">
        <f>Calcs!Q172</f>
        <v>2775384.412696904</v>
      </c>
      <c r="R2">
        <f>Calcs!R172</f>
        <v>2778967.9173245854</v>
      </c>
      <c r="S2">
        <f>Calcs!S172</f>
        <v>2779633.5416659736</v>
      </c>
      <c r="T2">
        <f>Calcs!T172</f>
        <v>2780245.9106827211</v>
      </c>
      <c r="U2">
        <f>Calcs!U172</f>
        <v>2780804.5352752432</v>
      </c>
      <c r="V2">
        <f>Calcs!V172</f>
        <v>2781308.9256650466</v>
      </c>
      <c r="W2">
        <f>Calcs!W172</f>
        <v>2781758.5914829089</v>
      </c>
      <c r="X2">
        <f>Calcs!X172</f>
        <v>2781855.0726933978</v>
      </c>
      <c r="Y2">
        <f>Calcs!Y172</f>
        <v>2781948.0484561212</v>
      </c>
      <c r="Z2">
        <f>Calcs!Z172</f>
        <v>2782037.5109411506</v>
      </c>
      <c r="AA2">
        <f>Calcs!AA172</f>
        <v>2782123.4523170511</v>
      </c>
      <c r="AB2">
        <f>Calcs!AB172</f>
        <v>2782205.8647509753</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1115123.4723130313</v>
      </c>
      <c r="C2">
        <f>Calcs!C173</f>
        <v>1347331.189901755</v>
      </c>
      <c r="D2">
        <f>Calcs!D173</f>
        <v>1615730.8509243471</v>
      </c>
      <c r="E2">
        <f>Calcs!E173</f>
        <v>1921127.5137521052</v>
      </c>
      <c r="F2">
        <f>Calcs!F173</f>
        <v>2261403.2511496861</v>
      </c>
      <c r="G2">
        <f>Calcs!G173</f>
        <v>2629517.5521229156</v>
      </c>
      <c r="H2">
        <f>Calcs!H173</f>
        <v>3010680.2125475514</v>
      </c>
      <c r="I2">
        <f>Calcs!I173</f>
        <v>3102139.2500473442</v>
      </c>
      <c r="J2">
        <f>Calcs!J173</f>
        <v>3188745.2405974371</v>
      </c>
      <c r="K2">
        <f>Calcs!K173</f>
        <v>3269027.8614878207</v>
      </c>
      <c r="L2">
        <f>Calcs!L173</f>
        <v>3341333.2851247499</v>
      </c>
      <c r="M2">
        <f>Calcs!M173</f>
        <v>3403829.664916513</v>
      </c>
      <c r="N2">
        <f>Calcs!N173</f>
        <v>3415914.4520088006</v>
      </c>
      <c r="O2">
        <f>Calcs!O173</f>
        <v>3427022.7585788229</v>
      </c>
      <c r="P2">
        <f>Calcs!P173</f>
        <v>3437110.1800068868</v>
      </c>
      <c r="Q2">
        <f>Calcs!Q173</f>
        <v>3446131.710802726</v>
      </c>
      <c r="R2">
        <f>Calcs!R173</f>
        <v>3454041.8480584258</v>
      </c>
      <c r="S2">
        <f>Calcs!S173</f>
        <v>3455669.2137766848</v>
      </c>
      <c r="T2">
        <f>Calcs!T173</f>
        <v>3457218.8243023641</v>
      </c>
      <c r="U2">
        <f>Calcs!U173</f>
        <v>3458689.8950232212</v>
      </c>
      <c r="V2">
        <f>Calcs!V173</f>
        <v>3460081.640473505</v>
      </c>
      <c r="W2">
        <f>Calcs!W173</f>
        <v>3461393.2744998038</v>
      </c>
      <c r="X2">
        <f>Calcs!X173</f>
        <v>3461696.6497618891</v>
      </c>
      <c r="Y2">
        <f>Calcs!Y173</f>
        <v>3461994.8753958675</v>
      </c>
      <c r="Z2">
        <f>Calcs!Z173</f>
        <v>3462287.9388306672</v>
      </c>
      <c r="AA2">
        <f>Calcs!AA173</f>
        <v>3462575.8274941179</v>
      </c>
      <c r="AB2">
        <f>Calcs!AB173</f>
        <v>3462858.5288131428</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2026-09-01T22:21:32Z</dcterms:modified>
</cp:coreProperties>
</file>