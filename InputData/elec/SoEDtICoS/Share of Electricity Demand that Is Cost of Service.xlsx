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CO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3989</v>
      </c>
      <c r="C4" t="inlineStr">
        <is>
          <t>City of Colorado Springs - (CO)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CO</t>
        </is>
      </c>
      <c r="H4" t="inlineStr">
        <is>
          <t>Municipal</t>
        </is>
      </c>
      <c r="I4" t="inlineStr">
        <is>
          <t>WACM</t>
        </is>
      </c>
      <c r="J4" t="n">
        <v>232830</v>
      </c>
      <c r="K4" t="n">
        <v>1611075</v>
      </c>
      <c r="L4" t="n">
        <v>216771</v>
      </c>
      <c r="M4" t="n">
        <v>117136</v>
      </c>
      <c r="N4" t="n">
        <v>1224952</v>
      </c>
      <c r="O4" t="n">
        <v>42408</v>
      </c>
      <c r="P4" t="n">
        <v>165911</v>
      </c>
      <c r="Q4" t="n">
        <v>1811428</v>
      </c>
      <c r="R4" t="n">
        <v>1503</v>
      </c>
      <c r="S4" t="n">
        <v>0</v>
      </c>
      <c r="T4" t="n">
        <v>0</v>
      </c>
      <c r="U4" t="n">
        <v>0</v>
      </c>
      <c r="V4" t="n">
        <v>515877</v>
      </c>
      <c r="W4" t="n">
        <v>4647455</v>
      </c>
      <c r="X4" t="n">
        <v>260682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5086</v>
      </c>
      <c r="C5" t="inlineStr">
        <is>
          <t>Delta Montrose Electric Assn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CO</t>
        </is>
      </c>
      <c r="H5" t="inlineStr">
        <is>
          <t>Cooperative</t>
        </is>
      </c>
      <c r="I5" t="inlineStr">
        <is>
          <t>WACM</t>
        </is>
      </c>
      <c r="J5" t="n">
        <v>41927.5</v>
      </c>
      <c r="K5" t="n">
        <v>280040</v>
      </c>
      <c r="L5" t="n">
        <v>32575</v>
      </c>
      <c r="M5" t="n">
        <v>16678.8</v>
      </c>
      <c r="N5" t="n">
        <v>143282</v>
      </c>
      <c r="O5" t="n">
        <v>4053</v>
      </c>
      <c r="P5" t="n">
        <v>10860.9</v>
      </c>
      <c r="Q5" t="n">
        <v>118410</v>
      </c>
      <c r="R5" t="n">
        <v>265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69467.2</v>
      </c>
      <c r="W5" t="n">
        <v>541732</v>
      </c>
      <c r="X5" t="n">
        <v>36893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5862</v>
      </c>
      <c r="C6" t="inlineStr">
        <is>
          <t>Empire Electric Assn,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CO</t>
        </is>
      </c>
      <c r="H6" t="inlineStr">
        <is>
          <t>Cooperative</t>
        </is>
      </c>
      <c r="I6" t="inlineStr">
        <is>
          <t>WACM</t>
        </is>
      </c>
      <c r="J6" t="n">
        <v>16733.5</v>
      </c>
      <c r="K6" t="n">
        <v>109300</v>
      </c>
      <c r="L6" t="n">
        <v>12899</v>
      </c>
      <c r="M6" t="n">
        <v>15833</v>
      </c>
      <c r="N6" t="n">
        <v>146168</v>
      </c>
      <c r="O6" t="n">
        <v>2824</v>
      </c>
      <c r="P6" t="n">
        <v>22918.7</v>
      </c>
      <c r="Q6" t="n">
        <v>320361</v>
      </c>
      <c r="R6" t="n">
        <v>138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55485.2</v>
      </c>
      <c r="W6" t="n">
        <v>575829</v>
      </c>
      <c r="X6" t="n">
        <v>15861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6604</v>
      </c>
      <c r="C7" t="inlineStr">
        <is>
          <t>City of Fort Collins - (CO)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CO</t>
        </is>
      </c>
      <c r="H7" t="inlineStr">
        <is>
          <t>Municipal</t>
        </is>
      </c>
      <c r="I7" t="inlineStr">
        <is>
          <t>PSCO</t>
        </is>
      </c>
      <c r="J7" t="n">
        <v>69729.7</v>
      </c>
      <c r="K7" t="n">
        <v>527984</v>
      </c>
      <c r="L7" t="n">
        <v>70803</v>
      </c>
      <c r="M7" t="n">
        <v>55003</v>
      </c>
      <c r="N7" t="n">
        <v>478265</v>
      </c>
      <c r="O7" t="n">
        <v>9174</v>
      </c>
      <c r="P7" t="n">
        <v>38469.9</v>
      </c>
      <c r="Q7" t="n">
        <v>453613</v>
      </c>
      <c r="R7" t="n">
        <v>13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163202.6</v>
      </c>
      <c r="W7" t="n">
        <v>1459862</v>
      </c>
      <c r="X7" t="n">
        <v>79990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6610</v>
      </c>
      <c r="C8" t="inlineStr">
        <is>
          <t>City of Fort Morgan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CO</t>
        </is>
      </c>
      <c r="H8" t="inlineStr">
        <is>
          <t>Municipal</t>
        </is>
      </c>
      <c r="I8" t="inlineStr">
        <is>
          <t>PSCO</t>
        </is>
      </c>
      <c r="J8" t="n">
        <v>4713.2</v>
      </c>
      <c r="K8" t="n">
        <v>67589</v>
      </c>
      <c r="L8" t="n">
        <v>5999</v>
      </c>
      <c r="M8" t="n">
        <v>12182.3</v>
      </c>
      <c r="N8" t="n">
        <v>127267</v>
      </c>
      <c r="O8" t="n">
        <v>1134</v>
      </c>
      <c r="P8" t="n">
        <v>6501.2</v>
      </c>
      <c r="Q8" t="n">
        <v>74720</v>
      </c>
      <c r="R8" t="n">
        <v>1</v>
      </c>
      <c r="S8" t="n">
        <v>0</v>
      </c>
      <c r="T8" t="n">
        <v>0</v>
      </c>
      <c r="U8" t="n">
        <v>0</v>
      </c>
      <c r="V8" t="n">
        <v>23396.7</v>
      </c>
      <c r="W8" t="n">
        <v>269576</v>
      </c>
      <c r="X8" t="n">
        <v>7134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6638</v>
      </c>
      <c r="C9" t="inlineStr">
        <is>
          <t>City of Fountain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CO</t>
        </is>
      </c>
      <c r="H9" t="inlineStr">
        <is>
          <t>Municipal</t>
        </is>
      </c>
      <c r="I9" t="inlineStr">
        <is>
          <t>PSCO</t>
        </is>
      </c>
      <c r="J9" t="n">
        <v>20575</v>
      </c>
      <c r="K9" t="n">
        <v>149763</v>
      </c>
      <c r="L9" t="n">
        <v>17242</v>
      </c>
      <c r="M9" t="n">
        <v>9803</v>
      </c>
      <c r="N9" t="n">
        <v>83657</v>
      </c>
      <c r="O9" t="n">
        <v>1048</v>
      </c>
      <c r="P9" t="inlineStr">
        <is>
          <t>.</t>
        </is>
      </c>
      <c r="Q9" t="inlineStr">
        <is>
          <t>.</t>
        </is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30378</v>
      </c>
      <c r="W9" t="n">
        <v>233420</v>
      </c>
      <c r="X9" t="n">
        <v>18290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7563</v>
      </c>
      <c r="C10" t="inlineStr">
        <is>
          <t>Grand Valley Power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CO</t>
        </is>
      </c>
      <c r="H10" t="inlineStr">
        <is>
          <t>Cooperative</t>
        </is>
      </c>
      <c r="I10" t="inlineStr">
        <is>
          <t>PSCO</t>
        </is>
      </c>
      <c r="J10" t="n">
        <v>26160</v>
      </c>
      <c r="K10" t="n">
        <v>164101</v>
      </c>
      <c r="L10" t="n">
        <v>17268</v>
      </c>
      <c r="M10" t="n">
        <v>10141</v>
      </c>
      <c r="N10" t="n">
        <v>73225</v>
      </c>
      <c r="O10" t="n">
        <v>2230</v>
      </c>
      <c r="P10" t="n">
        <v>1399</v>
      </c>
      <c r="Q10" t="n">
        <v>11598</v>
      </c>
      <c r="R10" t="n">
        <v>191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37700</v>
      </c>
      <c r="W10" t="n">
        <v>248924</v>
      </c>
      <c r="X10" t="n">
        <v>19689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8570</v>
      </c>
      <c r="C11" t="inlineStr">
        <is>
          <t>Highline Electric Assn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CO</t>
        </is>
      </c>
      <c r="H11" t="inlineStr">
        <is>
          <t>Cooperative</t>
        </is>
      </c>
      <c r="I11" t="inlineStr">
        <is>
          <t>WACM</t>
        </is>
      </c>
      <c r="J11" t="n">
        <v>7662.4</v>
      </c>
      <c r="K11" t="n">
        <v>54263</v>
      </c>
      <c r="L11" t="n">
        <v>5047</v>
      </c>
      <c r="M11" t="n">
        <v>7561</v>
      </c>
      <c r="N11" t="n">
        <v>56626</v>
      </c>
      <c r="O11" t="n">
        <v>1398</v>
      </c>
      <c r="P11" t="n">
        <v>30921.1</v>
      </c>
      <c r="Q11" t="n">
        <v>293349</v>
      </c>
      <c r="R11" t="n">
        <v>2098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46144.5</v>
      </c>
      <c r="W11" t="n">
        <v>404238</v>
      </c>
      <c r="X11" t="n">
        <v>8543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8773</v>
      </c>
      <c r="C12" t="inlineStr">
        <is>
          <t>Holy Cross Electric Assn,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CO</t>
        </is>
      </c>
      <c r="H12" t="inlineStr">
        <is>
          <t>Cooperative</t>
        </is>
      </c>
      <c r="I12" t="inlineStr">
        <is>
          <t>PSCO</t>
        </is>
      </c>
      <c r="J12" t="n">
        <v>83039</v>
      </c>
      <c r="K12" t="n">
        <v>689825</v>
      </c>
      <c r="L12" t="n">
        <v>49982</v>
      </c>
      <c r="M12" t="n">
        <v>52321</v>
      </c>
      <c r="N12" t="n">
        <v>521102</v>
      </c>
      <c r="O12" t="n">
        <v>11196</v>
      </c>
      <c r="P12" t="n">
        <v>6631</v>
      </c>
      <c r="Q12" t="n">
        <v>66272</v>
      </c>
      <c r="R12" t="n">
        <v>19</v>
      </c>
      <c r="S12" t="n">
        <v>0</v>
      </c>
      <c r="T12" t="n">
        <v>0</v>
      </c>
      <c r="U12" t="n">
        <v>0</v>
      </c>
      <c r="V12" t="n">
        <v>141991</v>
      </c>
      <c r="W12" t="n">
        <v>1277199</v>
      </c>
      <c r="X12" t="n">
        <v>61197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9336</v>
      </c>
      <c r="C13" t="inlineStr">
        <is>
          <t>CORE Electric Cooperative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CO</t>
        </is>
      </c>
      <c r="H13" t="inlineStr">
        <is>
          <t>Cooperative</t>
        </is>
      </c>
      <c r="I13" t="inlineStr">
        <is>
          <t>PSCO</t>
        </is>
      </c>
      <c r="J13" t="n">
        <v>257358</v>
      </c>
      <c r="K13" t="n">
        <v>1710656</v>
      </c>
      <c r="L13" t="n">
        <v>165067</v>
      </c>
      <c r="M13" t="n">
        <v>105069.1</v>
      </c>
      <c r="N13" t="n">
        <v>856370</v>
      </c>
      <c r="O13" t="n">
        <v>15744</v>
      </c>
      <c r="P13" t="n">
        <v>6057</v>
      </c>
      <c r="Q13" t="n">
        <v>64652</v>
      </c>
      <c r="R13" t="n">
        <v>12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368484.1</v>
      </c>
      <c r="W13" t="n">
        <v>2631678</v>
      </c>
      <c r="X13" t="n">
        <v>180823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10066</v>
      </c>
      <c r="C14" t="inlineStr">
        <is>
          <t>K C Electric Association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CO</t>
        </is>
      </c>
      <c r="H14" t="inlineStr">
        <is>
          <t>Cooperative</t>
        </is>
      </c>
      <c r="I14" t="inlineStr">
        <is>
          <t>WACM</t>
        </is>
      </c>
      <c r="J14" t="n">
        <v>5361.1</v>
      </c>
      <c r="K14" t="n">
        <v>40943</v>
      </c>
      <c r="L14" t="n">
        <v>3404</v>
      </c>
      <c r="M14" t="n">
        <v>15200.8</v>
      </c>
      <c r="N14" t="n">
        <v>121498</v>
      </c>
      <c r="O14" t="n">
        <v>2560</v>
      </c>
      <c r="P14" t="n">
        <v>8561.299999999999</v>
      </c>
      <c r="Q14" t="n">
        <v>77042</v>
      </c>
      <c r="R14" t="n">
        <v>661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29123.2</v>
      </c>
      <c r="W14" t="n">
        <v>239483</v>
      </c>
      <c r="X14" t="n">
        <v>6625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10539</v>
      </c>
      <c r="C15" t="inlineStr">
        <is>
          <t>La Plata Electric Assn,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CO</t>
        </is>
      </c>
      <c r="H15" t="inlineStr">
        <is>
          <t>Cooperative</t>
        </is>
      </c>
      <c r="I15" t="inlineStr">
        <is>
          <t>WACM</t>
        </is>
      </c>
      <c r="J15" t="n">
        <v>52878</v>
      </c>
      <c r="K15" t="n">
        <v>316525</v>
      </c>
      <c r="L15" t="n">
        <v>39931</v>
      </c>
      <c r="M15" t="n">
        <v>32002</v>
      </c>
      <c r="N15" t="n">
        <v>252265</v>
      </c>
      <c r="O15" t="n">
        <v>6839</v>
      </c>
      <c r="P15" t="n">
        <v>24757</v>
      </c>
      <c r="Q15" t="n">
        <v>309449</v>
      </c>
      <c r="R15" t="n">
        <v>232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109637</v>
      </c>
      <c r="W15" t="n">
        <v>878239</v>
      </c>
      <c r="X15" t="n">
        <v>47002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11187</v>
      </c>
      <c r="C16" t="inlineStr">
        <is>
          <t>City of Longmont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CO</t>
        </is>
      </c>
      <c r="H16" t="inlineStr">
        <is>
          <t>Municipal</t>
        </is>
      </c>
      <c r="I16" t="inlineStr">
        <is>
          <t>PSCO</t>
        </is>
      </c>
      <c r="J16" t="n">
        <v>41698.5</v>
      </c>
      <c r="K16" t="n">
        <v>338976</v>
      </c>
      <c r="L16" t="n">
        <v>40855</v>
      </c>
      <c r="M16" t="n">
        <v>37722</v>
      </c>
      <c r="N16" t="n">
        <v>341771</v>
      </c>
      <c r="O16" t="n">
        <v>2873</v>
      </c>
      <c r="P16" t="n">
        <v>12141.8</v>
      </c>
      <c r="Q16" t="n">
        <v>136584</v>
      </c>
      <c r="R16" t="n">
        <v>13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91562.3</v>
      </c>
      <c r="W16" t="n">
        <v>817331</v>
      </c>
      <c r="X16" t="n">
        <v>43741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11256</v>
      </c>
      <c r="C17" t="inlineStr">
        <is>
          <t>City of Loveland - (CO)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CO</t>
        </is>
      </c>
      <c r="H17" t="inlineStr">
        <is>
          <t>Municipal</t>
        </is>
      </c>
      <c r="I17" t="inlineStr">
        <is>
          <t>PSCO</t>
        </is>
      </c>
      <c r="J17" t="n">
        <v>39771.3</v>
      </c>
      <c r="K17" t="n">
        <v>276130</v>
      </c>
      <c r="L17" t="n">
        <v>37007</v>
      </c>
      <c r="M17" t="n">
        <v>14706.9</v>
      </c>
      <c r="N17" t="n">
        <v>103458</v>
      </c>
      <c r="O17" t="n">
        <v>4992</v>
      </c>
      <c r="P17" t="n">
        <v>32394.8</v>
      </c>
      <c r="Q17" t="n">
        <v>328791</v>
      </c>
      <c r="R17" t="n">
        <v>376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86873</v>
      </c>
      <c r="W17" t="n">
        <v>708379</v>
      </c>
      <c r="X17" t="n">
        <v>42375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12860</v>
      </c>
      <c r="C18" t="inlineStr">
        <is>
          <t>Morgan County Rural Elec Assn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CO</t>
        </is>
      </c>
      <c r="H18" t="inlineStr">
        <is>
          <t>Cooperative</t>
        </is>
      </c>
      <c r="I18" t="inlineStr">
        <is>
          <t>WACM</t>
        </is>
      </c>
      <c r="J18" t="n">
        <v>10218.9</v>
      </c>
      <c r="K18" t="n">
        <v>71098</v>
      </c>
      <c r="L18" t="n">
        <v>5825</v>
      </c>
      <c r="M18" t="n">
        <v>25230.7</v>
      </c>
      <c r="N18" t="n">
        <v>255922</v>
      </c>
      <c r="O18" t="n">
        <v>2122</v>
      </c>
      <c r="P18" t="n">
        <v>18153.4</v>
      </c>
      <c r="Q18" t="n">
        <v>146336</v>
      </c>
      <c r="R18" t="n">
        <v>1617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53603</v>
      </c>
      <c r="W18" t="n">
        <v>473356</v>
      </c>
      <c r="X18" t="n">
        <v>9564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12866</v>
      </c>
      <c r="C19" t="inlineStr">
        <is>
          <t>Moon Lake Electric Assn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CO</t>
        </is>
      </c>
      <c r="H19" t="inlineStr">
        <is>
          <t>Cooperative</t>
        </is>
      </c>
      <c r="I19" t="inlineStr">
        <is>
          <t>WACM</t>
        </is>
      </c>
      <c r="J19" t="n">
        <v>1452.6</v>
      </c>
      <c r="K19" t="n">
        <v>15530</v>
      </c>
      <c r="L19" t="n">
        <v>1526</v>
      </c>
      <c r="M19" t="n">
        <v>1776.2</v>
      </c>
      <c r="N19" t="n">
        <v>19812</v>
      </c>
      <c r="O19" t="n">
        <v>560</v>
      </c>
      <c r="P19" t="n">
        <v>34711.1</v>
      </c>
      <c r="Q19" t="n">
        <v>449468</v>
      </c>
      <c r="R19" t="n">
        <v>141</v>
      </c>
      <c r="S19" t="n">
        <v>0</v>
      </c>
      <c r="T19" t="n">
        <v>0</v>
      </c>
      <c r="U19" t="n">
        <v>0</v>
      </c>
      <c r="V19" t="n">
        <v>37939.9</v>
      </c>
      <c r="W19" t="n">
        <v>484810</v>
      </c>
      <c r="X19" t="n">
        <v>2227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13050</v>
      </c>
      <c r="C20" t="inlineStr">
        <is>
          <t>Mountain Parks Electric, Inc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CO</t>
        </is>
      </c>
      <c r="H20" t="inlineStr">
        <is>
          <t>Cooperative</t>
        </is>
      </c>
      <c r="I20" t="inlineStr">
        <is>
          <t>WACM</t>
        </is>
      </c>
      <c r="J20" t="n">
        <v>27476</v>
      </c>
      <c r="K20" t="n">
        <v>171905</v>
      </c>
      <c r="L20" t="n">
        <v>19183</v>
      </c>
      <c r="M20" t="n">
        <v>16077</v>
      </c>
      <c r="N20" t="n">
        <v>130744</v>
      </c>
      <c r="O20" t="n">
        <v>3568</v>
      </c>
      <c r="P20" t="n">
        <v>3532</v>
      </c>
      <c r="Q20" t="n">
        <v>41723</v>
      </c>
      <c r="R20" t="n">
        <v>28</v>
      </c>
      <c r="S20" t="n">
        <v>0</v>
      </c>
      <c r="T20" t="n">
        <v>0</v>
      </c>
      <c r="U20" t="n">
        <v>0</v>
      </c>
      <c r="V20" t="n">
        <v>47085</v>
      </c>
      <c r="W20" t="n">
        <v>344372</v>
      </c>
      <c r="X20" t="n">
        <v>22779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13058</v>
      </c>
      <c r="C21" t="inlineStr">
        <is>
          <t>Mountain View Elec Assn, Inc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CO</t>
        </is>
      </c>
      <c r="H21" t="inlineStr">
        <is>
          <t>Cooperative</t>
        </is>
      </c>
      <c r="I21" t="inlineStr">
        <is>
          <t>WACM</t>
        </is>
      </c>
      <c r="J21" t="n">
        <v>99901.3</v>
      </c>
      <c r="K21" t="n">
        <v>643841</v>
      </c>
      <c r="L21" t="n">
        <v>59789</v>
      </c>
      <c r="M21" t="n">
        <v>26288.5</v>
      </c>
      <c r="N21" t="n">
        <v>200506</v>
      </c>
      <c r="O21" t="n">
        <v>4445</v>
      </c>
      <c r="P21" t="n">
        <v>11898.4</v>
      </c>
      <c r="Q21" t="n">
        <v>138797</v>
      </c>
      <c r="R21" t="n">
        <v>41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138088.2</v>
      </c>
      <c r="W21" t="n">
        <v>983144</v>
      </c>
      <c r="X21" t="n">
        <v>64275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15257</v>
      </c>
      <c r="C22" t="inlineStr">
        <is>
          <t>Poudre Valley REA, Inc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CO</t>
        </is>
      </c>
      <c r="H22" t="inlineStr">
        <is>
          <t>Cooperative</t>
        </is>
      </c>
      <c r="I22" t="inlineStr">
        <is>
          <t>WACM</t>
        </is>
      </c>
      <c r="J22" t="n">
        <v>64284.2</v>
      </c>
      <c r="K22" t="n">
        <v>526321</v>
      </c>
      <c r="L22" t="n">
        <v>49587</v>
      </c>
      <c r="M22" t="n">
        <v>47535.9</v>
      </c>
      <c r="N22" t="n">
        <v>426421</v>
      </c>
      <c r="O22" t="n">
        <v>5014</v>
      </c>
      <c r="P22" t="n">
        <v>43397.9</v>
      </c>
      <c r="Q22" t="n">
        <v>593532</v>
      </c>
      <c r="R22" t="n">
        <v>743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155218</v>
      </c>
      <c r="W22" t="n">
        <v>1546274</v>
      </c>
      <c r="X22" t="n">
        <v>55344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15466</v>
      </c>
      <c r="C23" t="inlineStr">
        <is>
          <t>Public Service Co of Colorado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CO</t>
        </is>
      </c>
      <c r="H23" t="inlineStr">
        <is>
          <t>Investor Owned</t>
        </is>
      </c>
      <c r="I23" t="inlineStr">
        <is>
          <t>PSCO</t>
        </is>
      </c>
      <c r="J23" t="n">
        <v>1478540.7</v>
      </c>
      <c r="K23" t="n">
        <v>9826647</v>
      </c>
      <c r="L23" t="n">
        <v>1365053</v>
      </c>
      <c r="M23" t="n">
        <v>1498938.1</v>
      </c>
      <c r="N23" t="n">
        <v>12655120</v>
      </c>
      <c r="O23" t="n">
        <v>224348</v>
      </c>
      <c r="P23" t="n">
        <v>451516.2</v>
      </c>
      <c r="Q23" t="n">
        <v>5839189</v>
      </c>
      <c r="R23" t="n">
        <v>308</v>
      </c>
      <c r="S23" t="n">
        <v>8279.6</v>
      </c>
      <c r="T23" t="n">
        <v>85688</v>
      </c>
      <c r="U23" t="n">
        <v>1</v>
      </c>
      <c r="V23" t="n">
        <v>3437274.6</v>
      </c>
      <c r="W23" t="n">
        <v>28406644</v>
      </c>
      <c r="X23" t="n">
        <v>1589710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16603</v>
      </c>
      <c r="C24" t="inlineStr">
        <is>
          <t>San Luis Valley R E C, Inc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CO</t>
        </is>
      </c>
      <c r="H24" t="inlineStr">
        <is>
          <t>Cooperative</t>
        </is>
      </c>
      <c r="I24" t="inlineStr">
        <is>
          <t>WACM</t>
        </is>
      </c>
      <c r="J24" t="n">
        <v>12986</v>
      </c>
      <c r="K24" t="n">
        <v>70637</v>
      </c>
      <c r="L24" t="n">
        <v>9115</v>
      </c>
      <c r="M24" t="n">
        <v>7130</v>
      </c>
      <c r="N24" t="n">
        <v>52066</v>
      </c>
      <c r="O24" t="n">
        <v>1586</v>
      </c>
      <c r="P24" t="n">
        <v>15813</v>
      </c>
      <c r="Q24" t="n">
        <v>80709</v>
      </c>
      <c r="R24" t="n">
        <v>2584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35929</v>
      </c>
      <c r="W24" t="n">
        <v>203412</v>
      </c>
      <c r="X24" t="n">
        <v>13285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16616</v>
      </c>
      <c r="C25" t="inlineStr">
        <is>
          <t>San Isabel Electric Assn, Inc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CO</t>
        </is>
      </c>
      <c r="H25" t="inlineStr">
        <is>
          <t>Cooperative</t>
        </is>
      </c>
      <c r="I25" t="inlineStr">
        <is>
          <t>WACM</t>
        </is>
      </c>
      <c r="J25" t="n">
        <v>32484.1</v>
      </c>
      <c r="K25" t="n">
        <v>182662</v>
      </c>
      <c r="L25" t="n">
        <v>23289</v>
      </c>
      <c r="M25" t="n">
        <v>13809</v>
      </c>
      <c r="N25" t="n">
        <v>85835</v>
      </c>
      <c r="O25" t="n">
        <v>2745</v>
      </c>
      <c r="P25" t="n">
        <v>10293</v>
      </c>
      <c r="Q25" t="n">
        <v>142193</v>
      </c>
      <c r="R25" t="n">
        <v>12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56586.1</v>
      </c>
      <c r="W25" t="n">
        <v>410690</v>
      </c>
      <c r="X25" t="n">
        <v>26046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16622</v>
      </c>
      <c r="C26" t="inlineStr">
        <is>
          <t>San Miguel Power Assn,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CO</t>
        </is>
      </c>
      <c r="H26" t="inlineStr">
        <is>
          <t>Cooperative</t>
        </is>
      </c>
      <c r="I26" t="inlineStr">
        <is>
          <t>WACM</t>
        </is>
      </c>
      <c r="J26" t="n">
        <v>19263.8</v>
      </c>
      <c r="K26" t="n">
        <v>118032</v>
      </c>
      <c r="L26" t="n">
        <v>12154</v>
      </c>
      <c r="M26" t="n">
        <v>12957</v>
      </c>
      <c r="N26" t="n">
        <v>96510</v>
      </c>
      <c r="O26" t="n">
        <v>2616</v>
      </c>
      <c r="P26" t="n">
        <v>213</v>
      </c>
      <c r="Q26" t="n">
        <v>1297</v>
      </c>
      <c r="R26" t="n">
        <v>81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32433.8</v>
      </c>
      <c r="W26" t="n">
        <v>215839</v>
      </c>
      <c r="X26" t="n">
        <v>14851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17592</v>
      </c>
      <c r="C27" t="inlineStr">
        <is>
          <t>Southeast Colorado Power Assn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CO</t>
        </is>
      </c>
      <c r="H27" t="inlineStr">
        <is>
          <t>Cooperative</t>
        </is>
      </c>
      <c r="I27" t="inlineStr">
        <is>
          <t>WACM</t>
        </is>
      </c>
      <c r="J27" t="n">
        <v>12390</v>
      </c>
      <c r="K27" t="n">
        <v>71970</v>
      </c>
      <c r="L27" t="n">
        <v>8148</v>
      </c>
      <c r="M27" t="n">
        <v>17652</v>
      </c>
      <c r="N27" t="n">
        <v>136010</v>
      </c>
      <c r="O27" t="n">
        <v>2766</v>
      </c>
      <c r="P27" t="n">
        <v>5467</v>
      </c>
      <c r="Q27" t="n">
        <v>40269</v>
      </c>
      <c r="R27" t="n">
        <v>11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35509</v>
      </c>
      <c r="W27" t="n">
        <v>248249</v>
      </c>
      <c r="X27" t="n">
        <v>10925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17715</v>
      </c>
      <c r="C28" t="inlineStr">
        <is>
          <t>Southwestern Electric Coop Inc - (NM)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CO</t>
        </is>
      </c>
      <c r="H28" t="inlineStr">
        <is>
          <t>Cooperative</t>
        </is>
      </c>
      <c r="I28" t="inlineStr">
        <is>
          <t>PNM</t>
        </is>
      </c>
      <c r="J28" t="n">
        <v>20.1</v>
      </c>
      <c r="K28" t="n">
        <v>101</v>
      </c>
      <c r="L28" t="n">
        <v>5</v>
      </c>
      <c r="M28" t="n">
        <v>5.1</v>
      </c>
      <c r="N28" t="n">
        <v>27</v>
      </c>
      <c r="O28" t="n">
        <v>2</v>
      </c>
      <c r="P28" t="inlineStr">
        <is>
          <t>.</t>
        </is>
      </c>
      <c r="Q28" t="inlineStr">
        <is>
          <t>.</t>
        </is>
      </c>
      <c r="R28" t="inlineStr">
        <is>
          <t>.</t>
        </is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25.2</v>
      </c>
      <c r="W28" t="n">
        <v>128</v>
      </c>
      <c r="X28" t="n">
        <v>7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19160</v>
      </c>
      <c r="C29" t="inlineStr">
        <is>
          <t>Tri-County Electric Coop, Inc (OK)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CO</t>
        </is>
      </c>
      <c r="H29" t="inlineStr">
        <is>
          <t>Cooperative</t>
        </is>
      </c>
      <c r="I29" t="inlineStr">
        <is>
          <t>SWPP</t>
        </is>
      </c>
      <c r="J29" t="n">
        <v>11.7</v>
      </c>
      <c r="K29" t="n">
        <v>73</v>
      </c>
      <c r="L29" t="n">
        <v>9</v>
      </c>
      <c r="M29" t="n">
        <v>27.6</v>
      </c>
      <c r="N29" t="n">
        <v>147</v>
      </c>
      <c r="O29" t="n">
        <v>46</v>
      </c>
      <c r="P29" t="n">
        <v>0</v>
      </c>
      <c r="Q29" t="n">
        <v>0</v>
      </c>
      <c r="R29" t="n">
        <v>0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39.3</v>
      </c>
      <c r="W29" t="n">
        <v>220</v>
      </c>
      <c r="X29" t="n">
        <v>55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19499</v>
      </c>
      <c r="C30" t="inlineStr">
        <is>
          <t>United Power, Inc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CO</t>
        </is>
      </c>
      <c r="H30" t="inlineStr">
        <is>
          <t>Cooperative</t>
        </is>
      </c>
      <c r="I30" t="inlineStr">
        <is>
          <t>WACM</t>
        </is>
      </c>
      <c r="J30" t="n">
        <v>155543</v>
      </c>
      <c r="K30" t="n">
        <v>987339</v>
      </c>
      <c r="L30" t="n">
        <v>101502</v>
      </c>
      <c r="M30" t="n">
        <v>82783</v>
      </c>
      <c r="N30" t="n">
        <v>655929</v>
      </c>
      <c r="O30" t="n">
        <v>11980</v>
      </c>
      <c r="P30" t="n">
        <v>171766</v>
      </c>
      <c r="Q30" t="n">
        <v>1811226</v>
      </c>
      <c r="R30" t="n">
        <v>896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410092</v>
      </c>
      <c r="W30" t="n">
        <v>3454494</v>
      </c>
      <c r="X30" t="n">
        <v>114378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20510</v>
      </c>
      <c r="C31" t="inlineStr">
        <is>
          <t>Wheatland Electric Coop, Inc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CO</t>
        </is>
      </c>
      <c r="H31" t="inlineStr">
        <is>
          <t>Cooperative</t>
        </is>
      </c>
      <c r="I31" t="inlineStr">
        <is>
          <t>SWPP</t>
        </is>
      </c>
      <c r="J31" t="n">
        <v>27</v>
      </c>
      <c r="K31" t="n">
        <v>147</v>
      </c>
      <c r="L31" t="n">
        <v>31</v>
      </c>
      <c r="M31" t="n">
        <v>116</v>
      </c>
      <c r="N31" t="n">
        <v>675</v>
      </c>
      <c r="O31" t="n">
        <v>28</v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143</v>
      </c>
      <c r="W31" t="n">
        <v>822</v>
      </c>
      <c r="X31" t="n">
        <v>59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20576</v>
      </c>
      <c r="C32" t="inlineStr">
        <is>
          <t>White River Electric Assn, Inc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CO</t>
        </is>
      </c>
      <c r="H32" t="inlineStr">
        <is>
          <t>Cooperative</t>
        </is>
      </c>
      <c r="I32" t="inlineStr">
        <is>
          <t>WACM</t>
        </is>
      </c>
      <c r="J32" t="n">
        <v>3047.8</v>
      </c>
      <c r="K32" t="n">
        <v>22111</v>
      </c>
      <c r="L32" t="n">
        <v>2633</v>
      </c>
      <c r="M32" t="n">
        <v>3339.7</v>
      </c>
      <c r="N32" t="n">
        <v>27891</v>
      </c>
      <c r="O32" t="n">
        <v>759</v>
      </c>
      <c r="P32" t="n">
        <v>40223.3</v>
      </c>
      <c r="Q32" t="n">
        <v>481136</v>
      </c>
      <c r="R32" t="n">
        <v>93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46610.8</v>
      </c>
      <c r="W32" t="n">
        <v>531138</v>
      </c>
      <c r="X32" t="n">
        <v>3485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21075</v>
      </c>
      <c r="C33" t="inlineStr">
        <is>
          <t>Y-W Electric Assn Inc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CO</t>
        </is>
      </c>
      <c r="H33" t="inlineStr">
        <is>
          <t>Cooperative</t>
        </is>
      </c>
      <c r="I33" t="inlineStr">
        <is>
          <t>WACM</t>
        </is>
      </c>
      <c r="J33" t="n">
        <v>7130</v>
      </c>
      <c r="K33" t="n">
        <v>45595</v>
      </c>
      <c r="L33" t="n">
        <v>4876</v>
      </c>
      <c r="M33" t="n">
        <v>16812</v>
      </c>
      <c r="N33" t="n">
        <v>164892</v>
      </c>
      <c r="O33" t="n">
        <v>2277</v>
      </c>
      <c r="P33" t="n">
        <v>24790</v>
      </c>
      <c r="Q33" t="n">
        <v>186281</v>
      </c>
      <c r="R33" t="n">
        <v>1678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48732</v>
      </c>
      <c r="W33" t="n">
        <v>396768</v>
      </c>
      <c r="X33" t="n">
        <v>8831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21081</v>
      </c>
      <c r="C34" t="inlineStr">
        <is>
          <t>Yampa Valley Electric Assn Inc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CO</t>
        </is>
      </c>
      <c r="H34" t="inlineStr">
        <is>
          <t>Cooperative</t>
        </is>
      </c>
      <c r="I34" t="inlineStr">
        <is>
          <t>PSCO</t>
        </is>
      </c>
      <c r="J34" t="n">
        <v>40452.4</v>
      </c>
      <c r="K34" t="n">
        <v>241331</v>
      </c>
      <c r="L34" t="n">
        <v>23253</v>
      </c>
      <c r="M34" t="n">
        <v>16839.2</v>
      </c>
      <c r="N34" t="n">
        <v>127827</v>
      </c>
      <c r="O34" t="n">
        <v>4518</v>
      </c>
      <c r="P34" t="n">
        <v>13975.7</v>
      </c>
      <c r="Q34" t="n">
        <v>175991</v>
      </c>
      <c r="R34" t="n">
        <v>112</v>
      </c>
      <c r="S34" t="n">
        <v>0</v>
      </c>
      <c r="T34" t="n">
        <v>0</v>
      </c>
      <c r="U34" t="n">
        <v>0</v>
      </c>
      <c r="V34" t="n">
        <v>71267.3</v>
      </c>
      <c r="W34" t="n">
        <v>545149</v>
      </c>
      <c r="X34" t="n">
        <v>27883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27000</v>
      </c>
      <c r="C35" t="inlineStr">
        <is>
          <t>WAPA-- Western Area Power Administration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CO</t>
        </is>
      </c>
      <c r="H35" t="inlineStr">
        <is>
          <t>Federal</t>
        </is>
      </c>
      <c r="I35" t="inlineStr">
        <is>
          <t>WACM</t>
        </is>
      </c>
      <c r="J35" t="n">
        <v>0</v>
      </c>
      <c r="K35" t="n">
        <v>0</v>
      </c>
      <c r="L35" t="n">
        <v>0</v>
      </c>
      <c r="M35" t="n">
        <v>1508.5</v>
      </c>
      <c r="N35" t="n">
        <v>51074</v>
      </c>
      <c r="O35" t="n">
        <v>6</v>
      </c>
      <c r="P35" t="n">
        <v>527.4</v>
      </c>
      <c r="Q35" t="n">
        <v>20285</v>
      </c>
      <c r="R35" t="n">
        <v>6</v>
      </c>
      <c r="S35" t="n">
        <v>0</v>
      </c>
      <c r="T35" t="n">
        <v>0</v>
      </c>
      <c r="U35" t="n">
        <v>0</v>
      </c>
      <c r="V35" t="n">
        <v>2035.9</v>
      </c>
      <c r="W35" t="n">
        <v>71359</v>
      </c>
      <c r="X35" t="n">
        <v>12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27058</v>
      </c>
      <c r="C36" t="inlineStr">
        <is>
          <t>High West Energy, Inc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CO</t>
        </is>
      </c>
      <c r="H36" t="inlineStr">
        <is>
          <t>Cooperative</t>
        </is>
      </c>
      <c r="I36" t="inlineStr">
        <is>
          <t>WACM</t>
        </is>
      </c>
      <c r="J36" t="n">
        <v>1002.1</v>
      </c>
      <c r="K36" t="n">
        <v>6615</v>
      </c>
      <c r="L36" t="n">
        <v>670</v>
      </c>
      <c r="M36" t="n">
        <v>362.8</v>
      </c>
      <c r="N36" t="n">
        <v>3235</v>
      </c>
      <c r="O36" t="n">
        <v>19</v>
      </c>
      <c r="P36" t="n">
        <v>17191.4</v>
      </c>
      <c r="Q36" t="n">
        <v>161661</v>
      </c>
      <c r="R36" t="n">
        <v>367</v>
      </c>
      <c r="S36" t="n">
        <v>0</v>
      </c>
      <c r="T36" t="n">
        <v>0</v>
      </c>
      <c r="U36" t="n">
        <v>0</v>
      </c>
      <c r="V36" t="n">
        <v>18556.3</v>
      </c>
      <c r="W36" t="n">
        <v>171511</v>
      </c>
      <c r="X36" t="n">
        <v>1056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56146</v>
      </c>
      <c r="C37" t="inlineStr">
        <is>
          <t>Black Hills Colorado Electric, LLC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CO</t>
        </is>
      </c>
      <c r="H37" t="inlineStr">
        <is>
          <t>Investor Owned</t>
        </is>
      </c>
      <c r="I37" t="inlineStr">
        <is>
          <t>PSCO</t>
        </is>
      </c>
      <c r="J37" t="n">
        <v>104284</v>
      </c>
      <c r="K37" t="n">
        <v>611784</v>
      </c>
      <c r="L37" t="n">
        <v>89252</v>
      </c>
      <c r="M37" t="n">
        <v>103298</v>
      </c>
      <c r="N37" t="n">
        <v>857046</v>
      </c>
      <c r="O37" t="n">
        <v>12411</v>
      </c>
      <c r="P37" t="n">
        <v>34814</v>
      </c>
      <c r="Q37" t="n">
        <v>351971</v>
      </c>
      <c r="R37" t="n">
        <v>55</v>
      </c>
      <c r="S37" t="n">
        <v>0</v>
      </c>
      <c r="T37" t="n">
        <v>0</v>
      </c>
      <c r="U37" t="n">
        <v>0</v>
      </c>
      <c r="V37" t="n">
        <v>242396</v>
      </c>
      <c r="W37" t="n">
        <v>1820801</v>
      </c>
      <c r="X37" t="n">
        <v>101718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57313</v>
      </c>
      <c r="C38" t="inlineStr">
        <is>
          <t>Tesla Inc.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CO</t>
        </is>
      </c>
      <c r="H38" t="inlineStr">
        <is>
          <t>Behind the Meter</t>
        </is>
      </c>
      <c r="I38" t="inlineStr">
        <is>
          <t>PSCO</t>
        </is>
      </c>
      <c r="J38" t="n">
        <v>8903</v>
      </c>
      <c r="K38" t="n">
        <v>76490</v>
      </c>
      <c r="L38" t="n">
        <v>12893</v>
      </c>
      <c r="M38" t="n">
        <v>814.5</v>
      </c>
      <c r="N38" t="n">
        <v>10390</v>
      </c>
      <c r="O38" t="n">
        <v>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9717.5</v>
      </c>
      <c r="W38" t="n">
        <v>86880</v>
      </c>
      <c r="X38" t="n">
        <v>12955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57313</v>
      </c>
      <c r="C39" t="inlineStr">
        <is>
          <t>Tesla Inc.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CO</t>
        </is>
      </c>
      <c r="H39" t="inlineStr">
        <is>
          <t>Behind the Meter</t>
        </is>
      </c>
      <c r="I39" t="inlineStr">
        <is>
          <t>WACM</t>
        </is>
      </c>
      <c r="J39" t="n">
        <v>9</v>
      </c>
      <c r="K39" t="n">
        <v>113</v>
      </c>
      <c r="L39" t="n">
        <v>19</v>
      </c>
      <c r="M39" t="n">
        <v>991</v>
      </c>
      <c r="N39" t="n">
        <v>8345</v>
      </c>
      <c r="O39" t="n">
        <v>939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1000</v>
      </c>
      <c r="W39" t="n">
        <v>8458</v>
      </c>
      <c r="X39" t="n">
        <v>958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59579</v>
      </c>
      <c r="C40" t="inlineStr">
        <is>
          <t>Sunnova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CO</t>
        </is>
      </c>
      <c r="H40" t="inlineStr">
        <is>
          <t>Behind the Meter</t>
        </is>
      </c>
      <c r="I40" t="inlineStr">
        <is>
          <t>PSCO</t>
        </is>
      </c>
      <c r="J40" t="n">
        <v>3472.1</v>
      </c>
      <c r="K40" t="n">
        <v>22360</v>
      </c>
      <c r="L40" t="n">
        <v>5677</v>
      </c>
      <c r="M40" t="inlineStr">
        <is>
          <t>.</t>
        </is>
      </c>
      <c r="N40" t="inlineStr">
        <is>
          <t>.</t>
        </is>
      </c>
      <c r="O40" t="inlineStr">
        <is>
          <t>.</t>
        </is>
      </c>
      <c r="P40" t="inlineStr">
        <is>
          <t>.</t>
        </is>
      </c>
      <c r="Q40" t="inlineStr">
        <is>
          <t>.</t>
        </is>
      </c>
      <c r="R40" t="inlineStr">
        <is>
          <t>.</t>
        </is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3472.1</v>
      </c>
      <c r="W40" t="n">
        <v>22360</v>
      </c>
      <c r="X40" t="n">
        <v>5677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59579</v>
      </c>
      <c r="C41" t="inlineStr">
        <is>
          <t>Sunnova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CO</t>
        </is>
      </c>
      <c r="H41" t="inlineStr">
        <is>
          <t>Behind the Meter</t>
        </is>
      </c>
      <c r="I41" t="inlineStr">
        <is>
          <t>WACM</t>
        </is>
      </c>
      <c r="J41" t="n">
        <v>51</v>
      </c>
      <c r="K41" t="n">
        <v>329</v>
      </c>
      <c r="L41" t="n">
        <v>83</v>
      </c>
      <c r="M41" t="inlineStr">
        <is>
          <t>.</t>
        </is>
      </c>
      <c r="N41" t="inlineStr">
        <is>
          <t>.</t>
        </is>
      </c>
      <c r="O41" t="inlineStr">
        <is>
          <t>.</t>
        </is>
      </c>
      <c r="P41" t="inlineStr">
        <is>
          <t>.</t>
        </is>
      </c>
      <c r="Q41" t="inlineStr">
        <is>
          <t>.</t>
        </is>
      </c>
      <c r="R41" t="inlineStr">
        <is>
          <t>.</t>
        </is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51</v>
      </c>
      <c r="W41" t="n">
        <v>329</v>
      </c>
      <c r="X41" t="n">
        <v>83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59580</v>
      </c>
      <c r="C42" t="inlineStr">
        <is>
          <t>SunPower Capital, LLC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CO</t>
        </is>
      </c>
      <c r="H42" t="inlineStr">
        <is>
          <t>Behind the Meter</t>
        </is>
      </c>
      <c r="I42" t="inlineStr">
        <is>
          <t>PSCO</t>
        </is>
      </c>
      <c r="J42" t="n">
        <v>871.5</v>
      </c>
      <c r="K42" t="n">
        <v>3516</v>
      </c>
      <c r="L42" t="n">
        <v>1184</v>
      </c>
      <c r="M42" t="inlineStr">
        <is>
          <t>.</t>
        </is>
      </c>
      <c r="N42" t="inlineStr">
        <is>
          <t>.</t>
        </is>
      </c>
      <c r="O42" t="inlineStr">
        <is>
          <t>.</t>
        </is>
      </c>
      <c r="P42" t="inlineStr">
        <is>
          <t>.</t>
        </is>
      </c>
      <c r="Q42" t="inlineStr">
        <is>
          <t>.</t>
        </is>
      </c>
      <c r="R42" t="inlineStr">
        <is>
          <t>.</t>
        </is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871.5</v>
      </c>
      <c r="W42" t="n">
        <v>3516</v>
      </c>
      <c r="X42" t="n">
        <v>1184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59580</v>
      </c>
      <c r="C43" t="inlineStr">
        <is>
          <t>SunPower Capital, LLC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CO</t>
        </is>
      </c>
      <c r="H43" t="inlineStr">
        <is>
          <t>Behind the Meter</t>
        </is>
      </c>
      <c r="I43" t="inlineStr">
        <is>
          <t>WACM</t>
        </is>
      </c>
      <c r="J43" t="n">
        <v>56.9</v>
      </c>
      <c r="K43" t="n">
        <v>230</v>
      </c>
      <c r="L43" t="n">
        <v>77</v>
      </c>
      <c r="M43" t="inlineStr">
        <is>
          <t>.</t>
        </is>
      </c>
      <c r="N43" t="inlineStr">
        <is>
          <t>.</t>
        </is>
      </c>
      <c r="O43" t="inlineStr">
        <is>
          <t>.</t>
        </is>
      </c>
      <c r="P43" t="inlineStr">
        <is>
          <t>.</t>
        </is>
      </c>
      <c r="Q43" t="inlineStr">
        <is>
          <t>.</t>
        </is>
      </c>
      <c r="R43" t="inlineStr">
        <is>
          <t>.</t>
        </is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56.9</v>
      </c>
      <c r="W43" t="n">
        <v>230</v>
      </c>
      <c r="X43" t="n">
        <v>77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59622</v>
      </c>
      <c r="C44" t="inlineStr">
        <is>
          <t>Ahana Renewables, LLC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CO</t>
        </is>
      </c>
      <c r="H44" t="inlineStr">
        <is>
          <t>Behind the Meter</t>
        </is>
      </c>
      <c r="I44" t="inlineStr">
        <is>
          <t>PSCO</t>
        </is>
      </c>
      <c r="J44" t="n">
        <v>0</v>
      </c>
      <c r="K44" t="n">
        <v>0</v>
      </c>
      <c r="L44" t="n">
        <v>0</v>
      </c>
      <c r="M44" t="n">
        <v>138.3</v>
      </c>
      <c r="N44" t="n">
        <v>1009</v>
      </c>
      <c r="O44" t="n">
        <v>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138.3</v>
      </c>
      <c r="W44" t="n">
        <v>1009</v>
      </c>
      <c r="X44" t="n">
        <v>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59647</v>
      </c>
      <c r="C45" t="inlineStr">
        <is>
          <t>Sunrun Inc.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CO</t>
        </is>
      </c>
      <c r="H45" t="inlineStr">
        <is>
          <t>Behind the Meter</t>
        </is>
      </c>
      <c r="I45" t="inlineStr">
        <is>
          <t>PSCO</t>
        </is>
      </c>
      <c r="J45" t="n">
        <v>10439.3</v>
      </c>
      <c r="K45" t="n">
        <v>66152</v>
      </c>
      <c r="L45" t="n">
        <v>8318</v>
      </c>
      <c r="M45" t="inlineStr">
        <is>
          <t>.</t>
        </is>
      </c>
      <c r="N45" t="inlineStr">
        <is>
          <t>.</t>
        </is>
      </c>
      <c r="O45" t="inlineStr">
        <is>
          <t>.</t>
        </is>
      </c>
      <c r="P45" t="inlineStr">
        <is>
          <t>.</t>
        </is>
      </c>
      <c r="Q45" t="inlineStr">
        <is>
          <t>.</t>
        </is>
      </c>
      <c r="R45" t="inlineStr">
        <is>
          <t>.</t>
        </is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10439.3</v>
      </c>
      <c r="W45" t="n">
        <v>66152</v>
      </c>
      <c r="X45" t="n">
        <v>8318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59647</v>
      </c>
      <c r="C46" t="inlineStr">
        <is>
          <t>Sunrun Inc.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CO</t>
        </is>
      </c>
      <c r="H46" t="inlineStr">
        <is>
          <t>Behind the Meter</t>
        </is>
      </c>
      <c r="I46" t="inlineStr">
        <is>
          <t>WACM</t>
        </is>
      </c>
      <c r="J46" t="n">
        <v>404.4</v>
      </c>
      <c r="K46" t="n">
        <v>2132</v>
      </c>
      <c r="L46" t="n">
        <v>240</v>
      </c>
      <c r="M46" t="inlineStr">
        <is>
          <t>.</t>
        </is>
      </c>
      <c r="N46" t="inlineStr">
        <is>
          <t>.</t>
        </is>
      </c>
      <c r="O46" t="inlineStr">
        <is>
          <t>.</t>
        </is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404.4</v>
      </c>
      <c r="W46" t="n">
        <v>2132</v>
      </c>
      <c r="X46" t="n">
        <v>240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59943</v>
      </c>
      <c r="C47" t="inlineStr">
        <is>
          <t>Spruce Finance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CO</t>
        </is>
      </c>
      <c r="H47" t="inlineStr">
        <is>
          <t>Behind the Meter</t>
        </is>
      </c>
      <c r="I47" t="inlineStr">
        <is>
          <t>PACE</t>
        </is>
      </c>
      <c r="J47" t="n">
        <v>827.4</v>
      </c>
      <c r="K47" t="n">
        <v>8930</v>
      </c>
      <c r="L47" t="n">
        <v>1051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827.4</v>
      </c>
      <c r="W47" t="n">
        <v>8930</v>
      </c>
      <c r="X47" t="n">
        <v>1051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60025</v>
      </c>
      <c r="C48" t="inlineStr">
        <is>
          <t>Greenbacker Renewable Energy Corporation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CO</t>
        </is>
      </c>
      <c r="H48" t="inlineStr">
        <is>
          <t>Behind the Meter</t>
        </is>
      </c>
      <c r="I48" t="inlineStr">
        <is>
          <t>PSCO</t>
        </is>
      </c>
      <c r="J48" t="n">
        <v>6.2</v>
      </c>
      <c r="K48" t="n">
        <v>60</v>
      </c>
      <c r="L48" t="n">
        <v>10</v>
      </c>
      <c r="M48" t="n">
        <v>378</v>
      </c>
      <c r="N48" t="n">
        <v>6877</v>
      </c>
      <c r="O48" t="n">
        <v>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384.2</v>
      </c>
      <c r="W48" t="n">
        <v>6937</v>
      </c>
      <c r="X48" t="n">
        <v>39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60981</v>
      </c>
      <c r="C49" t="inlineStr">
        <is>
          <t>TerraForm US Energy Services, LLC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CO</t>
        </is>
      </c>
      <c r="H49" t="inlineStr">
        <is>
          <t>Behind the Meter</t>
        </is>
      </c>
      <c r="I49" t="inlineStr">
        <is>
          <t>PSCO</t>
        </is>
      </c>
      <c r="J49" t="n">
        <v>0</v>
      </c>
      <c r="K49" t="n">
        <v>0</v>
      </c>
      <c r="L49" t="n">
        <v>0</v>
      </c>
      <c r="M49" t="n">
        <v>101</v>
      </c>
      <c r="N49" t="n">
        <v>1747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</v>
      </c>
      <c r="W49" t="n">
        <v>1747</v>
      </c>
      <c r="X49" t="n">
        <v>13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61823</v>
      </c>
      <c r="C50" t="inlineStr">
        <is>
          <t>Greenskies Renewable Energy, LLC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CO</t>
        </is>
      </c>
      <c r="H50" t="inlineStr">
        <is>
          <t>Behind the Meter</t>
        </is>
      </c>
      <c r="I50" t="inlineStr">
        <is>
          <t>WACM</t>
        </is>
      </c>
      <c r="J50" t="inlineStr">
        <is>
          <t>.</t>
        </is>
      </c>
      <c r="K50" t="inlineStr">
        <is>
          <t>.</t>
        </is>
      </c>
      <c r="L50" t="inlineStr">
        <is>
          <t>.</t>
        </is>
      </c>
      <c r="M50" t="n">
        <v>70.8</v>
      </c>
      <c r="N50" t="n">
        <v>1855</v>
      </c>
      <c r="O50" t="n">
        <v>1</v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70.8</v>
      </c>
      <c r="W50" t="n">
        <v>1855</v>
      </c>
      <c r="X50" t="n">
        <v>1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65242</v>
      </c>
      <c r="C51" t="inlineStr">
        <is>
          <t>Scale Sustainable I, LLC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CO</t>
        </is>
      </c>
      <c r="H51" t="inlineStr">
        <is>
          <t>Behind the Meter</t>
        </is>
      </c>
      <c r="I51" t="inlineStr">
        <is>
          <t>PSCO</t>
        </is>
      </c>
      <c r="J51" t="inlineStr">
        <is>
          <t>.</t>
        </is>
      </c>
      <c r="K51" t="inlineStr">
        <is>
          <t>.</t>
        </is>
      </c>
      <c r="L51" t="inlineStr">
        <is>
          <t>.</t>
        </is>
      </c>
      <c r="M51" t="n">
        <v>332</v>
      </c>
      <c r="N51" t="n">
        <v>3209</v>
      </c>
      <c r="O51" t="n">
        <v>4</v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332</v>
      </c>
      <c r="W51" t="n">
        <v>3209</v>
      </c>
      <c r="X51" t="n">
        <v>4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66026</v>
      </c>
      <c r="C52" t="inlineStr">
        <is>
          <t>Palmetto Solar, LLC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CO</t>
        </is>
      </c>
      <c r="H52" t="inlineStr">
        <is>
          <t>Behind the Meter</t>
        </is>
      </c>
      <c r="I52" t="inlineStr">
        <is>
          <t>PSCO</t>
        </is>
      </c>
      <c r="J52" t="n">
        <v>53.8</v>
      </c>
      <c r="K52" t="n">
        <v>348</v>
      </c>
      <c r="L52" t="n">
        <v>9</v>
      </c>
      <c r="M52" t="inlineStr">
        <is>
          <t>.</t>
        </is>
      </c>
      <c r="N52" t="inlineStr">
        <is>
          <t>.</t>
        </is>
      </c>
      <c r="O52" t="inlineStr">
        <is>
          <t>.</t>
        </is>
      </c>
      <c r="P52" t="inlineStr">
        <is>
          <t>.</t>
        </is>
      </c>
      <c r="Q52" t="inlineStr">
        <is>
          <t>.</t>
        </is>
      </c>
      <c r="R52" t="inlineStr">
        <is>
          <t>.</t>
        </is>
      </c>
      <c r="S52" t="inlineStr">
        <is>
          <t>.</t>
        </is>
      </c>
      <c r="T52" t="inlineStr">
        <is>
          <t>.</t>
        </is>
      </c>
      <c r="U52" t="inlineStr">
        <is>
          <t>.</t>
        </is>
      </c>
      <c r="V52" t="n">
        <v>53.8</v>
      </c>
      <c r="W52" t="n">
        <v>348</v>
      </c>
      <c r="X52" t="n">
        <v>9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66026</v>
      </c>
      <c r="C53" t="inlineStr">
        <is>
          <t>Palmetto Solar, LLC</t>
        </is>
      </c>
      <c r="D53" t="inlineStr">
        <is>
          <t>A</t>
        </is>
      </c>
      <c r="E53" t="inlineStr">
        <is>
          <t>Bundled</t>
        </is>
      </c>
      <c r="F53" t="inlineStr">
        <is>
          <t>O</t>
        </is>
      </c>
      <c r="G53" t="inlineStr">
        <is>
          <t>CO</t>
        </is>
      </c>
      <c r="H53" t="inlineStr">
        <is>
          <t>Behind the Meter</t>
        </is>
      </c>
      <c r="I53" t="inlineStr">
        <is>
          <t>WACM</t>
        </is>
      </c>
      <c r="J53" t="n">
        <v>285.7</v>
      </c>
      <c r="K53" t="n">
        <v>1850</v>
      </c>
      <c r="L53" t="n">
        <v>50</v>
      </c>
      <c r="M53" t="inlineStr">
        <is>
          <t>.</t>
        </is>
      </c>
      <c r="N53" t="inlineStr">
        <is>
          <t>.</t>
        </is>
      </c>
      <c r="O53" t="inlineStr">
        <is>
          <t>.</t>
        </is>
      </c>
      <c r="P53" t="inlineStr">
        <is>
          <t>.</t>
        </is>
      </c>
      <c r="Q53" t="inlineStr">
        <is>
          <t>.</t>
        </is>
      </c>
      <c r="R53" t="inlineStr">
        <is>
          <t>.</t>
        </is>
      </c>
      <c r="S53" t="inlineStr">
        <is>
          <t>.</t>
        </is>
      </c>
      <c r="T53" t="inlineStr">
        <is>
          <t>.</t>
        </is>
      </c>
      <c r="U53" t="inlineStr">
        <is>
          <t>.</t>
        </is>
      </c>
      <c r="V53" t="n">
        <v>285.7</v>
      </c>
      <c r="W53" t="n">
        <v>1850</v>
      </c>
      <c r="X53" t="n">
        <v>50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66036</v>
      </c>
      <c r="C54" t="inlineStr">
        <is>
          <t>EverBright, LLC</t>
        </is>
      </c>
      <c r="D54" t="inlineStr">
        <is>
          <t>A</t>
        </is>
      </c>
      <c r="E54" t="inlineStr">
        <is>
          <t>Bundled</t>
        </is>
      </c>
      <c r="F54" t="inlineStr">
        <is>
          <t>O</t>
        </is>
      </c>
      <c r="G54" t="inlineStr">
        <is>
          <t>CO</t>
        </is>
      </c>
      <c r="H54" t="inlineStr">
        <is>
          <t>Behind the Meter</t>
        </is>
      </c>
      <c r="I54" t="inlineStr">
        <is>
          <t>PSCO</t>
        </is>
      </c>
      <c r="J54" t="n">
        <v>194.9</v>
      </c>
      <c r="K54" t="n">
        <v>1611</v>
      </c>
      <c r="L54" t="n">
        <v>287</v>
      </c>
      <c r="M54" t="inlineStr">
        <is>
          <t>.</t>
        </is>
      </c>
      <c r="N54" t="inlineStr">
        <is>
          <t>.</t>
        </is>
      </c>
      <c r="O54" t="inlineStr">
        <is>
          <t>.</t>
        </is>
      </c>
      <c r="P54" t="inlineStr">
        <is>
          <t>.</t>
        </is>
      </c>
      <c r="Q54" t="inlineStr">
        <is>
          <t>.</t>
        </is>
      </c>
      <c r="R54" t="inlineStr">
        <is>
          <t>.</t>
        </is>
      </c>
      <c r="S54" t="inlineStr">
        <is>
          <t>.</t>
        </is>
      </c>
      <c r="T54" t="inlineStr">
        <is>
          <t>.</t>
        </is>
      </c>
      <c r="U54" t="inlineStr">
        <is>
          <t>.</t>
        </is>
      </c>
      <c r="V54" t="n">
        <v>194.9</v>
      </c>
      <c r="W54" t="n">
        <v>1611</v>
      </c>
      <c r="X54" t="n">
        <v>287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99999</v>
      </c>
      <c r="C55" t="inlineStr">
        <is>
          <t>Adjustment 2024</t>
        </is>
      </c>
      <c r="D55" t="inlineStr">
        <is>
          <t>A</t>
        </is>
      </c>
      <c r="E55" t="inlineStr">
        <is>
          <t>Bundled</t>
        </is>
      </c>
      <c r="F55" t="inlineStr">
        <is>
          <t>I</t>
        </is>
      </c>
      <c r="G55" t="inlineStr">
        <is>
          <t>CO</t>
        </is>
      </c>
      <c r="H55" t="inlineStr"/>
      <c r="I55" t="inlineStr">
        <is>
          <t>PACE</t>
        </is>
      </c>
      <c r="J55" t="n">
        <v>0</v>
      </c>
      <c r="K55" t="n">
        <v>0</v>
      </c>
      <c r="L55" t="n">
        <v>-1051</v>
      </c>
      <c r="M55" t="n">
        <v>0</v>
      </c>
      <c r="N55" t="n">
        <v>0</v>
      </c>
      <c r="O55" t="n">
        <v>0</v>
      </c>
      <c r="P55" t="n">
        <v>5068.2</v>
      </c>
      <c r="Q55" t="n">
        <v>41600</v>
      </c>
      <c r="R55" t="n">
        <v>1</v>
      </c>
      <c r="S55" t="n">
        <v>0</v>
      </c>
      <c r="T55" t="n">
        <v>0</v>
      </c>
      <c r="U55" t="n">
        <v>0</v>
      </c>
      <c r="V55" t="n">
        <v>5068.2</v>
      </c>
      <c r="W55" t="n">
        <v>41600</v>
      </c>
      <c r="X55" t="n">
        <v>-1050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99999</v>
      </c>
      <c r="C56" t="inlineStr">
        <is>
          <t>Adjustment 2024</t>
        </is>
      </c>
      <c r="D56" t="inlineStr">
        <is>
          <t>A</t>
        </is>
      </c>
      <c r="E56" t="inlineStr">
        <is>
          <t>Bundled</t>
        </is>
      </c>
      <c r="F56" t="inlineStr">
        <is>
          <t>I</t>
        </is>
      </c>
      <c r="G56" t="inlineStr">
        <is>
          <t>CO</t>
        </is>
      </c>
      <c r="H56" t="inlineStr"/>
      <c r="I56" t="inlineStr">
        <is>
          <t>PSCO</t>
        </is>
      </c>
      <c r="J56" t="n">
        <v>31994.5</v>
      </c>
      <c r="K56" t="n">
        <v>215168</v>
      </c>
      <c r="L56" t="n">
        <v>-5087</v>
      </c>
      <c r="M56" t="n">
        <v>49587.2</v>
      </c>
      <c r="N56" t="n">
        <v>401912</v>
      </c>
      <c r="O56" t="n">
        <v>7200</v>
      </c>
      <c r="P56" t="n">
        <v>9750.299999999999</v>
      </c>
      <c r="Q56" t="n">
        <v>104437</v>
      </c>
      <c r="R56" t="n">
        <v>286</v>
      </c>
      <c r="S56" t="n">
        <v>0</v>
      </c>
      <c r="T56" t="n">
        <v>0</v>
      </c>
      <c r="U56" t="n">
        <v>0</v>
      </c>
      <c r="V56" t="n">
        <v>91332</v>
      </c>
      <c r="W56" t="n">
        <v>721517</v>
      </c>
      <c r="X56" t="n">
        <v>2399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99999</v>
      </c>
      <c r="C57" t="inlineStr">
        <is>
          <t>Adjustment 2024</t>
        </is>
      </c>
      <c r="D57" t="inlineStr">
        <is>
          <t>A</t>
        </is>
      </c>
      <c r="E57" t="inlineStr">
        <is>
          <t>Bundled</t>
        </is>
      </c>
      <c r="F57" t="inlineStr">
        <is>
          <t>I</t>
        </is>
      </c>
      <c r="G57" t="inlineStr">
        <is>
          <t>CO</t>
        </is>
      </c>
      <c r="H57" t="inlineStr"/>
      <c r="I57" t="inlineStr">
        <is>
          <t>WACM</t>
        </is>
      </c>
      <c r="J57" t="n">
        <v>58325.9</v>
      </c>
      <c r="K57" t="n">
        <v>343492</v>
      </c>
      <c r="L57" t="n">
        <v>43222</v>
      </c>
      <c r="M57" t="n">
        <v>33151.2</v>
      </c>
      <c r="N57" t="n">
        <v>255700</v>
      </c>
      <c r="O57" t="n">
        <v>7146</v>
      </c>
      <c r="P57" t="n">
        <v>3358.3</v>
      </c>
      <c r="Q57" t="n">
        <v>17517</v>
      </c>
      <c r="R57" t="n">
        <v>168</v>
      </c>
      <c r="S57" t="n">
        <v>0</v>
      </c>
      <c r="T57" t="n">
        <v>0</v>
      </c>
      <c r="U57" t="n">
        <v>0</v>
      </c>
      <c r="V57" t="n">
        <v>94835.39999999999</v>
      </c>
      <c r="W57" t="n">
        <v>616709</v>
      </c>
      <c r="X57" t="n">
        <v>50536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99999</v>
      </c>
      <c r="C58" t="inlineStr">
        <is>
          <t>Adjustment 2024</t>
        </is>
      </c>
      <c r="D58" t="inlineStr">
        <is>
          <t>A</t>
        </is>
      </c>
      <c r="E58" t="inlineStr">
        <is>
          <t>Bundled</t>
        </is>
      </c>
      <c r="F58" t="inlineStr">
        <is>
          <t>I</t>
        </is>
      </c>
      <c r="G58" t="inlineStr">
        <is>
          <t>CO</t>
        </is>
      </c>
      <c r="H58" t="inlineStr"/>
      <c r="I58" t="inlineStr">
        <is>
          <t>SWPP</t>
        </is>
      </c>
      <c r="J58" t="n">
        <v>0</v>
      </c>
      <c r="K58" t="n">
        <v>0</v>
      </c>
      <c r="L58" t="n">
        <v>0</v>
      </c>
      <c r="M58" t="n">
        <v>231</v>
      </c>
      <c r="N58" t="n">
        <v>3000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231</v>
      </c>
      <c r="W58" t="n">
        <v>3000</v>
      </c>
      <c r="X58" t="n">
        <v>1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CO</t>
        </is>
      </c>
      <c r="B2">
        <f>SUMIFS('EIA-861 Sales 2024'!$Y$4:$Y$58,'EIA-861 Sales 2024'!$Z$4:$Z$58,"cost_service")</f>
        <v/>
      </c>
      <c r="C2">
        <f>SUMIFS('EIA-861 Sales 2024'!$Y$4:$Y$58,'EIA-861 Sales 2024'!$Z$4:$Z$58,"procurement")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